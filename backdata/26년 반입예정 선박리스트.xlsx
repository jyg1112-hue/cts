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Rayful2_Docs\parksj86\CHECKOUT\26032415090883\"/>
    </mc:Choice>
  </mc:AlternateContent>
  <xr:revisionPtr revIDLastSave="0" documentId="13_ncr:1_{298C3D1C-94FE-4582-A42E-42245A71AC31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pldt" sheetId="10" state="veryHidden" r:id="rId1"/>
    <sheet name="CTS 반입선박" sheetId="1" r:id="rId2"/>
    <sheet name="7선석 접안(니켈)" sheetId="2" r:id="rId3"/>
    <sheet name="CTS 반입선박(항만공사 송부용)" sheetId="5" state="hidden" r:id="rId4"/>
    <sheet name="Test" sheetId="13" state="hidden" r:id="rId5"/>
    <sheet name="2023년 하역스케쥴" sheetId="6" state="hidden" r:id="rId6"/>
    <sheet name="해송+육송 반출실적" sheetId="9" r:id="rId7"/>
    <sheet name="반입모선 이적작업 관리" sheetId="12" r:id="rId8"/>
    <sheet name="(이력관리용)" sheetId="14" state="hidden" r:id="rId9"/>
    <sheet name="Sheet1" sheetId="11" state="hidden" r:id="rId10"/>
  </sheets>
  <definedNames>
    <definedName name="_xlnm._FilterDatabase" localSheetId="8" hidden="1">'(이력관리용)'!$B$98:$BF$111</definedName>
    <definedName name="_xlnm._FilterDatabase" localSheetId="1" hidden="1">'CTS 반입선박'!$B$102:$BF$115</definedName>
    <definedName name="_xlnm._FilterDatabase" localSheetId="3" hidden="1">'CTS 반입선박(항만공사 송부용)'!$B$5:$AQ$60</definedName>
    <definedName name="_xlnm.Print_Area" localSheetId="8">'(이력관리용)'!$C$2:$AR$119</definedName>
    <definedName name="_xlnm.Print_Area" localSheetId="5">'2023년 하역스케쥴'!$B$1:$K$2</definedName>
    <definedName name="_xlnm.Print_Area" localSheetId="2">'7선석 접안(니켈)'!$B$2:$U$163</definedName>
    <definedName name="_xlnm.Print_Area" localSheetId="1">'CTS 반입선박'!$C$2:$AR$123</definedName>
    <definedName name="_xlnm.Print_Area" localSheetId="3">'CTS 반입선박(항만공사 송부용)'!$B$2:$AQ$155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" i="1" l="1"/>
  <c r="J35" i="1"/>
  <c r="AX34" i="1"/>
  <c r="AU34" i="1"/>
  <c r="O34" i="1"/>
  <c r="K34" i="1"/>
  <c r="J34" i="1"/>
  <c r="O53" i="1"/>
  <c r="AU37" i="1" l="1"/>
  <c r="AT37" i="1"/>
  <c r="N50" i="1"/>
  <c r="N38" i="1"/>
  <c r="L50" i="1"/>
  <c r="AX40" i="1"/>
  <c r="AW40" i="1"/>
  <c r="AU40" i="1"/>
  <c r="AT40" i="1"/>
  <c r="O40" i="1"/>
  <c r="AX41" i="1"/>
  <c r="AW41" i="1"/>
  <c r="AU41" i="1"/>
  <c r="AT41" i="1"/>
  <c r="O41" i="1"/>
  <c r="U70" i="9"/>
  <c r="V70" i="9"/>
  <c r="U71" i="9"/>
  <c r="V71" i="9"/>
  <c r="I71" i="9"/>
  <c r="AZ40" i="1" l="1"/>
  <c r="AZ41" i="1"/>
  <c r="AY40" i="1"/>
  <c r="AY41" i="1"/>
  <c r="BA41" i="1" s="1"/>
  <c r="BA40" i="1" l="1"/>
  <c r="O35" i="1"/>
  <c r="O36" i="1"/>
  <c r="O33" i="1"/>
  <c r="K33" i="1"/>
  <c r="K132" i="1" l="1"/>
  <c r="K32" i="1"/>
  <c r="J33" i="1"/>
  <c r="O45" i="1"/>
  <c r="J32" i="1"/>
  <c r="L38" i="2" l="1"/>
  <c r="K38" i="2"/>
  <c r="K31" i="1"/>
  <c r="K29" i="1"/>
  <c r="J31" i="1"/>
  <c r="J29" i="1"/>
  <c r="I54" i="9" l="1"/>
  <c r="I21" i="2" l="1"/>
  <c r="K26" i="1" l="1"/>
  <c r="L27" i="2" l="1"/>
  <c r="K27" i="2"/>
  <c r="O24" i="1" l="1"/>
  <c r="J38" i="1"/>
  <c r="E193" i="1" l="1"/>
  <c r="D193" i="1"/>
  <c r="I192" i="1"/>
  <c r="G192" i="1"/>
  <c r="E192" i="1"/>
  <c r="D192" i="1"/>
  <c r="E191" i="1"/>
  <c r="D191" i="1"/>
  <c r="I190" i="1"/>
  <c r="G190" i="1"/>
  <c r="E190" i="1"/>
  <c r="D190" i="1"/>
  <c r="H185" i="1"/>
  <c r="G183" i="1"/>
  <c r="E183" i="1"/>
  <c r="D183" i="1"/>
  <c r="G182" i="1"/>
  <c r="E182" i="1"/>
  <c r="D182" i="1"/>
  <c r="G181" i="1"/>
  <c r="E181" i="1"/>
  <c r="D181" i="1"/>
  <c r="S180" i="1"/>
  <c r="R180" i="1"/>
  <c r="M180" i="1"/>
  <c r="P180" i="1" s="1"/>
  <c r="L180" i="1"/>
  <c r="G180" i="1"/>
  <c r="E180" i="1"/>
  <c r="D180" i="1"/>
  <c r="M179" i="1"/>
  <c r="P179" i="1" s="1"/>
  <c r="L179" i="1"/>
  <c r="E179" i="1"/>
  <c r="D179" i="1"/>
  <c r="S178" i="1"/>
  <c r="R178" i="1"/>
  <c r="M178" i="1"/>
  <c r="P178" i="1" s="1"/>
  <c r="L178" i="1"/>
  <c r="O178" i="1" s="1"/>
  <c r="G178" i="1"/>
  <c r="E178" i="1"/>
  <c r="D178" i="1"/>
  <c r="S177" i="1"/>
  <c r="R177" i="1"/>
  <c r="M177" i="1"/>
  <c r="P177" i="1" s="1"/>
  <c r="L177" i="1"/>
  <c r="O177" i="1" s="1"/>
  <c r="E177" i="1"/>
  <c r="D177" i="1"/>
  <c r="S176" i="1"/>
  <c r="R176" i="1"/>
  <c r="M176" i="1"/>
  <c r="P176" i="1" s="1"/>
  <c r="L176" i="1"/>
  <c r="G176" i="1"/>
  <c r="E176" i="1"/>
  <c r="D176" i="1"/>
  <c r="S175" i="1"/>
  <c r="R175" i="1"/>
  <c r="M175" i="1"/>
  <c r="L175" i="1"/>
  <c r="O175" i="1" s="1"/>
  <c r="E175" i="1"/>
  <c r="D175" i="1"/>
  <c r="S174" i="1"/>
  <c r="R174" i="1"/>
  <c r="M174" i="1"/>
  <c r="P174" i="1" s="1"/>
  <c r="L174" i="1"/>
  <c r="O174" i="1" s="1"/>
  <c r="E174" i="1"/>
  <c r="D174" i="1"/>
  <c r="S173" i="1"/>
  <c r="R173" i="1"/>
  <c r="M173" i="1"/>
  <c r="L173" i="1"/>
  <c r="E173" i="1"/>
  <c r="D173" i="1"/>
  <c r="Y170" i="1"/>
  <c r="AP170" i="1" s="1"/>
  <c r="AP169" i="1"/>
  <c r="AA169" i="1"/>
  <c r="X169" i="1"/>
  <c r="S169" i="1"/>
  <c r="AO167" i="1"/>
  <c r="Z167" i="1"/>
  <c r="P166" i="1"/>
  <c r="U166" i="1" s="1"/>
  <c r="F166" i="1"/>
  <c r="E166" i="1"/>
  <c r="P165" i="1"/>
  <c r="L165" i="1"/>
  <c r="K165" i="1"/>
  <c r="F165" i="1"/>
  <c r="E165" i="1"/>
  <c r="P164" i="1"/>
  <c r="U164" i="1" s="1"/>
  <c r="L164" i="1"/>
  <c r="K164" i="1"/>
  <c r="F164" i="1"/>
  <c r="E164" i="1"/>
  <c r="P163" i="1"/>
  <c r="Q163" i="1" s="1"/>
  <c r="V163" i="1" s="1"/>
  <c r="L163" i="1"/>
  <c r="K163" i="1"/>
  <c r="F163" i="1"/>
  <c r="E163" i="1"/>
  <c r="P162" i="1"/>
  <c r="U162" i="1" s="1"/>
  <c r="L162" i="1"/>
  <c r="K162" i="1"/>
  <c r="F162" i="1"/>
  <c r="G162" i="1" s="1"/>
  <c r="Y162" i="1" s="1"/>
  <c r="P161" i="1"/>
  <c r="Q161" i="1" s="1"/>
  <c r="V161" i="1" s="1"/>
  <c r="L161" i="1"/>
  <c r="K161" i="1"/>
  <c r="F161" i="1"/>
  <c r="E161" i="1"/>
  <c r="P160" i="1"/>
  <c r="U160" i="1" s="1"/>
  <c r="F160" i="1"/>
  <c r="E160" i="1"/>
  <c r="P159" i="1"/>
  <c r="U159" i="1" s="1"/>
  <c r="L159" i="1"/>
  <c r="K159" i="1"/>
  <c r="F159" i="1"/>
  <c r="E159" i="1"/>
  <c r="P158" i="1"/>
  <c r="L158" i="1"/>
  <c r="K158" i="1"/>
  <c r="F158" i="1"/>
  <c r="E158" i="1"/>
  <c r="P157" i="1"/>
  <c r="Q157" i="1" s="1"/>
  <c r="V157" i="1" s="1"/>
  <c r="L157" i="1"/>
  <c r="K157" i="1"/>
  <c r="F157" i="1"/>
  <c r="E157" i="1"/>
  <c r="P156" i="1"/>
  <c r="U156" i="1" s="1"/>
  <c r="F156" i="1"/>
  <c r="E156" i="1"/>
  <c r="P155" i="1"/>
  <c r="U155" i="1" s="1"/>
  <c r="F155" i="1"/>
  <c r="E155" i="1"/>
  <c r="P154" i="1"/>
  <c r="R154" i="1" s="1"/>
  <c r="W154" i="1" s="1"/>
  <c r="L154" i="1"/>
  <c r="K154" i="1"/>
  <c r="F154" i="1"/>
  <c r="E154" i="1"/>
  <c r="P153" i="1"/>
  <c r="Q153" i="1" s="1"/>
  <c r="V153" i="1" s="1"/>
  <c r="L153" i="1"/>
  <c r="K153" i="1"/>
  <c r="F153" i="1"/>
  <c r="E153" i="1"/>
  <c r="P152" i="1"/>
  <c r="U152" i="1" s="1"/>
  <c r="L152" i="1"/>
  <c r="K152" i="1"/>
  <c r="F152" i="1"/>
  <c r="E152" i="1"/>
  <c r="P151" i="1"/>
  <c r="U151" i="1" s="1"/>
  <c r="L151" i="1"/>
  <c r="K151" i="1"/>
  <c r="F151" i="1"/>
  <c r="E151" i="1"/>
  <c r="P150" i="1"/>
  <c r="R150" i="1" s="1"/>
  <c r="W150" i="1" s="1"/>
  <c r="L150" i="1"/>
  <c r="K150" i="1"/>
  <c r="F150" i="1"/>
  <c r="E150" i="1"/>
  <c r="AO149" i="1"/>
  <c r="Z149" i="1"/>
  <c r="P148" i="1"/>
  <c r="U148" i="1" s="1"/>
  <c r="L148" i="1"/>
  <c r="K148" i="1"/>
  <c r="F148" i="1"/>
  <c r="E148" i="1"/>
  <c r="P147" i="1"/>
  <c r="U147" i="1" s="1"/>
  <c r="L147" i="1"/>
  <c r="K147" i="1"/>
  <c r="F147" i="1"/>
  <c r="E147" i="1"/>
  <c r="P146" i="1"/>
  <c r="Q146" i="1" s="1"/>
  <c r="V146" i="1" s="1"/>
  <c r="L146" i="1"/>
  <c r="K146" i="1"/>
  <c r="F146" i="1"/>
  <c r="E146" i="1"/>
  <c r="P145" i="1"/>
  <c r="U145" i="1" s="1"/>
  <c r="L145" i="1"/>
  <c r="K145" i="1"/>
  <c r="F145" i="1"/>
  <c r="E145" i="1"/>
  <c r="P144" i="1"/>
  <c r="L144" i="1"/>
  <c r="K144" i="1"/>
  <c r="F144" i="1"/>
  <c r="E144" i="1"/>
  <c r="P143" i="1"/>
  <c r="U143" i="1" s="1"/>
  <c r="F143" i="1"/>
  <c r="E143" i="1"/>
  <c r="P142" i="1"/>
  <c r="F142" i="1"/>
  <c r="E142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I136" i="1"/>
  <c r="Y133" i="1"/>
  <c r="Y131" i="1"/>
  <c r="Y129" i="1"/>
  <c r="AT124" i="1"/>
  <c r="N124" i="1"/>
  <c r="AX124" i="1" s="1"/>
  <c r="M124" i="1"/>
  <c r="AW124" i="1" s="1"/>
  <c r="L124" i="1"/>
  <c r="AU124" i="1" s="1"/>
  <c r="K124" i="1"/>
  <c r="J124" i="1"/>
  <c r="AX123" i="1"/>
  <c r="AW123" i="1"/>
  <c r="AU123" i="1"/>
  <c r="AT123" i="1"/>
  <c r="O123" i="1"/>
  <c r="AX122" i="1"/>
  <c r="AW122" i="1"/>
  <c r="AU122" i="1"/>
  <c r="AT122" i="1"/>
  <c r="O122" i="1"/>
  <c r="AX121" i="1"/>
  <c r="AW121" i="1"/>
  <c r="AU121" i="1"/>
  <c r="AT121" i="1"/>
  <c r="O121" i="1"/>
  <c r="AX120" i="1"/>
  <c r="AW120" i="1"/>
  <c r="AU120" i="1"/>
  <c r="AT120" i="1"/>
  <c r="O120" i="1"/>
  <c r="AX119" i="1"/>
  <c r="AW119" i="1"/>
  <c r="AU119" i="1"/>
  <c r="AT119" i="1"/>
  <c r="O119" i="1"/>
  <c r="AX118" i="1"/>
  <c r="AW118" i="1"/>
  <c r="AU118" i="1"/>
  <c r="AT118" i="1"/>
  <c r="O118" i="1"/>
  <c r="AX117" i="1"/>
  <c r="AW117" i="1"/>
  <c r="AU117" i="1"/>
  <c r="AT117" i="1"/>
  <c r="AT116" i="1"/>
  <c r="N116" i="1"/>
  <c r="AX116" i="1" s="1"/>
  <c r="M116" i="1"/>
  <c r="AW116" i="1" s="1"/>
  <c r="L116" i="1"/>
  <c r="AU116" i="1" s="1"/>
  <c r="K116" i="1"/>
  <c r="J116" i="1"/>
  <c r="O115" i="1"/>
  <c r="O114" i="1"/>
  <c r="O113" i="1"/>
  <c r="O112" i="1"/>
  <c r="O111" i="1"/>
  <c r="AX110" i="1"/>
  <c r="AW110" i="1"/>
  <c r="AU110" i="1"/>
  <c r="AT110" i="1"/>
  <c r="AT109" i="1"/>
  <c r="N109" i="1"/>
  <c r="AX109" i="1" s="1"/>
  <c r="M109" i="1"/>
  <c r="AW109" i="1" s="1"/>
  <c r="L109" i="1"/>
  <c r="AU109" i="1" s="1"/>
  <c r="K109" i="1"/>
  <c r="J109" i="1"/>
  <c r="O108" i="1"/>
  <c r="O107" i="1"/>
  <c r="O106" i="1"/>
  <c r="O105" i="1"/>
  <c r="O104" i="1"/>
  <c r="AX103" i="1"/>
  <c r="AW103" i="1"/>
  <c r="AU103" i="1"/>
  <c r="AT103" i="1"/>
  <c r="AT102" i="1"/>
  <c r="N102" i="1"/>
  <c r="AX102" i="1" s="1"/>
  <c r="M102" i="1"/>
  <c r="AW102" i="1" s="1"/>
  <c r="L102" i="1"/>
  <c r="AU102" i="1" s="1"/>
  <c r="K102" i="1"/>
  <c r="J102" i="1"/>
  <c r="O101" i="1"/>
  <c r="O100" i="1"/>
  <c r="O99" i="1"/>
  <c r="O98" i="1"/>
  <c r="O97" i="1"/>
  <c r="O96" i="1"/>
  <c r="AX95" i="1"/>
  <c r="AW95" i="1"/>
  <c r="AU95" i="1"/>
  <c r="AT95" i="1"/>
  <c r="AT94" i="1"/>
  <c r="AB94" i="1"/>
  <c r="N94" i="1"/>
  <c r="AX94" i="1" s="1"/>
  <c r="M94" i="1"/>
  <c r="AW94" i="1" s="1"/>
  <c r="L94" i="1"/>
  <c r="AU94" i="1" s="1"/>
  <c r="K94" i="1"/>
  <c r="J94" i="1"/>
  <c r="O93" i="1"/>
  <c r="O92" i="1"/>
  <c r="O91" i="1"/>
  <c r="O90" i="1"/>
  <c r="O89" i="1"/>
  <c r="AX88" i="1"/>
  <c r="AW88" i="1"/>
  <c r="AU88" i="1"/>
  <c r="AT88" i="1"/>
  <c r="AT87" i="1"/>
  <c r="N87" i="1"/>
  <c r="AX87" i="1" s="1"/>
  <c r="M87" i="1"/>
  <c r="AW87" i="1" s="1"/>
  <c r="L87" i="1"/>
  <c r="AU87" i="1" s="1"/>
  <c r="K87" i="1"/>
  <c r="J87" i="1"/>
  <c r="O86" i="1"/>
  <c r="O85" i="1"/>
  <c r="O84" i="1"/>
  <c r="O83" i="1"/>
  <c r="AX82" i="1"/>
  <c r="AW82" i="1"/>
  <c r="AU82" i="1"/>
  <c r="AT82" i="1"/>
  <c r="AT81" i="1"/>
  <c r="N81" i="1"/>
  <c r="AX81" i="1" s="1"/>
  <c r="M81" i="1"/>
  <c r="AW81" i="1" s="1"/>
  <c r="L81" i="1"/>
  <c r="AU81" i="1" s="1"/>
  <c r="K81" i="1"/>
  <c r="J81" i="1"/>
  <c r="AX80" i="1"/>
  <c r="AW80" i="1"/>
  <c r="AU80" i="1"/>
  <c r="AT80" i="1"/>
  <c r="O80" i="1"/>
  <c r="O79" i="1"/>
  <c r="O78" i="1"/>
  <c r="O77" i="1"/>
  <c r="O76" i="1"/>
  <c r="O75" i="1"/>
  <c r="O74" i="1"/>
  <c r="O73" i="1"/>
  <c r="AX72" i="1"/>
  <c r="AW72" i="1"/>
  <c r="AU72" i="1"/>
  <c r="AT72" i="1"/>
  <c r="AT71" i="1"/>
  <c r="N71" i="1"/>
  <c r="AX71" i="1" s="1"/>
  <c r="M71" i="1"/>
  <c r="AW71" i="1" s="1"/>
  <c r="L71" i="1"/>
  <c r="AU71" i="1" s="1"/>
  <c r="K71" i="1"/>
  <c r="J71" i="1"/>
  <c r="AX70" i="1"/>
  <c r="AW70" i="1"/>
  <c r="AU70" i="1"/>
  <c r="AT70" i="1"/>
  <c r="O70" i="1"/>
  <c r="O69" i="1"/>
  <c r="O68" i="1"/>
  <c r="O67" i="1"/>
  <c r="AX66" i="1"/>
  <c r="AW66" i="1"/>
  <c r="AU66" i="1"/>
  <c r="AT66" i="1"/>
  <c r="AT65" i="1"/>
  <c r="N65" i="1"/>
  <c r="AX65" i="1" s="1"/>
  <c r="M65" i="1"/>
  <c r="AW65" i="1" s="1"/>
  <c r="L65" i="1"/>
  <c r="AU65" i="1" s="1"/>
  <c r="K65" i="1"/>
  <c r="J65" i="1"/>
  <c r="AX64" i="1"/>
  <c r="AW64" i="1"/>
  <c r="AU64" i="1"/>
  <c r="AT64" i="1"/>
  <c r="O64" i="1"/>
  <c r="AX63" i="1"/>
  <c r="AW63" i="1"/>
  <c r="AU63" i="1"/>
  <c r="AT63" i="1"/>
  <c r="O63" i="1"/>
  <c r="O62" i="1"/>
  <c r="O61" i="1"/>
  <c r="O60" i="1"/>
  <c r="O59" i="1"/>
  <c r="O58" i="1"/>
  <c r="AX57" i="1"/>
  <c r="AW57" i="1"/>
  <c r="AU57" i="1"/>
  <c r="AT57" i="1"/>
  <c r="AT56" i="1"/>
  <c r="N56" i="1"/>
  <c r="AX56" i="1" s="1"/>
  <c r="M56" i="1"/>
  <c r="AW56" i="1" s="1"/>
  <c r="L56" i="1"/>
  <c r="AU56" i="1" s="1"/>
  <c r="K56" i="1"/>
  <c r="J56" i="1"/>
  <c r="O55" i="1"/>
  <c r="O54" i="1"/>
  <c r="O52" i="1"/>
  <c r="AX51" i="1"/>
  <c r="AW51" i="1"/>
  <c r="AU51" i="1"/>
  <c r="AT51" i="1"/>
  <c r="AT50" i="1"/>
  <c r="AX50" i="1"/>
  <c r="M50" i="1"/>
  <c r="AW50" i="1" s="1"/>
  <c r="AU50" i="1"/>
  <c r="K50" i="1"/>
  <c r="J50" i="1"/>
  <c r="O49" i="1"/>
  <c r="O48" i="1"/>
  <c r="O43" i="1"/>
  <c r="AX39" i="1"/>
  <c r="AW39" i="1"/>
  <c r="AU39" i="1"/>
  <c r="AT39" i="1"/>
  <c r="AT38" i="1"/>
  <c r="AX38" i="1"/>
  <c r="M38" i="1"/>
  <c r="AW38" i="1" s="1"/>
  <c r="AX33" i="1"/>
  <c r="AW33" i="1"/>
  <c r="AU33" i="1"/>
  <c r="AT33" i="1"/>
  <c r="AX35" i="1"/>
  <c r="AW35" i="1"/>
  <c r="AU35" i="1"/>
  <c r="AT35" i="1"/>
  <c r="AX36" i="1"/>
  <c r="AW36" i="1"/>
  <c r="AU36" i="1"/>
  <c r="AT36" i="1"/>
  <c r="AU32" i="1"/>
  <c r="AT32" i="1"/>
  <c r="O32" i="1"/>
  <c r="AU30" i="1"/>
  <c r="AX29" i="1"/>
  <c r="AW29" i="1"/>
  <c r="AU29" i="1"/>
  <c r="AT29" i="1"/>
  <c r="O29" i="1"/>
  <c r="AX31" i="1"/>
  <c r="AW31" i="1"/>
  <c r="AT31" i="1"/>
  <c r="O31" i="1"/>
  <c r="L31" i="1"/>
  <c r="L38" i="1" s="1"/>
  <c r="AX28" i="1"/>
  <c r="AW28" i="1"/>
  <c r="AU28" i="1"/>
  <c r="AT28" i="1"/>
  <c r="AT27" i="1"/>
  <c r="N27" i="1"/>
  <c r="AX27" i="1" s="1"/>
  <c r="M27" i="1"/>
  <c r="AW27" i="1" s="1"/>
  <c r="L27" i="1"/>
  <c r="AU27" i="1" s="1"/>
  <c r="AX26" i="1"/>
  <c r="AW26" i="1"/>
  <c r="AU26" i="1"/>
  <c r="AT26" i="1"/>
  <c r="O26" i="1"/>
  <c r="J26" i="1"/>
  <c r="AX25" i="1"/>
  <c r="AW25" i="1"/>
  <c r="AU25" i="1"/>
  <c r="AT25" i="1"/>
  <c r="O25" i="1"/>
  <c r="K25" i="1"/>
  <c r="J25" i="1"/>
  <c r="AX24" i="1"/>
  <c r="AW24" i="1"/>
  <c r="AU24" i="1"/>
  <c r="AT24" i="1"/>
  <c r="K24" i="1"/>
  <c r="J24" i="1"/>
  <c r="AX23" i="1"/>
  <c r="AW23" i="1"/>
  <c r="AU23" i="1"/>
  <c r="AT23" i="1"/>
  <c r="O23" i="1"/>
  <c r="K23" i="1"/>
  <c r="J23" i="1"/>
  <c r="O22" i="1"/>
  <c r="K22" i="1"/>
  <c r="J22" i="1"/>
  <c r="O21" i="1"/>
  <c r="K21" i="1"/>
  <c r="J21" i="1"/>
  <c r="AX20" i="1"/>
  <c r="AW20" i="1"/>
  <c r="AU20" i="1"/>
  <c r="AT20" i="1"/>
  <c r="O20" i="1"/>
  <c r="K20" i="1"/>
  <c r="J20" i="1"/>
  <c r="AX19" i="1"/>
  <c r="AW19" i="1"/>
  <c r="AU19" i="1"/>
  <c r="AT19" i="1"/>
  <c r="O19" i="1"/>
  <c r="K19" i="1"/>
  <c r="J19" i="1"/>
  <c r="AX18" i="1"/>
  <c r="AW18" i="1"/>
  <c r="AU18" i="1"/>
  <c r="AT18" i="1"/>
  <c r="AT17" i="1"/>
  <c r="N17" i="1"/>
  <c r="AX17" i="1" s="1"/>
  <c r="M17" i="1"/>
  <c r="AW17" i="1" s="1"/>
  <c r="L17" i="1"/>
  <c r="AU17" i="1" s="1"/>
  <c r="AU16" i="1"/>
  <c r="AT16" i="1"/>
  <c r="O16" i="1"/>
  <c r="AU15" i="1"/>
  <c r="AT15" i="1"/>
  <c r="O15" i="1"/>
  <c r="K15" i="1"/>
  <c r="J15" i="1"/>
  <c r="AX14" i="1"/>
  <c r="AW14" i="1"/>
  <c r="AU14" i="1"/>
  <c r="AT14" i="1"/>
  <c r="O14" i="1"/>
  <c r="K14" i="1"/>
  <c r="J14" i="1"/>
  <c r="AU13" i="1"/>
  <c r="AT13" i="1"/>
  <c r="AU12" i="1"/>
  <c r="AT12" i="1"/>
  <c r="O12" i="1"/>
  <c r="G132" i="1" s="1"/>
  <c r="K12" i="1"/>
  <c r="J12" i="1"/>
  <c r="AX11" i="1"/>
  <c r="AW11" i="1"/>
  <c r="AU11" i="1"/>
  <c r="AT11" i="1"/>
  <c r="AT10" i="1"/>
  <c r="N10" i="1"/>
  <c r="AX10" i="1" s="1"/>
  <c r="M10" i="1"/>
  <c r="AW10" i="1" s="1"/>
  <c r="L10" i="1"/>
  <c r="AU10" i="1" s="1"/>
  <c r="AX9" i="1"/>
  <c r="AW9" i="1"/>
  <c r="AU9" i="1"/>
  <c r="AT9" i="1"/>
  <c r="O9" i="1"/>
  <c r="K9" i="1"/>
  <c r="J9" i="1"/>
  <c r="AT8" i="1"/>
  <c r="O8" i="1"/>
  <c r="K8" i="1"/>
  <c r="J8" i="1"/>
  <c r="AT7" i="1"/>
  <c r="O7" i="1"/>
  <c r="K7" i="1"/>
  <c r="J7" i="1"/>
  <c r="AX6" i="1"/>
  <c r="AW6" i="1"/>
  <c r="AU6" i="1"/>
  <c r="AT6" i="1"/>
  <c r="O6" i="1"/>
  <c r="K6" i="1"/>
  <c r="J6" i="1"/>
  <c r="AT5" i="1"/>
  <c r="O5" i="1"/>
  <c r="K5" i="1"/>
  <c r="J5" i="1"/>
  <c r="O50" i="1" l="1"/>
  <c r="O38" i="1"/>
  <c r="J132" i="1"/>
  <c r="J130" i="1"/>
  <c r="J136" i="1" s="1"/>
  <c r="G150" i="1"/>
  <c r="I150" i="1" s="1"/>
  <c r="H132" i="1"/>
  <c r="AZ33" i="1"/>
  <c r="AZ110" i="1"/>
  <c r="AZ63" i="1"/>
  <c r="AY36" i="1"/>
  <c r="AZ31" i="1"/>
  <c r="AY95" i="1"/>
  <c r="AY118" i="1"/>
  <c r="AZ119" i="1"/>
  <c r="AZ87" i="1"/>
  <c r="AU31" i="1"/>
  <c r="AY39" i="1"/>
  <c r="AZ23" i="1"/>
  <c r="Q174" i="1"/>
  <c r="AY66" i="1"/>
  <c r="AY94" i="1"/>
  <c r="M152" i="1"/>
  <c r="F177" i="1"/>
  <c r="H177" i="1" s="1"/>
  <c r="F190" i="1"/>
  <c r="H190" i="1" s="1"/>
  <c r="AZ57" i="1"/>
  <c r="M154" i="1"/>
  <c r="T174" i="1"/>
  <c r="Q177" i="1"/>
  <c r="AZ11" i="1"/>
  <c r="O94" i="1"/>
  <c r="AY14" i="1"/>
  <c r="AY18" i="1"/>
  <c r="G146" i="1"/>
  <c r="Y146" i="1" s="1"/>
  <c r="AA146" i="1" s="1"/>
  <c r="G153" i="1"/>
  <c r="I153" i="1" s="1"/>
  <c r="Q142" i="1"/>
  <c r="V142" i="1" s="1"/>
  <c r="AY123" i="1"/>
  <c r="O87" i="1"/>
  <c r="U142" i="1"/>
  <c r="R163" i="1"/>
  <c r="W163" i="1" s="1"/>
  <c r="X163" i="1" s="1"/>
  <c r="AO168" i="1"/>
  <c r="AO171" i="1" s="1"/>
  <c r="U163" i="1"/>
  <c r="AY26" i="1"/>
  <c r="AY124" i="1"/>
  <c r="G164" i="1"/>
  <c r="Y164" i="1" s="1"/>
  <c r="AP164" i="1" s="1"/>
  <c r="AY33" i="1"/>
  <c r="AZ122" i="1"/>
  <c r="M165" i="1"/>
  <c r="AU38" i="1"/>
  <c r="U161" i="1"/>
  <c r="AY19" i="1"/>
  <c r="K155" i="1" s="1"/>
  <c r="O71" i="1"/>
  <c r="AY120" i="1"/>
  <c r="AY50" i="1"/>
  <c r="AZ50" i="1"/>
  <c r="AZ123" i="1"/>
  <c r="AZ19" i="1"/>
  <c r="L155" i="1" s="1"/>
  <c r="AZ35" i="1"/>
  <c r="Q145" i="1"/>
  <c r="V145" i="1" s="1"/>
  <c r="AZ28" i="1"/>
  <c r="AZ118" i="1"/>
  <c r="AZ121" i="1"/>
  <c r="R145" i="1"/>
  <c r="W145" i="1" s="1"/>
  <c r="R161" i="1"/>
  <c r="W161" i="1" s="1"/>
  <c r="X161" i="1" s="1"/>
  <c r="R157" i="1"/>
  <c r="W157" i="1" s="1"/>
  <c r="X157" i="1" s="1"/>
  <c r="M159" i="1"/>
  <c r="U157" i="1"/>
  <c r="AY102" i="1"/>
  <c r="AZ95" i="1"/>
  <c r="R146" i="1"/>
  <c r="W146" i="1" s="1"/>
  <c r="X146" i="1" s="1"/>
  <c r="AZ26" i="1"/>
  <c r="U146" i="1"/>
  <c r="O102" i="1"/>
  <c r="AY110" i="1"/>
  <c r="Z168" i="1"/>
  <c r="Z171" i="1" s="1"/>
  <c r="AZ65" i="1"/>
  <c r="AZ124" i="1"/>
  <c r="AZ39" i="1"/>
  <c r="AY63" i="1"/>
  <c r="AZ103" i="1"/>
  <c r="I193" i="1"/>
  <c r="AY57" i="1"/>
  <c r="AY117" i="1"/>
  <c r="U150" i="1"/>
  <c r="R153" i="1"/>
  <c r="W153" i="1" s="1"/>
  <c r="X153" i="1" s="1"/>
  <c r="G166" i="1"/>
  <c r="Y166" i="1" s="1"/>
  <c r="AA166" i="1" s="1"/>
  <c r="O81" i="1"/>
  <c r="J27" i="1"/>
  <c r="AY24" i="1"/>
  <c r="O10" i="1"/>
  <c r="AY29" i="1"/>
  <c r="AY64" i="1"/>
  <c r="AZ94" i="1"/>
  <c r="O116" i="1"/>
  <c r="AZ120" i="1"/>
  <c r="U153" i="1"/>
  <c r="M144" i="1"/>
  <c r="G157" i="1"/>
  <c r="H157" i="1" s="1"/>
  <c r="F183" i="1"/>
  <c r="H183" i="1" s="1"/>
  <c r="G159" i="1"/>
  <c r="Y159" i="1" s="1"/>
  <c r="AA159" i="1" s="1"/>
  <c r="M162" i="1"/>
  <c r="G165" i="1"/>
  <c r="Y165" i="1" s="1"/>
  <c r="AA165" i="1" s="1"/>
  <c r="F178" i="1"/>
  <c r="H178" i="1" s="1"/>
  <c r="T180" i="1"/>
  <c r="F191" i="1"/>
  <c r="H191" i="1" s="1"/>
  <c r="T176" i="1"/>
  <c r="F181" i="1"/>
  <c r="H181" i="1" s="1"/>
  <c r="M145" i="1"/>
  <c r="G155" i="1"/>
  <c r="Y155" i="1" s="1"/>
  <c r="AA155" i="1" s="1"/>
  <c r="M158" i="1"/>
  <c r="F175" i="1"/>
  <c r="H175" i="1" s="1"/>
  <c r="M153" i="1"/>
  <c r="F176" i="1"/>
  <c r="H176" i="1" s="1"/>
  <c r="G160" i="1"/>
  <c r="Y160" i="1" s="1"/>
  <c r="AP160" i="1" s="1"/>
  <c r="J192" i="1"/>
  <c r="F193" i="1"/>
  <c r="H193" i="1" s="1"/>
  <c r="AZ27" i="1"/>
  <c r="M147" i="1"/>
  <c r="AY11" i="1"/>
  <c r="N175" i="1"/>
  <c r="G151" i="1"/>
  <c r="H151" i="1" s="1"/>
  <c r="M157" i="1"/>
  <c r="M163" i="1"/>
  <c r="G161" i="1"/>
  <c r="Y161" i="1" s="1"/>
  <c r="AP161" i="1" s="1"/>
  <c r="AY17" i="1"/>
  <c r="F149" i="1"/>
  <c r="M151" i="1"/>
  <c r="F174" i="1"/>
  <c r="H174" i="1" s="1"/>
  <c r="F179" i="1"/>
  <c r="H179" i="1" s="1"/>
  <c r="AZ17" i="1"/>
  <c r="E167" i="1"/>
  <c r="AZ14" i="1"/>
  <c r="G154" i="1"/>
  <c r="Y154" i="1" s="1"/>
  <c r="AP154" i="1" s="1"/>
  <c r="N176" i="1"/>
  <c r="E194" i="1"/>
  <c r="G144" i="1"/>
  <c r="Y144" i="1" s="1"/>
  <c r="N179" i="1"/>
  <c r="N183" i="1" s="1"/>
  <c r="M164" i="1"/>
  <c r="G147" i="1"/>
  <c r="Y147" i="1" s="1"/>
  <c r="AA147" i="1" s="1"/>
  <c r="T178" i="1"/>
  <c r="O179" i="1"/>
  <c r="Q179" i="1" s="1"/>
  <c r="M161" i="1"/>
  <c r="R179" i="1"/>
  <c r="R181" i="1" s="1"/>
  <c r="M146" i="1"/>
  <c r="M148" i="1"/>
  <c r="G158" i="1"/>
  <c r="Y158" i="1" s="1"/>
  <c r="AP158" i="1" s="1"/>
  <c r="T177" i="1"/>
  <c r="F180" i="1"/>
  <c r="H180" i="1" s="1"/>
  <c r="AY56" i="1"/>
  <c r="AZ56" i="1"/>
  <c r="AZ116" i="1"/>
  <c r="AY116" i="1"/>
  <c r="AZ10" i="1"/>
  <c r="AY10" i="1"/>
  <c r="AZ72" i="1"/>
  <c r="AY72" i="1"/>
  <c r="AY80" i="1"/>
  <c r="AZ80" i="1"/>
  <c r="I191" i="1"/>
  <c r="R158" i="1"/>
  <c r="W158" i="1" s="1"/>
  <c r="U158" i="1"/>
  <c r="Q158" i="1"/>
  <c r="AZ109" i="1"/>
  <c r="AY109" i="1"/>
  <c r="R144" i="1"/>
  <c r="W144" i="1" s="1"/>
  <c r="Q144" i="1"/>
  <c r="Q143" i="1"/>
  <c r="N178" i="1"/>
  <c r="Q148" i="1"/>
  <c r="AP162" i="1"/>
  <c r="AA162" i="1"/>
  <c r="AA170" i="1"/>
  <c r="Q152" i="1"/>
  <c r="H162" i="1"/>
  <c r="O17" i="1"/>
  <c r="AZ18" i="1"/>
  <c r="AY23" i="1"/>
  <c r="Q166" i="1"/>
  <c r="N174" i="1"/>
  <c r="AZ36" i="1"/>
  <c r="AZ64" i="1"/>
  <c r="Q147" i="1"/>
  <c r="D184" i="1"/>
  <c r="F173" i="1"/>
  <c r="K10" i="1"/>
  <c r="O27" i="1"/>
  <c r="H130" i="1" s="1"/>
  <c r="AY82" i="1"/>
  <c r="AY87" i="1"/>
  <c r="R147" i="1"/>
  <c r="W147" i="1" s="1"/>
  <c r="M150" i="1"/>
  <c r="R151" i="1"/>
  <c r="W151" i="1" s="1"/>
  <c r="Q159" i="1"/>
  <c r="E184" i="1"/>
  <c r="AZ88" i="1"/>
  <c r="AY88" i="1"/>
  <c r="Q154" i="1"/>
  <c r="AY51" i="1"/>
  <c r="AZ51" i="1"/>
  <c r="AY121" i="1"/>
  <c r="Q164" i="1"/>
  <c r="AY6" i="1"/>
  <c r="AZ6" i="1"/>
  <c r="AY65" i="1"/>
  <c r="R183" i="1"/>
  <c r="T175" i="1"/>
  <c r="AY27" i="1"/>
  <c r="AZ71" i="1"/>
  <c r="AY71" i="1"/>
  <c r="AZ102" i="1"/>
  <c r="AZ117" i="1"/>
  <c r="I162" i="1"/>
  <c r="O65" i="1"/>
  <c r="O124" i="1"/>
  <c r="Q151" i="1"/>
  <c r="Q155" i="1"/>
  <c r="R159" i="1"/>
  <c r="W159" i="1" s="1"/>
  <c r="U144" i="1"/>
  <c r="J190" i="1"/>
  <c r="R164" i="1"/>
  <c r="W164" i="1" s="1"/>
  <c r="P175" i="1"/>
  <c r="Q175" i="1" s="1"/>
  <c r="AY119" i="1"/>
  <c r="F167" i="1"/>
  <c r="Q160" i="1"/>
  <c r="R152" i="1"/>
  <c r="W152" i="1" s="1"/>
  <c r="Q156" i="1"/>
  <c r="AY20" i="1"/>
  <c r="AZ20" i="1"/>
  <c r="J10" i="1"/>
  <c r="AZ66" i="1"/>
  <c r="J17" i="1"/>
  <c r="AY28" i="1"/>
  <c r="AZ24" i="1"/>
  <c r="L142" i="1" s="1"/>
  <c r="AZ82" i="1"/>
  <c r="AY103" i="1"/>
  <c r="Q150" i="1"/>
  <c r="Q162" i="1"/>
  <c r="L181" i="1"/>
  <c r="U154" i="1"/>
  <c r="AZ38" i="1"/>
  <c r="AY38" i="1"/>
  <c r="K17" i="1"/>
  <c r="AY25" i="1"/>
  <c r="AZ25" i="1"/>
  <c r="AZ81" i="1"/>
  <c r="AY81" i="1"/>
  <c r="R148" i="1"/>
  <c r="W148" i="1" s="1"/>
  <c r="AZ29" i="1"/>
  <c r="F192" i="1"/>
  <c r="H192" i="1" s="1"/>
  <c r="D194" i="1"/>
  <c r="R162" i="1"/>
  <c r="W162" i="1" s="1"/>
  <c r="R165" i="1"/>
  <c r="W165" i="1" s="1"/>
  <c r="Q165" i="1"/>
  <c r="M181" i="1"/>
  <c r="O176" i="1"/>
  <c r="Q176" i="1" s="1"/>
  <c r="N173" i="1"/>
  <c r="AY35" i="1"/>
  <c r="O109" i="1"/>
  <c r="O173" i="1"/>
  <c r="S183" i="1"/>
  <c r="AY31" i="1"/>
  <c r="AY122" i="1"/>
  <c r="G143" i="1"/>
  <c r="Y143" i="1" s="1"/>
  <c r="G145" i="1"/>
  <c r="Y145" i="1" s="1"/>
  <c r="AA145" i="1" s="1"/>
  <c r="P173" i="1"/>
  <c r="N177" i="1"/>
  <c r="Q178" i="1"/>
  <c r="AZ9" i="1"/>
  <c r="AY9" i="1"/>
  <c r="N180" i="1"/>
  <c r="O180" i="1"/>
  <c r="Q180" i="1" s="1"/>
  <c r="G142" i="1"/>
  <c r="E149" i="1"/>
  <c r="O56" i="1"/>
  <c r="AZ70" i="1"/>
  <c r="AY70" i="1"/>
  <c r="G148" i="1"/>
  <c r="Y148" i="1" s="1"/>
  <c r="G152" i="1"/>
  <c r="Y152" i="1" s="1"/>
  <c r="G156" i="1"/>
  <c r="Y156" i="1" s="1"/>
  <c r="G163" i="1"/>
  <c r="Y163" i="1" s="1"/>
  <c r="T173" i="1"/>
  <c r="F182" i="1"/>
  <c r="H182" i="1" s="1"/>
  <c r="I189" i="14"/>
  <c r="J189" i="14" s="1"/>
  <c r="G189" i="14"/>
  <c r="E189" i="14"/>
  <c r="E190" i="14" s="1"/>
  <c r="D189" i="14"/>
  <c r="I188" i="14"/>
  <c r="J188" i="14" s="1"/>
  <c r="G188" i="14"/>
  <c r="F188" i="14"/>
  <c r="H188" i="14" s="1"/>
  <c r="E188" i="14"/>
  <c r="D188" i="14"/>
  <c r="F187" i="14"/>
  <c r="H187" i="14" s="1"/>
  <c r="E187" i="14"/>
  <c r="D187" i="14"/>
  <c r="I186" i="14"/>
  <c r="G186" i="14"/>
  <c r="E186" i="14"/>
  <c r="D186" i="14"/>
  <c r="F186" i="14" s="1"/>
  <c r="H181" i="14"/>
  <c r="R179" i="14"/>
  <c r="N179" i="14"/>
  <c r="G179" i="14"/>
  <c r="F179" i="14"/>
  <c r="H179" i="14" s="1"/>
  <c r="E179" i="14"/>
  <c r="D179" i="14"/>
  <c r="G178" i="14"/>
  <c r="E178" i="14"/>
  <c r="D178" i="14"/>
  <c r="F178" i="14" s="1"/>
  <c r="H178" i="14" s="1"/>
  <c r="G177" i="14"/>
  <c r="F177" i="14"/>
  <c r="H177" i="14" s="1"/>
  <c r="E177" i="14"/>
  <c r="D177" i="14"/>
  <c r="S176" i="14"/>
  <c r="R176" i="14"/>
  <c r="T176" i="14" s="1"/>
  <c r="N176" i="14"/>
  <c r="M176" i="14"/>
  <c r="P176" i="14" s="1"/>
  <c r="L176" i="14"/>
  <c r="O176" i="14" s="1"/>
  <c r="Q176" i="14" s="1"/>
  <c r="G176" i="14"/>
  <c r="E176" i="14"/>
  <c r="F176" i="14" s="1"/>
  <c r="H176" i="14" s="1"/>
  <c r="D176" i="14"/>
  <c r="P175" i="14"/>
  <c r="O175" i="14"/>
  <c r="Q175" i="14" s="1"/>
  <c r="M175" i="14"/>
  <c r="L175" i="14"/>
  <c r="N175" i="14" s="1"/>
  <c r="G175" i="14"/>
  <c r="E175" i="14"/>
  <c r="D175" i="14"/>
  <c r="F175" i="14" s="1"/>
  <c r="H175" i="14" s="1"/>
  <c r="T174" i="14"/>
  <c r="S174" i="14"/>
  <c r="R174" i="14"/>
  <c r="P174" i="14"/>
  <c r="O174" i="14"/>
  <c r="Q174" i="14" s="1"/>
  <c r="N174" i="14"/>
  <c r="M174" i="14"/>
  <c r="L174" i="14"/>
  <c r="G174" i="14"/>
  <c r="E174" i="14"/>
  <c r="D174" i="14"/>
  <c r="F174" i="14" s="1"/>
  <c r="H174" i="14" s="1"/>
  <c r="S173" i="14"/>
  <c r="R173" i="14"/>
  <c r="N173" i="14"/>
  <c r="M173" i="14"/>
  <c r="P173" i="14" s="1"/>
  <c r="L173" i="14"/>
  <c r="O173" i="14" s="1"/>
  <c r="Q173" i="14" s="1"/>
  <c r="E173" i="14"/>
  <c r="D173" i="14"/>
  <c r="F173" i="14" s="1"/>
  <c r="H173" i="14" s="1"/>
  <c r="S172" i="14"/>
  <c r="R172" i="14"/>
  <c r="T172" i="14" s="1"/>
  <c r="P172" i="14"/>
  <c r="M172" i="14"/>
  <c r="L172" i="14"/>
  <c r="N172" i="14" s="1"/>
  <c r="H172" i="14"/>
  <c r="G172" i="14"/>
  <c r="F172" i="14"/>
  <c r="E172" i="14"/>
  <c r="D172" i="14"/>
  <c r="T171" i="14"/>
  <c r="S171" i="14"/>
  <c r="R171" i="14"/>
  <c r="O171" i="14"/>
  <c r="M171" i="14"/>
  <c r="P171" i="14" s="1"/>
  <c r="L171" i="14"/>
  <c r="E171" i="14"/>
  <c r="D171" i="14"/>
  <c r="F171" i="14" s="1"/>
  <c r="H171" i="14" s="1"/>
  <c r="S170" i="14"/>
  <c r="R170" i="14"/>
  <c r="T170" i="14" s="1"/>
  <c r="M170" i="14"/>
  <c r="P170" i="14" s="1"/>
  <c r="L170" i="14"/>
  <c r="E170" i="14"/>
  <c r="D170" i="14"/>
  <c r="S169" i="14"/>
  <c r="R169" i="14"/>
  <c r="M169" i="14"/>
  <c r="L169" i="14"/>
  <c r="E169" i="14"/>
  <c r="D169" i="14"/>
  <c r="AP166" i="14"/>
  <c r="AA166" i="14"/>
  <c r="Y166" i="14"/>
  <c r="AP165" i="14"/>
  <c r="AA165" i="14"/>
  <c r="X165" i="14"/>
  <c r="S165" i="14"/>
  <c r="AO163" i="14"/>
  <c r="Z163" i="14"/>
  <c r="P162" i="14"/>
  <c r="U162" i="14" s="1"/>
  <c r="F162" i="14"/>
  <c r="E162" i="14"/>
  <c r="W161" i="14"/>
  <c r="P161" i="14"/>
  <c r="R161" i="14" s="1"/>
  <c r="L161" i="14"/>
  <c r="M161" i="14" s="1"/>
  <c r="K161" i="14"/>
  <c r="G161" i="14"/>
  <c r="Y161" i="14" s="1"/>
  <c r="AA161" i="14" s="1"/>
  <c r="F161" i="14"/>
  <c r="E161" i="14"/>
  <c r="P160" i="14"/>
  <c r="U160" i="14" s="1"/>
  <c r="L160" i="14"/>
  <c r="K160" i="14"/>
  <c r="M160" i="14" s="1"/>
  <c r="F160" i="14"/>
  <c r="E160" i="14"/>
  <c r="U159" i="14"/>
  <c r="S159" i="14"/>
  <c r="R159" i="14"/>
  <c r="W159" i="14" s="1"/>
  <c r="Q159" i="14"/>
  <c r="V159" i="14" s="1"/>
  <c r="X159" i="14" s="1"/>
  <c r="P159" i="14"/>
  <c r="L159" i="14"/>
  <c r="K159" i="14"/>
  <c r="M159" i="14" s="1"/>
  <c r="F159" i="14"/>
  <c r="G159" i="14" s="1"/>
  <c r="Y159" i="14" s="1"/>
  <c r="E159" i="14"/>
  <c r="H159" i="14" s="1"/>
  <c r="P158" i="14"/>
  <c r="U158" i="14" s="1"/>
  <c r="M158" i="14"/>
  <c r="L158" i="14"/>
  <c r="K158" i="14"/>
  <c r="F158" i="14"/>
  <c r="V157" i="14"/>
  <c r="U157" i="14"/>
  <c r="R157" i="14"/>
  <c r="W157" i="14" s="1"/>
  <c r="P157" i="14"/>
  <c r="Q157" i="14" s="1"/>
  <c r="M157" i="14"/>
  <c r="L157" i="14"/>
  <c r="K157" i="14"/>
  <c r="G157" i="14"/>
  <c r="F157" i="14"/>
  <c r="E157" i="14"/>
  <c r="U156" i="14"/>
  <c r="Q156" i="14"/>
  <c r="V156" i="14" s="1"/>
  <c r="P156" i="14"/>
  <c r="F156" i="14"/>
  <c r="E156" i="14"/>
  <c r="G156" i="14" s="1"/>
  <c r="Y156" i="14" s="1"/>
  <c r="AP155" i="14"/>
  <c r="P155" i="14"/>
  <c r="U155" i="14" s="1"/>
  <c r="L155" i="14"/>
  <c r="K155" i="14"/>
  <c r="M155" i="14" s="1"/>
  <c r="F155" i="14"/>
  <c r="E155" i="14"/>
  <c r="G155" i="14" s="1"/>
  <c r="Y155" i="14" s="1"/>
  <c r="AA155" i="14" s="1"/>
  <c r="P154" i="14"/>
  <c r="R154" i="14" s="1"/>
  <c r="W154" i="14" s="1"/>
  <c r="M154" i="14"/>
  <c r="L154" i="14"/>
  <c r="K154" i="14"/>
  <c r="F154" i="14"/>
  <c r="E154" i="14"/>
  <c r="V153" i="14"/>
  <c r="X153" i="14" s="1"/>
  <c r="U153" i="14"/>
  <c r="S153" i="14"/>
  <c r="R153" i="14"/>
  <c r="W153" i="14" s="1"/>
  <c r="P153" i="14"/>
  <c r="Q153" i="14" s="1"/>
  <c r="M153" i="14"/>
  <c r="L153" i="14"/>
  <c r="K153" i="14"/>
  <c r="F153" i="14"/>
  <c r="E153" i="14"/>
  <c r="U152" i="14"/>
  <c r="P152" i="14"/>
  <c r="F152" i="14"/>
  <c r="E152" i="14"/>
  <c r="G152" i="14" s="1"/>
  <c r="Y152" i="14" s="1"/>
  <c r="AP151" i="14"/>
  <c r="P151" i="14"/>
  <c r="U151" i="14" s="1"/>
  <c r="F151" i="14"/>
  <c r="E151" i="14"/>
  <c r="G151" i="14" s="1"/>
  <c r="Y151" i="14" s="1"/>
  <c r="AA151" i="14" s="1"/>
  <c r="P150" i="14"/>
  <c r="R150" i="14" s="1"/>
  <c r="W150" i="14" s="1"/>
  <c r="L150" i="14"/>
  <c r="K150" i="14"/>
  <c r="F150" i="14"/>
  <c r="E150" i="14"/>
  <c r="V149" i="14"/>
  <c r="U149" i="14"/>
  <c r="R149" i="14"/>
  <c r="W149" i="14" s="1"/>
  <c r="P149" i="14"/>
  <c r="Q149" i="14" s="1"/>
  <c r="M149" i="14"/>
  <c r="L149" i="14"/>
  <c r="K149" i="14"/>
  <c r="G149" i="14"/>
  <c r="F149" i="14"/>
  <c r="E149" i="14"/>
  <c r="W148" i="14"/>
  <c r="U148" i="14"/>
  <c r="R148" i="14"/>
  <c r="Q148" i="14"/>
  <c r="V148" i="14" s="1"/>
  <c r="X148" i="14" s="1"/>
  <c r="P148" i="14"/>
  <c r="L148" i="14"/>
  <c r="K148" i="14"/>
  <c r="M148" i="14" s="1"/>
  <c r="F148" i="14"/>
  <c r="E148" i="14"/>
  <c r="Q147" i="14"/>
  <c r="P147" i="14"/>
  <c r="U147" i="14" s="1"/>
  <c r="L147" i="14"/>
  <c r="K147" i="14"/>
  <c r="M147" i="14" s="1"/>
  <c r="I147" i="14"/>
  <c r="H147" i="14"/>
  <c r="J147" i="14" s="1"/>
  <c r="F147" i="14"/>
  <c r="E147" i="14"/>
  <c r="G147" i="14" s="1"/>
  <c r="Y147" i="14" s="1"/>
  <c r="AA147" i="14" s="1"/>
  <c r="P146" i="14"/>
  <c r="L146" i="14"/>
  <c r="M146" i="14" s="1"/>
  <c r="K146" i="14"/>
  <c r="F146" i="14"/>
  <c r="E146" i="14"/>
  <c r="AO145" i="14"/>
  <c r="AO164" i="14" s="1"/>
  <c r="AO167" i="14" s="1"/>
  <c r="Z145" i="14"/>
  <c r="Z164" i="14" s="1"/>
  <c r="Z167" i="14" s="1"/>
  <c r="F145" i="14"/>
  <c r="X144" i="14"/>
  <c r="W144" i="14"/>
  <c r="U144" i="14"/>
  <c r="R144" i="14"/>
  <c r="Q144" i="14"/>
  <c r="V144" i="14" s="1"/>
  <c r="P144" i="14"/>
  <c r="L144" i="14"/>
  <c r="K144" i="14"/>
  <c r="M144" i="14" s="1"/>
  <c r="F144" i="14"/>
  <c r="E144" i="14"/>
  <c r="G144" i="14" s="1"/>
  <c r="Y144" i="14" s="1"/>
  <c r="AA143" i="14"/>
  <c r="Q143" i="14"/>
  <c r="P143" i="14"/>
  <c r="M143" i="14"/>
  <c r="L143" i="14"/>
  <c r="K143" i="14"/>
  <c r="G143" i="14"/>
  <c r="Y143" i="14" s="1"/>
  <c r="F143" i="14"/>
  <c r="E143" i="14"/>
  <c r="U142" i="14"/>
  <c r="R142" i="14"/>
  <c r="W142" i="14" s="1"/>
  <c r="P142" i="14"/>
  <c r="Q142" i="14" s="1"/>
  <c r="V142" i="14" s="1"/>
  <c r="X142" i="14" s="1"/>
  <c r="L142" i="14"/>
  <c r="M142" i="14" s="1"/>
  <c r="K142" i="14"/>
  <c r="F142" i="14"/>
  <c r="E142" i="14"/>
  <c r="P141" i="14"/>
  <c r="U141" i="14" s="1"/>
  <c r="M141" i="14"/>
  <c r="L141" i="14"/>
  <c r="K141" i="14"/>
  <c r="F141" i="14"/>
  <c r="E141" i="14"/>
  <c r="AP140" i="14"/>
  <c r="W140" i="14"/>
  <c r="U140" i="14"/>
  <c r="P140" i="14"/>
  <c r="R140" i="14" s="1"/>
  <c r="L140" i="14"/>
  <c r="M140" i="14" s="1"/>
  <c r="K140" i="14"/>
  <c r="I140" i="14"/>
  <c r="G140" i="14"/>
  <c r="Y140" i="14" s="1"/>
  <c r="AA140" i="14" s="1"/>
  <c r="F140" i="14"/>
  <c r="E140" i="14"/>
  <c r="P139" i="14"/>
  <c r="G139" i="14"/>
  <c r="Y139" i="14" s="1"/>
  <c r="AP139" i="14" s="1"/>
  <c r="F139" i="14"/>
  <c r="E139" i="14"/>
  <c r="U138" i="14"/>
  <c r="Q138" i="14"/>
  <c r="P138" i="14"/>
  <c r="F138" i="14"/>
  <c r="E138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Y130" i="14"/>
  <c r="Y129" i="14"/>
  <c r="Y128" i="14"/>
  <c r="Y127" i="14"/>
  <c r="Y126" i="14"/>
  <c r="Y125" i="14"/>
  <c r="AT121" i="14"/>
  <c r="N121" i="14"/>
  <c r="AX121" i="14" s="1"/>
  <c r="M121" i="14"/>
  <c r="AW121" i="14" s="1"/>
  <c r="AZ121" i="14" s="1"/>
  <c r="L121" i="14"/>
  <c r="AU121" i="14" s="1"/>
  <c r="K121" i="14"/>
  <c r="J121" i="14"/>
  <c r="AX120" i="14"/>
  <c r="AW120" i="14"/>
  <c r="AU120" i="14"/>
  <c r="AT120" i="14"/>
  <c r="O120" i="14"/>
  <c r="AY119" i="14"/>
  <c r="BA119" i="14" s="1"/>
  <c r="AX119" i="14"/>
  <c r="AW119" i="14"/>
  <c r="AZ119" i="14" s="1"/>
  <c r="AU119" i="14"/>
  <c r="AT119" i="14"/>
  <c r="O119" i="14"/>
  <c r="AZ118" i="14"/>
  <c r="AX118" i="14"/>
  <c r="AW118" i="14"/>
  <c r="AY118" i="14" s="1"/>
  <c r="BA118" i="14" s="1"/>
  <c r="AU118" i="14"/>
  <c r="AT118" i="14"/>
  <c r="O118" i="14"/>
  <c r="AX117" i="14"/>
  <c r="AW117" i="14"/>
  <c r="AZ117" i="14" s="1"/>
  <c r="AU117" i="14"/>
  <c r="AT117" i="14"/>
  <c r="O117" i="14"/>
  <c r="AX116" i="14"/>
  <c r="AW116" i="14"/>
  <c r="AZ116" i="14" s="1"/>
  <c r="AU116" i="14"/>
  <c r="AT116" i="14"/>
  <c r="O116" i="14"/>
  <c r="AX115" i="14"/>
  <c r="AW115" i="14"/>
  <c r="AU115" i="14"/>
  <c r="AT115" i="14"/>
  <c r="O115" i="14"/>
  <c r="O121" i="14" s="1"/>
  <c r="AX114" i="14"/>
  <c r="AW114" i="14"/>
  <c r="AZ114" i="14" s="1"/>
  <c r="AU114" i="14"/>
  <c r="AT114" i="14"/>
  <c r="AT113" i="14"/>
  <c r="O113" i="14"/>
  <c r="N113" i="14"/>
  <c r="AX113" i="14" s="1"/>
  <c r="M113" i="14"/>
  <c r="AW113" i="14" s="1"/>
  <c r="L113" i="14"/>
  <c r="AU113" i="14" s="1"/>
  <c r="K113" i="14"/>
  <c r="J113" i="14"/>
  <c r="O112" i="14"/>
  <c r="O111" i="14"/>
  <c r="O110" i="14"/>
  <c r="O109" i="14"/>
  <c r="O108" i="14"/>
  <c r="AX107" i="14"/>
  <c r="AW107" i="14"/>
  <c r="AY107" i="14" s="1"/>
  <c r="AU107" i="14"/>
  <c r="AT107" i="14"/>
  <c r="AX106" i="14"/>
  <c r="AW106" i="14"/>
  <c r="AT106" i="14"/>
  <c r="N106" i="14"/>
  <c r="M106" i="14"/>
  <c r="L106" i="14"/>
  <c r="AU106" i="14" s="1"/>
  <c r="K106" i="14"/>
  <c r="J106" i="14"/>
  <c r="O105" i="14"/>
  <c r="O104" i="14"/>
  <c r="O103" i="14"/>
  <c r="O102" i="14"/>
  <c r="O101" i="14"/>
  <c r="AX100" i="14"/>
  <c r="AW100" i="14"/>
  <c r="AU100" i="14"/>
  <c r="AT100" i="14"/>
  <c r="AU99" i="14"/>
  <c r="AT99" i="14"/>
  <c r="N99" i="14"/>
  <c r="AX99" i="14" s="1"/>
  <c r="M99" i="14"/>
  <c r="AW99" i="14" s="1"/>
  <c r="L99" i="14"/>
  <c r="K99" i="14"/>
  <c r="J99" i="14"/>
  <c r="O98" i="14"/>
  <c r="O97" i="14"/>
  <c r="O96" i="14"/>
  <c r="O95" i="14"/>
  <c r="O94" i="14"/>
  <c r="O93" i="14"/>
  <c r="AX92" i="14"/>
  <c r="AZ92" i="14" s="1"/>
  <c r="AW92" i="14"/>
  <c r="AU92" i="14"/>
  <c r="AT92" i="14"/>
  <c r="AZ91" i="14"/>
  <c r="AY91" i="14"/>
  <c r="BA91" i="14" s="1"/>
  <c r="AT91" i="14"/>
  <c r="AB91" i="14"/>
  <c r="N91" i="14"/>
  <c r="AX91" i="14" s="1"/>
  <c r="M91" i="14"/>
  <c r="AW91" i="14" s="1"/>
  <c r="L91" i="14"/>
  <c r="AU91" i="14" s="1"/>
  <c r="K91" i="14"/>
  <c r="J91" i="14"/>
  <c r="O90" i="14"/>
  <c r="O89" i="14"/>
  <c r="O88" i="14"/>
  <c r="O87" i="14"/>
  <c r="O86" i="14"/>
  <c r="O91" i="14" s="1"/>
  <c r="AX85" i="14"/>
  <c r="AW85" i="14"/>
  <c r="AU85" i="14"/>
  <c r="AT85" i="14"/>
  <c r="AZ84" i="14"/>
  <c r="AW84" i="14"/>
  <c r="AY84" i="14" s="1"/>
  <c r="BA84" i="14" s="1"/>
  <c r="AU84" i="14"/>
  <c r="AT84" i="14"/>
  <c r="N84" i="14"/>
  <c r="AX84" i="14" s="1"/>
  <c r="M84" i="14"/>
  <c r="L84" i="14"/>
  <c r="K84" i="14"/>
  <c r="J84" i="14"/>
  <c r="O83" i="14"/>
  <c r="O82" i="14"/>
  <c r="O81" i="14"/>
  <c r="O80" i="14"/>
  <c r="O84" i="14" s="1"/>
  <c r="AZ79" i="14"/>
  <c r="BA79" i="14" s="1"/>
  <c r="AX79" i="14"/>
  <c r="AW79" i="14"/>
  <c r="AY79" i="14" s="1"/>
  <c r="AU79" i="14"/>
  <c r="AT79" i="14"/>
  <c r="AT78" i="14"/>
  <c r="N78" i="14"/>
  <c r="AX78" i="14" s="1"/>
  <c r="M78" i="14"/>
  <c r="AW78" i="14" s="1"/>
  <c r="L78" i="14"/>
  <c r="AU78" i="14" s="1"/>
  <c r="K78" i="14"/>
  <c r="J78" i="14"/>
  <c r="AZ77" i="14"/>
  <c r="AY77" i="14"/>
  <c r="BA77" i="14" s="1"/>
  <c r="AX77" i="14"/>
  <c r="AW77" i="14"/>
  <c r="AU77" i="14"/>
  <c r="AT77" i="14"/>
  <c r="O77" i="14"/>
  <c r="O76" i="14"/>
  <c r="O75" i="14"/>
  <c r="O74" i="14"/>
  <c r="O73" i="14"/>
  <c r="O72" i="14"/>
  <c r="O78" i="14" s="1"/>
  <c r="O71" i="14"/>
  <c r="O70" i="14"/>
  <c r="AX69" i="14"/>
  <c r="AW69" i="14"/>
  <c r="AU69" i="14"/>
  <c r="AT69" i="14"/>
  <c r="AT68" i="14"/>
  <c r="O68" i="14"/>
  <c r="N68" i="14"/>
  <c r="AX68" i="14" s="1"/>
  <c r="M68" i="14"/>
  <c r="AW68" i="14" s="1"/>
  <c r="L68" i="14"/>
  <c r="AU68" i="14" s="1"/>
  <c r="K68" i="14"/>
  <c r="J68" i="14"/>
  <c r="AX67" i="14"/>
  <c r="AW67" i="14"/>
  <c r="AZ67" i="14" s="1"/>
  <c r="AU67" i="14"/>
  <c r="AT67" i="14"/>
  <c r="O67" i="14"/>
  <c r="O66" i="14"/>
  <c r="O65" i="14"/>
  <c r="O64" i="14"/>
  <c r="AX63" i="14"/>
  <c r="AW63" i="14"/>
  <c r="AY63" i="14" s="1"/>
  <c r="AU63" i="14"/>
  <c r="AT63" i="14"/>
  <c r="AX62" i="14"/>
  <c r="AY62" i="14" s="1"/>
  <c r="AU62" i="14"/>
  <c r="AT62" i="14"/>
  <c r="N62" i="14"/>
  <c r="M62" i="14"/>
  <c r="AW62" i="14" s="1"/>
  <c r="L62" i="14"/>
  <c r="K62" i="14"/>
  <c r="J62" i="14"/>
  <c r="AZ61" i="14"/>
  <c r="AX61" i="14"/>
  <c r="AW61" i="14"/>
  <c r="AY61" i="14" s="1"/>
  <c r="BA61" i="14" s="1"/>
  <c r="AU61" i="14"/>
  <c r="AT61" i="14"/>
  <c r="O61" i="14"/>
  <c r="AZ60" i="14"/>
  <c r="AY60" i="14"/>
  <c r="BA60" i="14" s="1"/>
  <c r="AX60" i="14"/>
  <c r="AW60" i="14"/>
  <c r="AU60" i="14"/>
  <c r="AT60" i="14"/>
  <c r="O60" i="14"/>
  <c r="O59" i="14"/>
  <c r="O58" i="14"/>
  <c r="O62" i="14" s="1"/>
  <c r="O57" i="14"/>
  <c r="O56" i="14"/>
  <c r="O55" i="14"/>
  <c r="AX54" i="14"/>
  <c r="AW54" i="14"/>
  <c r="AY54" i="14" s="1"/>
  <c r="AU54" i="14"/>
  <c r="AT54" i="14"/>
  <c r="AX53" i="14"/>
  <c r="AT53" i="14"/>
  <c r="N53" i="14"/>
  <c r="M53" i="14"/>
  <c r="AW53" i="14" s="1"/>
  <c r="L53" i="14"/>
  <c r="AU53" i="14" s="1"/>
  <c r="K53" i="14"/>
  <c r="J53" i="14"/>
  <c r="O52" i="14"/>
  <c r="O51" i="14"/>
  <c r="O50" i="14"/>
  <c r="O53" i="14" s="1"/>
  <c r="O49" i="14"/>
  <c r="AX48" i="14"/>
  <c r="AW48" i="14"/>
  <c r="AZ48" i="14" s="1"/>
  <c r="AU48" i="14"/>
  <c r="AT48" i="14"/>
  <c r="AT47" i="14"/>
  <c r="O47" i="14"/>
  <c r="N47" i="14"/>
  <c r="AX47" i="14" s="1"/>
  <c r="M47" i="14"/>
  <c r="AW47" i="14" s="1"/>
  <c r="L47" i="14"/>
  <c r="AU47" i="14" s="1"/>
  <c r="K47" i="14"/>
  <c r="J47" i="14"/>
  <c r="O46" i="14"/>
  <c r="O45" i="14"/>
  <c r="O42" i="14"/>
  <c r="O41" i="14"/>
  <c r="AX40" i="14"/>
  <c r="AW40" i="14"/>
  <c r="AY40" i="14" s="1"/>
  <c r="AU40" i="14"/>
  <c r="AT40" i="14"/>
  <c r="AU39" i="14"/>
  <c r="AT39" i="14"/>
  <c r="L39" i="14"/>
  <c r="J39" i="14"/>
  <c r="AX38" i="14"/>
  <c r="AW38" i="14"/>
  <c r="AZ38" i="14" s="1"/>
  <c r="AU38" i="14"/>
  <c r="AT38" i="14"/>
  <c r="O38" i="14"/>
  <c r="AX37" i="14"/>
  <c r="AW37" i="14"/>
  <c r="AU37" i="14"/>
  <c r="AT37" i="14"/>
  <c r="AZ36" i="14"/>
  <c r="AX36" i="14"/>
  <c r="AY36" i="14" s="1"/>
  <c r="BA36" i="14" s="1"/>
  <c r="G173" i="14" s="1"/>
  <c r="AW36" i="14"/>
  <c r="AU36" i="14"/>
  <c r="AT36" i="14"/>
  <c r="AZ35" i="14"/>
  <c r="BA35" i="14" s="1"/>
  <c r="AY35" i="14"/>
  <c r="AX35" i="14"/>
  <c r="AW35" i="14"/>
  <c r="AU35" i="14"/>
  <c r="AT35" i="14"/>
  <c r="AX34" i="14"/>
  <c r="AW34" i="14"/>
  <c r="AZ34" i="14" s="1"/>
  <c r="AU34" i="14"/>
  <c r="AT34" i="14"/>
  <c r="O34" i="14"/>
  <c r="AX33" i="14"/>
  <c r="AY33" i="14" s="1"/>
  <c r="AW33" i="14"/>
  <c r="AU33" i="14"/>
  <c r="AT33" i="14"/>
  <c r="O33" i="14"/>
  <c r="AU32" i="14"/>
  <c r="AT32" i="14"/>
  <c r="O32" i="14"/>
  <c r="AZ31" i="14"/>
  <c r="AY31" i="14"/>
  <c r="BA31" i="14" s="1"/>
  <c r="AX31" i="14"/>
  <c r="AW31" i="14"/>
  <c r="AU31" i="14"/>
  <c r="AT31" i="14"/>
  <c r="AT30" i="14"/>
  <c r="N30" i="14"/>
  <c r="M30" i="14"/>
  <c r="AW30" i="14" s="1"/>
  <c r="L30" i="14"/>
  <c r="AU30" i="14" s="1"/>
  <c r="K30" i="14"/>
  <c r="K39" i="14" s="1"/>
  <c r="J30" i="14"/>
  <c r="AZ29" i="14"/>
  <c r="AX29" i="14"/>
  <c r="AY29" i="14" s="1"/>
  <c r="BA29" i="14" s="1"/>
  <c r="AW29" i="14"/>
  <c r="AU29" i="14"/>
  <c r="AT29" i="14"/>
  <c r="O29" i="14"/>
  <c r="AX28" i="14"/>
  <c r="AW28" i="14"/>
  <c r="AY28" i="14" s="1"/>
  <c r="AU28" i="14"/>
  <c r="AT28" i="14"/>
  <c r="O28" i="14"/>
  <c r="AY27" i="14"/>
  <c r="AX27" i="14"/>
  <c r="AW27" i="14"/>
  <c r="AZ27" i="14" s="1"/>
  <c r="AU27" i="14"/>
  <c r="AT27" i="14"/>
  <c r="O27" i="14"/>
  <c r="AZ26" i="14"/>
  <c r="BA26" i="14" s="1"/>
  <c r="AX26" i="14"/>
  <c r="AW26" i="14"/>
  <c r="AY26" i="14" s="1"/>
  <c r="AU26" i="14"/>
  <c r="AT26" i="14"/>
  <c r="O26" i="14"/>
  <c r="AX25" i="14"/>
  <c r="AW25" i="14"/>
  <c r="AZ25" i="14" s="1"/>
  <c r="AU25" i="14"/>
  <c r="AT25" i="14"/>
  <c r="O25" i="14"/>
  <c r="AX24" i="14"/>
  <c r="AZ24" i="14" s="1"/>
  <c r="L156" i="14" s="1"/>
  <c r="AW24" i="14"/>
  <c r="AU24" i="14"/>
  <c r="AT24" i="14"/>
  <c r="AX23" i="14"/>
  <c r="AW23" i="14"/>
  <c r="AU23" i="14"/>
  <c r="AT23" i="14"/>
  <c r="AX20" i="14"/>
  <c r="AZ20" i="14" s="1"/>
  <c r="AW20" i="14"/>
  <c r="AU20" i="14"/>
  <c r="AT20" i="14"/>
  <c r="AZ19" i="14"/>
  <c r="L151" i="14" s="1"/>
  <c r="AX19" i="14"/>
  <c r="AW19" i="14"/>
  <c r="AY19" i="14" s="1"/>
  <c r="K151" i="14" s="1"/>
  <c r="M151" i="14" s="1"/>
  <c r="AU19" i="14"/>
  <c r="AT19" i="14"/>
  <c r="O19" i="14"/>
  <c r="O30" i="14" s="1"/>
  <c r="K19" i="14"/>
  <c r="J19" i="14"/>
  <c r="AY18" i="14"/>
  <c r="AX18" i="14"/>
  <c r="AW18" i="14"/>
  <c r="AZ18" i="14" s="1"/>
  <c r="AU18" i="14"/>
  <c r="AT18" i="14"/>
  <c r="AX17" i="14"/>
  <c r="AY17" i="14" s="1"/>
  <c r="AW17" i="14"/>
  <c r="AT17" i="14"/>
  <c r="N17" i="14"/>
  <c r="M17" i="14"/>
  <c r="L17" i="14"/>
  <c r="AU17" i="14" s="1"/>
  <c r="AU16" i="14"/>
  <c r="AT16" i="14"/>
  <c r="O16" i="14"/>
  <c r="AU15" i="14"/>
  <c r="AT15" i="14"/>
  <c r="O15" i="14"/>
  <c r="K15" i="14"/>
  <c r="J15" i="14"/>
  <c r="BA14" i="14"/>
  <c r="AZ14" i="14"/>
  <c r="AX14" i="14"/>
  <c r="AW14" i="14"/>
  <c r="AY14" i="14" s="1"/>
  <c r="AU14" i="14"/>
  <c r="AT14" i="14"/>
  <c r="O14" i="14"/>
  <c r="K14" i="14"/>
  <c r="J14" i="14"/>
  <c r="AU13" i="14"/>
  <c r="AT13" i="14"/>
  <c r="AU12" i="14"/>
  <c r="AT12" i="14"/>
  <c r="O12" i="14"/>
  <c r="O17" i="14" s="1"/>
  <c r="K12" i="14"/>
  <c r="K17" i="14" s="1"/>
  <c r="J12" i="14"/>
  <c r="R175" i="14" s="1"/>
  <c r="AX11" i="14"/>
  <c r="AW11" i="14"/>
  <c r="AU11" i="14"/>
  <c r="AT11" i="14"/>
  <c r="AZ10" i="14"/>
  <c r="AX10" i="14"/>
  <c r="AU10" i="14"/>
  <c r="AT10" i="14"/>
  <c r="N10" i="14"/>
  <c r="M10" i="14"/>
  <c r="AW10" i="14" s="1"/>
  <c r="AY10" i="14" s="1"/>
  <c r="BA10" i="14" s="1"/>
  <c r="L10" i="14"/>
  <c r="AZ9" i="14"/>
  <c r="BA9" i="14" s="1"/>
  <c r="AX9" i="14"/>
  <c r="AW9" i="14"/>
  <c r="AY9" i="14" s="1"/>
  <c r="AU9" i="14"/>
  <c r="AT9" i="14"/>
  <c r="O9" i="14"/>
  <c r="K9" i="14"/>
  <c r="J9" i="14"/>
  <c r="AT8" i="14"/>
  <c r="O8" i="14"/>
  <c r="K8" i="14"/>
  <c r="J8" i="14"/>
  <c r="AT7" i="14"/>
  <c r="O7" i="14"/>
  <c r="K7" i="14"/>
  <c r="J7" i="14"/>
  <c r="AZ6" i="14"/>
  <c r="AX6" i="14"/>
  <c r="AW6" i="14"/>
  <c r="AY6" i="14" s="1"/>
  <c r="BA6" i="14" s="1"/>
  <c r="AU6" i="14"/>
  <c r="AT6" i="14"/>
  <c r="O6" i="14"/>
  <c r="O10" i="14" s="1"/>
  <c r="K6" i="14"/>
  <c r="J6" i="14"/>
  <c r="AT5" i="14"/>
  <c r="O5" i="14"/>
  <c r="K5" i="14"/>
  <c r="J5" i="14"/>
  <c r="BA31" i="1" l="1"/>
  <c r="Y150" i="1"/>
  <c r="AP150" i="1" s="1"/>
  <c r="BA33" i="1"/>
  <c r="H150" i="1"/>
  <c r="J150" i="1" s="1"/>
  <c r="L143" i="1"/>
  <c r="L149" i="1" s="1"/>
  <c r="K166" i="1"/>
  <c r="Y130" i="1"/>
  <c r="BA118" i="1"/>
  <c r="L160" i="1"/>
  <c r="BA119" i="1"/>
  <c r="BA63" i="1"/>
  <c r="Y132" i="1"/>
  <c r="BA110" i="1"/>
  <c r="BA95" i="1"/>
  <c r="BA36" i="1"/>
  <c r="G179" i="1" s="1"/>
  <c r="BA87" i="1"/>
  <c r="BA70" i="1"/>
  <c r="BA66" i="1"/>
  <c r="BA72" i="1"/>
  <c r="BA94" i="1"/>
  <c r="BA39" i="1"/>
  <c r="BA9" i="1"/>
  <c r="I146" i="1"/>
  <c r="BA122" i="1"/>
  <c r="BA18" i="1"/>
  <c r="BA57" i="1"/>
  <c r="BA10" i="1"/>
  <c r="BA11" i="1"/>
  <c r="BA24" i="1"/>
  <c r="R142" i="1" s="1"/>
  <c r="W142" i="1" s="1"/>
  <c r="Y153" i="1"/>
  <c r="AP153" i="1" s="1"/>
  <c r="H153" i="1"/>
  <c r="J153" i="1" s="1"/>
  <c r="H146" i="1"/>
  <c r="S163" i="1"/>
  <c r="BA81" i="1"/>
  <c r="Y157" i="1"/>
  <c r="AP157" i="1" s="1"/>
  <c r="BA116" i="1"/>
  <c r="X145" i="1"/>
  <c r="I165" i="1"/>
  <c r="BA123" i="1"/>
  <c r="I166" i="1"/>
  <c r="H159" i="1"/>
  <c r="I157" i="1"/>
  <c r="J157" i="1" s="1"/>
  <c r="BA28" i="1"/>
  <c r="M155" i="1"/>
  <c r="BA120" i="1"/>
  <c r="BA117" i="1"/>
  <c r="BA102" i="1"/>
  <c r="H164" i="1"/>
  <c r="S153" i="1"/>
  <c r="BA71" i="1"/>
  <c r="H165" i="1"/>
  <c r="BA109" i="1"/>
  <c r="BA103" i="1"/>
  <c r="BA124" i="1"/>
  <c r="BA38" i="1"/>
  <c r="BA26" i="1"/>
  <c r="AA164" i="1"/>
  <c r="I194" i="1"/>
  <c r="AP166" i="1"/>
  <c r="H166" i="1"/>
  <c r="I164" i="1"/>
  <c r="BA88" i="1"/>
  <c r="S157" i="1"/>
  <c r="BA29" i="1"/>
  <c r="BA64" i="1"/>
  <c r="BA35" i="1"/>
  <c r="BA19" i="1"/>
  <c r="S146" i="1"/>
  <c r="K142" i="1"/>
  <c r="M142" i="1" s="1"/>
  <c r="BA65" i="1"/>
  <c r="S161" i="1"/>
  <c r="S145" i="1"/>
  <c r="BA82" i="1"/>
  <c r="BA50" i="1"/>
  <c r="BA121" i="1"/>
  <c r="L166" i="1"/>
  <c r="AP155" i="1"/>
  <c r="AP159" i="1"/>
  <c r="AP165" i="1"/>
  <c r="BA17" i="1"/>
  <c r="I159" i="1"/>
  <c r="H155" i="1"/>
  <c r="H161" i="1"/>
  <c r="I155" i="1"/>
  <c r="H194" i="1"/>
  <c r="H160" i="1"/>
  <c r="AA161" i="1"/>
  <c r="AA160" i="1"/>
  <c r="H156" i="1"/>
  <c r="H147" i="1"/>
  <c r="H152" i="1"/>
  <c r="I160" i="1"/>
  <c r="BA27" i="1"/>
  <c r="AA158" i="1"/>
  <c r="BA14" i="1"/>
  <c r="Y151" i="1"/>
  <c r="I151" i="1"/>
  <c r="J151" i="1" s="1"/>
  <c r="I144" i="1"/>
  <c r="I161" i="1"/>
  <c r="I158" i="1"/>
  <c r="N181" i="1"/>
  <c r="H154" i="1"/>
  <c r="T183" i="1"/>
  <c r="I154" i="1"/>
  <c r="AA154" i="1"/>
  <c r="I148" i="1"/>
  <c r="H158" i="1"/>
  <c r="AA144" i="1"/>
  <c r="AP144" i="1"/>
  <c r="I147" i="1"/>
  <c r="H148" i="1"/>
  <c r="H144" i="1"/>
  <c r="V159" i="1"/>
  <c r="X159" i="1" s="1"/>
  <c r="S159" i="1"/>
  <c r="V151" i="1"/>
  <c r="X151" i="1" s="1"/>
  <c r="S151" i="1"/>
  <c r="X173" i="1"/>
  <c r="H163" i="1"/>
  <c r="V164" i="1"/>
  <c r="X164" i="1" s="1"/>
  <c r="S164" i="1"/>
  <c r="V165" i="1"/>
  <c r="X165" i="1" s="1"/>
  <c r="S165" i="1"/>
  <c r="V143" i="1"/>
  <c r="BA25" i="1"/>
  <c r="K156" i="1"/>
  <c r="Q173" i="1"/>
  <c r="Q181" i="1" s="1"/>
  <c r="O181" i="1"/>
  <c r="F168" i="1"/>
  <c r="M182" i="1" s="1"/>
  <c r="Y142" i="1"/>
  <c r="G149" i="1"/>
  <c r="I149" i="1" s="1"/>
  <c r="I142" i="1"/>
  <c r="S158" i="1"/>
  <c r="V158" i="1"/>
  <c r="X158" i="1" s="1"/>
  <c r="AP163" i="1"/>
  <c r="AA163" i="1"/>
  <c r="BA6" i="1"/>
  <c r="S162" i="1"/>
  <c r="V162" i="1"/>
  <c r="X162" i="1" s="1"/>
  <c r="BA20" i="1"/>
  <c r="R143" i="1" s="1"/>
  <c r="W143" i="1" s="1"/>
  <c r="K143" i="1"/>
  <c r="M143" i="1" s="1"/>
  <c r="S150" i="1"/>
  <c r="Q167" i="1"/>
  <c r="V150" i="1"/>
  <c r="V156" i="1"/>
  <c r="G167" i="1"/>
  <c r="I167" i="1" s="1"/>
  <c r="S154" i="1"/>
  <c r="V154" i="1"/>
  <c r="X154" i="1" s="1"/>
  <c r="AP148" i="1"/>
  <c r="AA148" i="1"/>
  <c r="V160" i="1"/>
  <c r="BA23" i="1"/>
  <c r="K160" i="1"/>
  <c r="F184" i="1"/>
  <c r="F186" i="1" s="1"/>
  <c r="H173" i="1"/>
  <c r="H184" i="1" s="1"/>
  <c r="H186" i="1" s="1"/>
  <c r="BA80" i="1"/>
  <c r="I143" i="1"/>
  <c r="V155" i="1"/>
  <c r="V147" i="1"/>
  <c r="X147" i="1" s="1"/>
  <c r="S147" i="1"/>
  <c r="J162" i="1"/>
  <c r="V148" i="1"/>
  <c r="X148" i="1" s="1"/>
  <c r="S148" i="1"/>
  <c r="Q149" i="1"/>
  <c r="I145" i="1"/>
  <c r="AP143" i="1"/>
  <c r="AA143" i="1"/>
  <c r="AP156" i="1"/>
  <c r="AA156" i="1"/>
  <c r="L156" i="1"/>
  <c r="I156" i="1"/>
  <c r="BA51" i="1"/>
  <c r="I163" i="1"/>
  <c r="H145" i="1"/>
  <c r="H143" i="1"/>
  <c r="P181" i="1"/>
  <c r="V152" i="1"/>
  <c r="X152" i="1" s="1"/>
  <c r="S152" i="1"/>
  <c r="BA56" i="1"/>
  <c r="H142" i="1"/>
  <c r="F194" i="1"/>
  <c r="V166" i="1"/>
  <c r="AP152" i="1"/>
  <c r="AA152" i="1"/>
  <c r="V144" i="1"/>
  <c r="X144" i="1" s="1"/>
  <c r="S144" i="1"/>
  <c r="I152" i="1"/>
  <c r="E168" i="1"/>
  <c r="L182" i="1" s="1"/>
  <c r="AZ100" i="14"/>
  <c r="AY100" i="14"/>
  <c r="BA100" i="14" s="1"/>
  <c r="AY120" i="14"/>
  <c r="BA120" i="14" s="1"/>
  <c r="AZ120" i="14"/>
  <c r="AZ69" i="14"/>
  <c r="AY69" i="14"/>
  <c r="BA69" i="14" s="1"/>
  <c r="L152" i="14"/>
  <c r="L163" i="14" s="1"/>
  <c r="Y157" i="14"/>
  <c r="H157" i="14"/>
  <c r="BA54" i="14"/>
  <c r="H149" i="14"/>
  <c r="J149" i="14" s="1"/>
  <c r="Y149" i="14"/>
  <c r="J159" i="14"/>
  <c r="BA27" i="14"/>
  <c r="AP152" i="14"/>
  <c r="AA152" i="14"/>
  <c r="AZ115" i="14"/>
  <c r="AY115" i="14"/>
  <c r="BA115" i="14" s="1"/>
  <c r="V143" i="14"/>
  <c r="X143" i="14" s="1"/>
  <c r="AZ53" i="14"/>
  <c r="AY53" i="14"/>
  <c r="BA53" i="14" s="1"/>
  <c r="AA139" i="14"/>
  <c r="BA62" i="14"/>
  <c r="AZ68" i="14"/>
  <c r="AY68" i="14"/>
  <c r="BA68" i="14" s="1"/>
  <c r="AY106" i="14"/>
  <c r="BA106" i="14" s="1"/>
  <c r="AZ106" i="14"/>
  <c r="M150" i="14"/>
  <c r="S179" i="14"/>
  <c r="T179" i="14" s="1"/>
  <c r="R146" i="14"/>
  <c r="Q146" i="14"/>
  <c r="U146" i="14"/>
  <c r="AP156" i="14"/>
  <c r="AA156" i="14"/>
  <c r="AY23" i="14"/>
  <c r="AZ23" i="14"/>
  <c r="L138" i="14" s="1"/>
  <c r="AP144" i="14"/>
  <c r="AA144" i="14"/>
  <c r="G148" i="14"/>
  <c r="Y148" i="14" s="1"/>
  <c r="AY99" i="14"/>
  <c r="AZ99" i="14"/>
  <c r="AZ47" i="14"/>
  <c r="AY47" i="14"/>
  <c r="BA47" i="14" s="1"/>
  <c r="BA63" i="14"/>
  <c r="Q154" i="14"/>
  <c r="E180" i="14"/>
  <c r="AX30" i="14"/>
  <c r="AY30" i="14" s="1"/>
  <c r="N39" i="14"/>
  <c r="AX39" i="14" s="1"/>
  <c r="I144" i="14"/>
  <c r="Q150" i="14"/>
  <c r="U154" i="14"/>
  <c r="R158" i="14"/>
  <c r="W158" i="14" s="1"/>
  <c r="AZ11" i="14"/>
  <c r="AY11" i="14"/>
  <c r="AZ54" i="14"/>
  <c r="AZ85" i="14"/>
  <c r="AY85" i="14"/>
  <c r="BA85" i="14" s="1"/>
  <c r="O106" i="14"/>
  <c r="S142" i="14"/>
  <c r="U150" i="14"/>
  <c r="G160" i="14"/>
  <c r="Y160" i="14" s="1"/>
  <c r="O169" i="14"/>
  <c r="L177" i="14"/>
  <c r="N169" i="14"/>
  <c r="N177" i="14" s="1"/>
  <c r="H144" i="14"/>
  <c r="J144" i="14" s="1"/>
  <c r="I152" i="14"/>
  <c r="I156" i="14"/>
  <c r="Q158" i="14"/>
  <c r="I161" i="14"/>
  <c r="K162" i="14"/>
  <c r="O172" i="14"/>
  <c r="Q172" i="14" s="1"/>
  <c r="L162" i="14"/>
  <c r="AZ17" i="14"/>
  <c r="BA17" i="14" s="1"/>
  <c r="AY24" i="14"/>
  <c r="AZ28" i="14"/>
  <c r="BA28" i="14" s="1"/>
  <c r="H140" i="14"/>
  <c r="J140" i="14" s="1"/>
  <c r="P169" i="14"/>
  <c r="P177" i="14" s="1"/>
  <c r="M177" i="14"/>
  <c r="AZ113" i="14"/>
  <c r="AY113" i="14"/>
  <c r="BA113" i="14" s="1"/>
  <c r="N171" i="14"/>
  <c r="AZ33" i="14"/>
  <c r="BA33" i="14" s="1"/>
  <c r="AZ107" i="14"/>
  <c r="BA107" i="14" s="1"/>
  <c r="AY116" i="14"/>
  <c r="BA116" i="14" s="1"/>
  <c r="I139" i="14"/>
  <c r="R141" i="14"/>
  <c r="W141" i="14" s="1"/>
  <c r="H155" i="14"/>
  <c r="J155" i="14" s="1"/>
  <c r="AP159" i="14"/>
  <c r="AA159" i="14"/>
  <c r="Q171" i="14"/>
  <c r="AY38" i="14"/>
  <c r="BA38" i="14" s="1"/>
  <c r="AZ40" i="14"/>
  <c r="BA40" i="14" s="1"/>
  <c r="AZ63" i="14"/>
  <c r="AY92" i="14"/>
  <c r="BA92" i="14" s="1"/>
  <c r="H143" i="14"/>
  <c r="X149" i="14"/>
  <c r="H151" i="14"/>
  <c r="I155" i="14"/>
  <c r="X157" i="14"/>
  <c r="I159" i="14"/>
  <c r="Y169" i="14"/>
  <c r="I143" i="14"/>
  <c r="I151" i="14"/>
  <c r="AP161" i="14"/>
  <c r="F170" i="14"/>
  <c r="H170" i="14" s="1"/>
  <c r="F189" i="14"/>
  <c r="H189" i="14" s="1"/>
  <c r="H152" i="14"/>
  <c r="AZ78" i="14"/>
  <c r="AY78" i="14"/>
  <c r="BA78" i="14" s="1"/>
  <c r="O39" i="14"/>
  <c r="H139" i="14"/>
  <c r="Q141" i="14"/>
  <c r="K10" i="14"/>
  <c r="AY114" i="14"/>
  <c r="BA114" i="14" s="1"/>
  <c r="AY121" i="14"/>
  <c r="BA121" i="14" s="1"/>
  <c r="G162" i="14"/>
  <c r="Y162" i="14" s="1"/>
  <c r="R177" i="14"/>
  <c r="AY20" i="14"/>
  <c r="O99" i="14"/>
  <c r="U139" i="14"/>
  <c r="Q139" i="14"/>
  <c r="H142" i="14"/>
  <c r="F163" i="14"/>
  <c r="H186" i="14"/>
  <c r="H156" i="14"/>
  <c r="J156" i="14" s="1"/>
  <c r="H161" i="14"/>
  <c r="J161" i="14" s="1"/>
  <c r="BA18" i="14"/>
  <c r="H150" i="14"/>
  <c r="AZ37" i="14"/>
  <c r="L139" i="14" s="1"/>
  <c r="AY37" i="14"/>
  <c r="BA37" i="14" s="1"/>
  <c r="Q152" i="14"/>
  <c r="J17" i="14"/>
  <c r="I187" i="14"/>
  <c r="BA19" i="14"/>
  <c r="S149" i="14"/>
  <c r="V147" i="14"/>
  <c r="I190" i="14"/>
  <c r="J10" i="14"/>
  <c r="R147" i="14"/>
  <c r="W147" i="14" s="1"/>
  <c r="Q151" i="14"/>
  <c r="Q155" i="14"/>
  <c r="Q162" i="14"/>
  <c r="J186" i="14"/>
  <c r="G141" i="14"/>
  <c r="Y141" i="14" s="1"/>
  <c r="AA141" i="14" s="1"/>
  <c r="D180" i="14"/>
  <c r="F169" i="14"/>
  <c r="G170" i="14"/>
  <c r="S157" i="14"/>
  <c r="AZ62" i="14"/>
  <c r="O170" i="14"/>
  <c r="Q170" i="14" s="1"/>
  <c r="N170" i="14"/>
  <c r="AY25" i="14"/>
  <c r="M39" i="14"/>
  <c r="AW39" i="14" s="1"/>
  <c r="AY48" i="14"/>
  <c r="BA48" i="14" s="1"/>
  <c r="AY34" i="14"/>
  <c r="BA34" i="14" s="1"/>
  <c r="AY117" i="14"/>
  <c r="BA117" i="14" s="1"/>
  <c r="Q145" i="14"/>
  <c r="V138" i="14"/>
  <c r="U143" i="14"/>
  <c r="R143" i="14"/>
  <c r="W143" i="14" s="1"/>
  <c r="AP147" i="14"/>
  <c r="I149" i="14"/>
  <c r="G153" i="14"/>
  <c r="I153" i="14" s="1"/>
  <c r="R155" i="14"/>
  <c r="W155" i="14" s="1"/>
  <c r="I157" i="14"/>
  <c r="R162" i="14"/>
  <c r="W162" i="14" s="1"/>
  <c r="T173" i="14"/>
  <c r="D190" i="14"/>
  <c r="E145" i="14"/>
  <c r="G158" i="14"/>
  <c r="I158" i="14" s="1"/>
  <c r="Q160" i="14"/>
  <c r="G146" i="14"/>
  <c r="G150" i="14"/>
  <c r="G154" i="14"/>
  <c r="H154" i="14" s="1"/>
  <c r="R160" i="14"/>
  <c r="W160" i="14" s="1"/>
  <c r="E163" i="14"/>
  <c r="G142" i="14"/>
  <c r="Y142" i="14" s="1"/>
  <c r="AA142" i="14" s="1"/>
  <c r="S144" i="14"/>
  <c r="S148" i="14"/>
  <c r="AY67" i="14"/>
  <c r="BA67" i="14" s="1"/>
  <c r="Q161" i="14"/>
  <c r="G138" i="14"/>
  <c r="H138" i="14" s="1"/>
  <c r="Q140" i="14"/>
  <c r="T169" i="14"/>
  <c r="M166" i="1" l="1"/>
  <c r="G174" i="1"/>
  <c r="M160" i="1"/>
  <c r="AA150" i="1"/>
  <c r="J146" i="1"/>
  <c r="AA153" i="1"/>
  <c r="S142" i="1"/>
  <c r="J155" i="1"/>
  <c r="AA157" i="1"/>
  <c r="J166" i="1"/>
  <c r="Y167" i="1"/>
  <c r="AA167" i="1" s="1"/>
  <c r="J159" i="1"/>
  <c r="J165" i="1"/>
  <c r="J164" i="1"/>
  <c r="G173" i="1"/>
  <c r="R155" i="1"/>
  <c r="W155" i="1" s="1"/>
  <c r="X155" i="1" s="1"/>
  <c r="G191" i="1"/>
  <c r="J191" i="1" s="1"/>
  <c r="J152" i="1"/>
  <c r="J161" i="1"/>
  <c r="L167" i="1"/>
  <c r="L168" i="1" s="1"/>
  <c r="J160" i="1"/>
  <c r="J156" i="1"/>
  <c r="J147" i="1"/>
  <c r="J142" i="1"/>
  <c r="W149" i="1"/>
  <c r="R149" i="1"/>
  <c r="S149" i="1" s="1"/>
  <c r="J144" i="1"/>
  <c r="Y173" i="1"/>
  <c r="J158" i="1"/>
  <c r="AA151" i="1"/>
  <c r="AP151" i="1"/>
  <c r="AP167" i="1" s="1"/>
  <c r="J163" i="1"/>
  <c r="J154" i="1"/>
  <c r="J148" i="1"/>
  <c r="V149" i="1"/>
  <c r="X142" i="1"/>
  <c r="X143" i="1"/>
  <c r="V167" i="1"/>
  <c r="X150" i="1"/>
  <c r="Q168" i="1"/>
  <c r="J145" i="1"/>
  <c r="AP142" i="1"/>
  <c r="AP149" i="1" s="1"/>
  <c r="AA142" i="1"/>
  <c r="Y149" i="1"/>
  <c r="R160" i="1"/>
  <c r="J143" i="1"/>
  <c r="F169" i="1"/>
  <c r="H149" i="1"/>
  <c r="J149" i="1" s="1"/>
  <c r="M156" i="1"/>
  <c r="G168" i="1"/>
  <c r="I168" i="1" s="1"/>
  <c r="H167" i="1"/>
  <c r="J167" i="1" s="1"/>
  <c r="E169" i="1"/>
  <c r="G177" i="1"/>
  <c r="R166" i="1"/>
  <c r="K167" i="1"/>
  <c r="K149" i="1"/>
  <c r="G193" i="1"/>
  <c r="J193" i="1" s="1"/>
  <c r="G175" i="1"/>
  <c r="R156" i="1"/>
  <c r="M149" i="1"/>
  <c r="S143" i="1"/>
  <c r="S179" i="1"/>
  <c r="V152" i="14"/>
  <c r="BA20" i="14"/>
  <c r="R139" i="14" s="1"/>
  <c r="W139" i="14" s="1"/>
  <c r="K139" i="14"/>
  <c r="M139" i="14" s="1"/>
  <c r="O177" i="14"/>
  <c r="Q169" i="14"/>
  <c r="Q177" i="14" s="1"/>
  <c r="AP149" i="14"/>
  <c r="AA149" i="14"/>
  <c r="S154" i="14"/>
  <c r="V154" i="14"/>
  <c r="X154" i="14" s="1"/>
  <c r="V155" i="14"/>
  <c r="X155" i="14" s="1"/>
  <c r="S155" i="14"/>
  <c r="AP162" i="14"/>
  <c r="AA162" i="14"/>
  <c r="BA24" i="14"/>
  <c r="R156" i="14" s="1"/>
  <c r="K156" i="14"/>
  <c r="M156" i="14" s="1"/>
  <c r="I141" i="14"/>
  <c r="H160" i="14"/>
  <c r="J160" i="14" s="1"/>
  <c r="V162" i="14"/>
  <c r="X162" i="14" s="1"/>
  <c r="S162" i="14"/>
  <c r="AP160" i="14"/>
  <c r="AA160" i="14"/>
  <c r="AY39" i="14"/>
  <c r="AZ39" i="14"/>
  <c r="V140" i="14"/>
  <c r="X140" i="14" s="1"/>
  <c r="S140" i="14"/>
  <c r="K152" i="14"/>
  <c r="BA25" i="14"/>
  <c r="I142" i="14"/>
  <c r="H162" i="14"/>
  <c r="F190" i="14"/>
  <c r="S146" i="14"/>
  <c r="Q163" i="14"/>
  <c r="V146" i="14"/>
  <c r="S143" i="14"/>
  <c r="J157" i="14"/>
  <c r="W146" i="14"/>
  <c r="AP157" i="14"/>
  <c r="AA157" i="14"/>
  <c r="I160" i="14"/>
  <c r="M162" i="14"/>
  <c r="BA99" i="14"/>
  <c r="R151" i="14"/>
  <c r="W151" i="14" s="1"/>
  <c r="S147" i="14"/>
  <c r="I162" i="14"/>
  <c r="S141" i="14"/>
  <c r="V141" i="14"/>
  <c r="X141" i="14" s="1"/>
  <c r="J151" i="14"/>
  <c r="BA11" i="14"/>
  <c r="X169" i="14"/>
  <c r="I146" i="14"/>
  <c r="G163" i="14"/>
  <c r="G164" i="14" s="1"/>
  <c r="G165" i="14" s="1"/>
  <c r="Y146" i="14"/>
  <c r="H141" i="14"/>
  <c r="J141" i="14" s="1"/>
  <c r="BA23" i="14"/>
  <c r="R138" i="14" s="1"/>
  <c r="K138" i="14"/>
  <c r="H158" i="14"/>
  <c r="J158" i="14" s="1"/>
  <c r="Y158" i="14"/>
  <c r="H190" i="14"/>
  <c r="X147" i="14"/>
  <c r="J139" i="14"/>
  <c r="AZ30" i="14"/>
  <c r="BA30" i="14" s="1"/>
  <c r="S158" i="14"/>
  <c r="V158" i="14"/>
  <c r="X158" i="14" s="1"/>
  <c r="AP148" i="14"/>
  <c r="AA148" i="14"/>
  <c r="Y153" i="14"/>
  <c r="H153" i="14"/>
  <c r="J153" i="14" s="1"/>
  <c r="E164" i="14"/>
  <c r="L178" i="14" s="1"/>
  <c r="F164" i="14"/>
  <c r="J143" i="14"/>
  <c r="H148" i="14"/>
  <c r="J148" i="14" s="1"/>
  <c r="L145" i="14"/>
  <c r="L164" i="14" s="1"/>
  <c r="Y138" i="14"/>
  <c r="G145" i="14"/>
  <c r="I145" i="14" s="1"/>
  <c r="I138" i="14"/>
  <c r="J138" i="14" s="1"/>
  <c r="S150" i="14"/>
  <c r="V150" i="14"/>
  <c r="X150" i="14" s="1"/>
  <c r="V160" i="14"/>
  <c r="X160" i="14" s="1"/>
  <c r="S160" i="14"/>
  <c r="V151" i="14"/>
  <c r="H146" i="14"/>
  <c r="S161" i="14"/>
  <c r="V161" i="14"/>
  <c r="X161" i="14" s="1"/>
  <c r="J142" i="14"/>
  <c r="I154" i="14"/>
  <c r="J154" i="14" s="1"/>
  <c r="Y154" i="14"/>
  <c r="F180" i="14"/>
  <c r="F182" i="14" s="1"/>
  <c r="H169" i="14"/>
  <c r="H180" i="14" s="1"/>
  <c r="H182" i="14" s="1"/>
  <c r="V139" i="14"/>
  <c r="I150" i="14"/>
  <c r="J150" i="14" s="1"/>
  <c r="Y150" i="14"/>
  <c r="J152" i="14"/>
  <c r="M178" i="14"/>
  <c r="I148" i="14"/>
  <c r="M167" i="1" l="1"/>
  <c r="S155" i="1"/>
  <c r="M168" i="1"/>
  <c r="X149" i="1"/>
  <c r="H168" i="1"/>
  <c r="J168" i="1" s="1"/>
  <c r="G184" i="1"/>
  <c r="W160" i="1"/>
  <c r="X160" i="1" s="1"/>
  <c r="S160" i="1"/>
  <c r="AP168" i="1"/>
  <c r="AP171" i="1" s="1"/>
  <c r="G169" i="1"/>
  <c r="N182" i="1"/>
  <c r="G194" i="1"/>
  <c r="J194" i="1" s="1"/>
  <c r="Y168" i="1"/>
  <c r="AA149" i="1"/>
  <c r="W166" i="1"/>
  <c r="X166" i="1" s="1"/>
  <c r="S166" i="1"/>
  <c r="T179" i="1"/>
  <c r="S181" i="1"/>
  <c r="T181" i="1" s="1"/>
  <c r="K168" i="1"/>
  <c r="W156" i="1"/>
  <c r="R167" i="1"/>
  <c r="S156" i="1"/>
  <c r="V168" i="1"/>
  <c r="AP138" i="14"/>
  <c r="AP145" i="14" s="1"/>
  <c r="AA138" i="14"/>
  <c r="Y145" i="14"/>
  <c r="S139" i="14"/>
  <c r="X139" i="14"/>
  <c r="X146" i="14"/>
  <c r="V163" i="14"/>
  <c r="AP154" i="14"/>
  <c r="AA154" i="14"/>
  <c r="Q164" i="14"/>
  <c r="G187" i="14"/>
  <c r="F165" i="14"/>
  <c r="I164" i="14"/>
  <c r="R152" i="14"/>
  <c r="G171" i="14"/>
  <c r="S156" i="14"/>
  <c r="W156" i="14"/>
  <c r="X156" i="14" s="1"/>
  <c r="K145" i="14"/>
  <c r="M138" i="14"/>
  <c r="M145" i="14" s="1"/>
  <c r="M152" i="14"/>
  <c r="M163" i="14" s="1"/>
  <c r="M164" i="14" s="1"/>
  <c r="K163" i="14"/>
  <c r="K164" i="14" s="1"/>
  <c r="H163" i="14"/>
  <c r="J163" i="14" s="1"/>
  <c r="R145" i="14"/>
  <c r="S145" i="14" s="1"/>
  <c r="S138" i="14"/>
  <c r="W138" i="14"/>
  <c r="G169" i="14"/>
  <c r="G180" i="14" s="1"/>
  <c r="J146" i="14"/>
  <c r="V145" i="14"/>
  <c r="S151" i="14"/>
  <c r="H164" i="14"/>
  <c r="E165" i="14"/>
  <c r="N178" i="14"/>
  <c r="S175" i="14"/>
  <c r="J162" i="14"/>
  <c r="AP158" i="14"/>
  <c r="AA158" i="14"/>
  <c r="I163" i="14"/>
  <c r="X151" i="14"/>
  <c r="AP150" i="14"/>
  <c r="AA150" i="14"/>
  <c r="AP153" i="14"/>
  <c r="AA153" i="14"/>
  <c r="AP146" i="14"/>
  <c r="AP163" i="14" s="1"/>
  <c r="AA146" i="14"/>
  <c r="Y163" i="14"/>
  <c r="AA163" i="14" s="1"/>
  <c r="BA39" i="14"/>
  <c r="H145" i="14"/>
  <c r="J145" i="14" s="1"/>
  <c r="L116" i="2"/>
  <c r="T182" i="1" l="1"/>
  <c r="AA168" i="1"/>
  <c r="Y171" i="1"/>
  <c r="W167" i="1"/>
  <c r="X156" i="1"/>
  <c r="R168" i="1"/>
  <c r="S168" i="1" s="1"/>
  <c r="S167" i="1"/>
  <c r="G190" i="14"/>
  <c r="J190" i="14" s="1"/>
  <c r="J187" i="14"/>
  <c r="W145" i="14"/>
  <c r="X138" i="14"/>
  <c r="V164" i="14"/>
  <c r="T175" i="14"/>
  <c r="S177" i="14"/>
  <c r="T177" i="14" s="1"/>
  <c r="T178" i="14" s="1"/>
  <c r="Y164" i="14"/>
  <c r="AA145" i="14"/>
  <c r="X145" i="14"/>
  <c r="J164" i="14"/>
  <c r="W152" i="14"/>
  <c r="S152" i="14"/>
  <c r="R163" i="14"/>
  <c r="AP164" i="14"/>
  <c r="AP167" i="14" s="1"/>
  <c r="W168" i="1" l="1"/>
  <c r="X168" i="1" s="1"/>
  <c r="X167" i="1"/>
  <c r="AA171" i="1"/>
  <c r="I186" i="1"/>
  <c r="R164" i="14"/>
  <c r="S164" i="14" s="1"/>
  <c r="S163" i="14"/>
  <c r="Y167" i="14"/>
  <c r="AA164" i="14"/>
  <c r="W163" i="14"/>
  <c r="X152" i="14"/>
  <c r="W164" i="14" l="1"/>
  <c r="X164" i="14" s="1"/>
  <c r="X163" i="14"/>
  <c r="AA167" i="14"/>
  <c r="I182" i="14"/>
  <c r="L23" i="2" l="1"/>
  <c r="H134" i="1" s="1"/>
  <c r="H136" i="1" s="1"/>
  <c r="J17" i="2" l="1"/>
  <c r="I17" i="2" l="1"/>
  <c r="J16" i="2"/>
  <c r="J15" i="2" l="1"/>
  <c r="I15" i="2"/>
  <c r="I16" i="2"/>
  <c r="J14" i="2" l="1"/>
  <c r="I14" i="2"/>
  <c r="K23" i="2" l="1"/>
  <c r="I23" i="2"/>
  <c r="J23" i="2"/>
  <c r="J13" i="2" l="1"/>
  <c r="I13" i="2"/>
  <c r="J9" i="2" l="1"/>
  <c r="I9" i="2"/>
  <c r="J8" i="2"/>
  <c r="I8" i="2"/>
  <c r="J7" i="2"/>
  <c r="I7" i="2"/>
  <c r="J6" i="2"/>
  <c r="I6" i="2"/>
  <c r="J5" i="2"/>
  <c r="I5" i="2"/>
  <c r="AD379" i="9"/>
  <c r="AB379" i="9"/>
  <c r="Z379" i="9"/>
  <c r="X379" i="9"/>
  <c r="T379" i="9"/>
  <c r="S379" i="9"/>
  <c r="U379" i="9" s="1"/>
  <c r="U378" i="9"/>
  <c r="V378" i="9" s="1"/>
  <c r="U377" i="9"/>
  <c r="V377" i="9" s="1"/>
  <c r="U376" i="9"/>
  <c r="V376" i="9" s="1"/>
  <c r="U375" i="9"/>
  <c r="V375" i="9" s="1"/>
  <c r="U374" i="9"/>
  <c r="V374" i="9" s="1"/>
  <c r="U373" i="9"/>
  <c r="V373" i="9" s="1"/>
  <c r="U372" i="9"/>
  <c r="V372" i="9" s="1"/>
  <c r="U371" i="9"/>
  <c r="V371" i="9" s="1"/>
  <c r="U370" i="9"/>
  <c r="V370" i="9" s="1"/>
  <c r="U369" i="9"/>
  <c r="V369" i="9" s="1"/>
  <c r="U368" i="9"/>
  <c r="V368" i="9" s="1"/>
  <c r="V367" i="9"/>
  <c r="AD347" i="9"/>
  <c r="AB347" i="9"/>
  <c r="Z347" i="9"/>
  <c r="X347" i="9"/>
  <c r="T347" i="9"/>
  <c r="S347" i="9"/>
  <c r="U347" i="9" s="1"/>
  <c r="U346" i="9"/>
  <c r="V346" i="9" s="1"/>
  <c r="U345" i="9"/>
  <c r="V345" i="9" s="1"/>
  <c r="U344" i="9"/>
  <c r="V344" i="9" s="1"/>
  <c r="U343" i="9"/>
  <c r="V343" i="9" s="1"/>
  <c r="U342" i="9"/>
  <c r="V342" i="9" s="1"/>
  <c r="U341" i="9"/>
  <c r="V341" i="9" s="1"/>
  <c r="U340" i="9"/>
  <c r="V340" i="9" s="1"/>
  <c r="U339" i="9"/>
  <c r="V339" i="9" s="1"/>
  <c r="U338" i="9"/>
  <c r="V338" i="9" s="1"/>
  <c r="U337" i="9"/>
  <c r="V337" i="9" s="1"/>
  <c r="U336" i="9"/>
  <c r="V336" i="9" s="1"/>
  <c r="V335" i="9"/>
  <c r="AD317" i="9"/>
  <c r="AB317" i="9"/>
  <c r="Z317" i="9"/>
  <c r="X317" i="9"/>
  <c r="T317" i="9"/>
  <c r="S317" i="9"/>
  <c r="U316" i="9"/>
  <c r="V316" i="9" s="1"/>
  <c r="U315" i="9"/>
  <c r="V315" i="9" s="1"/>
  <c r="U314" i="9"/>
  <c r="V314" i="9" s="1"/>
  <c r="U313" i="9"/>
  <c r="V313" i="9" s="1"/>
  <c r="U312" i="9"/>
  <c r="V312" i="9" s="1"/>
  <c r="U311" i="9"/>
  <c r="V311" i="9" s="1"/>
  <c r="U310" i="9"/>
  <c r="V310" i="9" s="1"/>
  <c r="U309" i="9"/>
  <c r="V309" i="9" s="1"/>
  <c r="U308" i="9"/>
  <c r="V308" i="9" s="1"/>
  <c r="U307" i="9"/>
  <c r="V307" i="9" s="1"/>
  <c r="U306" i="9"/>
  <c r="V306" i="9" s="1"/>
  <c r="V305" i="9"/>
  <c r="AD285" i="9"/>
  <c r="AB285" i="9"/>
  <c r="Z285" i="9"/>
  <c r="X285" i="9"/>
  <c r="T285" i="9"/>
  <c r="S285" i="9"/>
  <c r="U285" i="9" s="1"/>
  <c r="U284" i="9"/>
  <c r="V284" i="9" s="1"/>
  <c r="U283" i="9"/>
  <c r="V283" i="9" s="1"/>
  <c r="U282" i="9"/>
  <c r="V282" i="9" s="1"/>
  <c r="U281" i="9"/>
  <c r="V281" i="9" s="1"/>
  <c r="U280" i="9"/>
  <c r="V280" i="9" s="1"/>
  <c r="U279" i="9"/>
  <c r="V279" i="9" s="1"/>
  <c r="U278" i="9"/>
  <c r="V278" i="9" s="1"/>
  <c r="U277" i="9"/>
  <c r="V277" i="9" s="1"/>
  <c r="U276" i="9"/>
  <c r="V276" i="9" s="1"/>
  <c r="U275" i="9"/>
  <c r="V275" i="9" s="1"/>
  <c r="U274" i="9"/>
  <c r="V274" i="9" s="1"/>
  <c r="V273" i="9"/>
  <c r="AD254" i="9"/>
  <c r="AB254" i="9"/>
  <c r="Z254" i="9"/>
  <c r="X254" i="9"/>
  <c r="T254" i="9"/>
  <c r="S254" i="9"/>
  <c r="U254" i="9" s="1"/>
  <c r="U253" i="9"/>
  <c r="V253" i="9" s="1"/>
  <c r="U252" i="9"/>
  <c r="V252" i="9" s="1"/>
  <c r="U251" i="9"/>
  <c r="V251" i="9" s="1"/>
  <c r="U250" i="9"/>
  <c r="V250" i="9" s="1"/>
  <c r="U249" i="9"/>
  <c r="V249" i="9" s="1"/>
  <c r="U248" i="9"/>
  <c r="V248" i="9" s="1"/>
  <c r="U247" i="9"/>
  <c r="V247" i="9" s="1"/>
  <c r="U246" i="9"/>
  <c r="V246" i="9" s="1"/>
  <c r="U245" i="9"/>
  <c r="V245" i="9" s="1"/>
  <c r="U244" i="9"/>
  <c r="V244" i="9" s="1"/>
  <c r="U243" i="9"/>
  <c r="V243" i="9" s="1"/>
  <c r="V242" i="9"/>
  <c r="AD216" i="9"/>
  <c r="AB216" i="9"/>
  <c r="Z216" i="9"/>
  <c r="X216" i="9"/>
  <c r="T216" i="9"/>
  <c r="S216" i="9"/>
  <c r="U216" i="9" s="1"/>
  <c r="U215" i="9"/>
  <c r="V215" i="9" s="1"/>
  <c r="U214" i="9"/>
  <c r="V214" i="9" s="1"/>
  <c r="U213" i="9"/>
  <c r="V213" i="9" s="1"/>
  <c r="U212" i="9"/>
  <c r="V212" i="9" s="1"/>
  <c r="U211" i="9"/>
  <c r="V211" i="9" s="1"/>
  <c r="V210" i="9"/>
  <c r="U210" i="9"/>
  <c r="U209" i="9"/>
  <c r="V209" i="9" s="1"/>
  <c r="U208" i="9"/>
  <c r="V208" i="9" s="1"/>
  <c r="U207" i="9"/>
  <c r="V207" i="9" s="1"/>
  <c r="U206" i="9"/>
  <c r="V206" i="9" s="1"/>
  <c r="U205" i="9"/>
  <c r="V205" i="9" s="1"/>
  <c r="V204" i="9"/>
  <c r="AD176" i="9"/>
  <c r="AB176" i="9"/>
  <c r="Z176" i="9"/>
  <c r="X176" i="9"/>
  <c r="T176" i="9"/>
  <c r="S176" i="9"/>
  <c r="U175" i="9"/>
  <c r="V175" i="9" s="1"/>
  <c r="U174" i="9"/>
  <c r="V174" i="9" s="1"/>
  <c r="U173" i="9"/>
  <c r="V173" i="9" s="1"/>
  <c r="U172" i="9"/>
  <c r="V172" i="9" s="1"/>
  <c r="U171" i="9"/>
  <c r="V171" i="9" s="1"/>
  <c r="U170" i="9"/>
  <c r="V170" i="9" s="1"/>
  <c r="U169" i="9"/>
  <c r="V169" i="9" s="1"/>
  <c r="U168" i="9"/>
  <c r="V168" i="9" s="1"/>
  <c r="U167" i="9"/>
  <c r="V167" i="9" s="1"/>
  <c r="U166" i="9"/>
  <c r="V166" i="9" s="1"/>
  <c r="U165" i="9"/>
  <c r="V165" i="9" s="1"/>
  <c r="V164" i="9"/>
  <c r="AD146" i="9"/>
  <c r="AB146" i="9"/>
  <c r="Z146" i="9"/>
  <c r="X146" i="9"/>
  <c r="T146" i="9"/>
  <c r="S146" i="9"/>
  <c r="U146" i="9" s="1"/>
  <c r="U145" i="9"/>
  <c r="V145" i="9" s="1"/>
  <c r="U144" i="9"/>
  <c r="V144" i="9" s="1"/>
  <c r="U143" i="9"/>
  <c r="V143" i="9" s="1"/>
  <c r="U142" i="9"/>
  <c r="V142" i="9" s="1"/>
  <c r="U141" i="9"/>
  <c r="V141" i="9" s="1"/>
  <c r="U140" i="9"/>
  <c r="V140" i="9" s="1"/>
  <c r="U139" i="9"/>
  <c r="V139" i="9" s="1"/>
  <c r="U138" i="9"/>
  <c r="V138" i="9" s="1"/>
  <c r="U137" i="9"/>
  <c r="V137" i="9" s="1"/>
  <c r="U136" i="9"/>
  <c r="V136" i="9" s="1"/>
  <c r="U135" i="9"/>
  <c r="V135" i="9" s="1"/>
  <c r="V134" i="9"/>
  <c r="AD114" i="9"/>
  <c r="AB114" i="9"/>
  <c r="Z114" i="9"/>
  <c r="X114" i="9"/>
  <c r="T114" i="9"/>
  <c r="S114" i="9"/>
  <c r="U113" i="9"/>
  <c r="V113" i="9" s="1"/>
  <c r="U112" i="9"/>
  <c r="V112" i="9" s="1"/>
  <c r="U111" i="9"/>
  <c r="V111" i="9" s="1"/>
  <c r="U110" i="9"/>
  <c r="V110" i="9" s="1"/>
  <c r="U109" i="9"/>
  <c r="V109" i="9" s="1"/>
  <c r="U108" i="9"/>
  <c r="V108" i="9" s="1"/>
  <c r="U107" i="9"/>
  <c r="V107" i="9" s="1"/>
  <c r="U106" i="9"/>
  <c r="V106" i="9" s="1"/>
  <c r="U105" i="9"/>
  <c r="V105" i="9" s="1"/>
  <c r="U104" i="9"/>
  <c r="V104" i="9" s="1"/>
  <c r="U103" i="9"/>
  <c r="V103" i="9" s="1"/>
  <c r="V102" i="9"/>
  <c r="AD82" i="9"/>
  <c r="AB82" i="9"/>
  <c r="Z82" i="9"/>
  <c r="X82" i="9"/>
  <c r="T82" i="9"/>
  <c r="S82" i="9"/>
  <c r="U81" i="9"/>
  <c r="V81" i="9" s="1"/>
  <c r="U80" i="9"/>
  <c r="V80" i="9" s="1"/>
  <c r="U79" i="9"/>
  <c r="V79" i="9" s="1"/>
  <c r="U78" i="9"/>
  <c r="V78" i="9" s="1"/>
  <c r="U77" i="9"/>
  <c r="V77" i="9" s="1"/>
  <c r="U76" i="9"/>
  <c r="V76" i="9" s="1"/>
  <c r="U75" i="9"/>
  <c r="V75" i="9" s="1"/>
  <c r="U74" i="9"/>
  <c r="V74" i="9" s="1"/>
  <c r="U73" i="9"/>
  <c r="V73" i="9" s="1"/>
  <c r="U72" i="9"/>
  <c r="V72" i="9" s="1"/>
  <c r="AD53" i="9"/>
  <c r="AB53" i="9"/>
  <c r="S53" i="9"/>
  <c r="U52" i="9"/>
  <c r="V52" i="9" s="1"/>
  <c r="U51" i="9"/>
  <c r="V51" i="9" s="1"/>
  <c r="U50" i="9"/>
  <c r="V50" i="9" s="1"/>
  <c r="U49" i="9"/>
  <c r="V49" i="9" s="1"/>
  <c r="U48" i="9"/>
  <c r="V48" i="9" s="1"/>
  <c r="U47" i="9"/>
  <c r="V47" i="9" s="1"/>
  <c r="U46" i="9"/>
  <c r="V46" i="9" s="1"/>
  <c r="U45" i="9"/>
  <c r="V45" i="9" s="1"/>
  <c r="U44" i="9"/>
  <c r="V44" i="9" s="1"/>
  <c r="U43" i="9"/>
  <c r="V43" i="9" s="1"/>
  <c r="U82" i="9" l="1"/>
  <c r="V82" i="9" s="1"/>
  <c r="U176" i="9"/>
  <c r="U317" i="9"/>
  <c r="V317" i="9" s="1"/>
  <c r="U114" i="9"/>
  <c r="V379" i="9"/>
  <c r="V347" i="9"/>
  <c r="V285" i="9"/>
  <c r="V254" i="9"/>
  <c r="V216" i="9"/>
  <c r="V176" i="9"/>
  <c r="V146" i="9"/>
  <c r="V114" i="9"/>
  <c r="L125" i="2" l="1"/>
  <c r="K125" i="2"/>
  <c r="J125" i="2"/>
  <c r="I125" i="2"/>
  <c r="K116" i="2"/>
  <c r="J116" i="2"/>
  <c r="I116" i="2"/>
  <c r="L107" i="2"/>
  <c r="K107" i="2"/>
  <c r="J107" i="2"/>
  <c r="I107" i="2"/>
  <c r="L96" i="2"/>
  <c r="K96" i="2"/>
  <c r="L88" i="2"/>
  <c r="K88" i="2"/>
  <c r="L78" i="2"/>
  <c r="K78" i="2"/>
  <c r="J78" i="2"/>
  <c r="L66" i="2"/>
  <c r="K66" i="2"/>
  <c r="L56" i="2"/>
  <c r="K56" i="2"/>
  <c r="L46" i="2"/>
  <c r="K46" i="2"/>
  <c r="J38" i="2"/>
  <c r="I38" i="2"/>
  <c r="L19" i="2"/>
  <c r="G134" i="1" s="1"/>
  <c r="K19" i="2"/>
  <c r="I19" i="2"/>
  <c r="L11" i="2"/>
  <c r="K11" i="2"/>
  <c r="Y134" i="1" l="1"/>
  <c r="Y136" i="1" s="1"/>
  <c r="G136" i="1"/>
  <c r="J19" i="2"/>
  <c r="I46" i="2"/>
  <c r="J11" i="2"/>
  <c r="I11" i="2"/>
  <c r="J27" i="2"/>
  <c r="I96" i="2"/>
  <c r="J66" i="2"/>
  <c r="I88" i="2"/>
  <c r="I56" i="2"/>
  <c r="I27" i="2"/>
  <c r="J46" i="2"/>
  <c r="J88" i="2"/>
  <c r="J56" i="2"/>
  <c r="I66" i="2"/>
  <c r="J96" i="2"/>
  <c r="I78" i="2"/>
  <c r="N381" i="9"/>
  <c r="M381" i="9"/>
  <c r="L381" i="9"/>
  <c r="K381" i="9"/>
  <c r="J381" i="9"/>
  <c r="H381" i="9"/>
  <c r="G381" i="9"/>
  <c r="F381" i="9"/>
  <c r="D381" i="9"/>
  <c r="C381" i="9"/>
  <c r="B381" i="9"/>
  <c r="I381" i="9"/>
  <c r="E381" i="9"/>
  <c r="O381" i="9" l="1"/>
  <c r="N349" i="9" l="1"/>
  <c r="M349" i="9"/>
  <c r="L349" i="9"/>
  <c r="K349" i="9"/>
  <c r="J349" i="9"/>
  <c r="H349" i="9"/>
  <c r="G349" i="9"/>
  <c r="F349" i="9"/>
  <c r="E349" i="9"/>
  <c r="D349" i="9"/>
  <c r="C349" i="9"/>
  <c r="B349" i="9"/>
  <c r="I349" i="9"/>
  <c r="O349" i="9" l="1"/>
  <c r="N318" i="9"/>
  <c r="M318" i="9"/>
  <c r="L318" i="9"/>
  <c r="K318" i="9"/>
  <c r="J318" i="9"/>
  <c r="H318" i="9"/>
  <c r="G318" i="9"/>
  <c r="F318" i="9"/>
  <c r="E318" i="9"/>
  <c r="D318" i="9"/>
  <c r="C318" i="9"/>
  <c r="B318" i="9"/>
  <c r="O318" i="9" l="1"/>
  <c r="I318" i="9"/>
  <c r="N255" i="9" l="1"/>
  <c r="M255" i="9"/>
  <c r="L255" i="9"/>
  <c r="K255" i="9"/>
  <c r="J255" i="9"/>
  <c r="H255" i="9"/>
  <c r="F255" i="9"/>
  <c r="E255" i="9"/>
  <c r="D255" i="9"/>
  <c r="C255" i="9"/>
  <c r="B255" i="9"/>
  <c r="G255" i="9"/>
  <c r="I255" i="9"/>
  <c r="O255" i="9" l="1"/>
  <c r="N286" i="9" l="1"/>
  <c r="M286" i="9"/>
  <c r="L286" i="9"/>
  <c r="K286" i="9"/>
  <c r="J286" i="9"/>
  <c r="I286" i="9"/>
  <c r="H286" i="9"/>
  <c r="G286" i="9"/>
  <c r="F286" i="9"/>
  <c r="D286" i="9"/>
  <c r="C286" i="9"/>
  <c r="B286" i="9"/>
  <c r="E286" i="9"/>
  <c r="O286" i="9" l="1"/>
  <c r="B6" i="13" l="1"/>
  <c r="C6" i="13" s="1"/>
  <c r="D6" i="13" s="1"/>
  <c r="E6" i="13" s="1"/>
  <c r="F6" i="13" s="1"/>
  <c r="G6" i="13" s="1"/>
  <c r="H6" i="13" s="1"/>
  <c r="I6" i="13" s="1"/>
  <c r="J6" i="13" s="1"/>
  <c r="K6" i="13" s="1"/>
  <c r="L6" i="13" l="1"/>
  <c r="M6" i="13" s="1"/>
  <c r="N6" i="13" s="1"/>
  <c r="O6" i="13" s="1"/>
  <c r="P6" i="13" s="1"/>
  <c r="B8" i="13" s="1"/>
  <c r="C8" i="13" s="1"/>
  <c r="D8" i="13" s="1"/>
  <c r="E8" i="13" s="1"/>
  <c r="F8" i="13" s="1"/>
  <c r="G8" i="13" s="1"/>
  <c r="H8" i="13" s="1"/>
  <c r="I8" i="13" s="1"/>
  <c r="J8" i="13" s="1"/>
  <c r="K8" i="13" s="1"/>
  <c r="B10" i="13" l="1"/>
  <c r="C10" i="13" s="1"/>
  <c r="D10" i="13" s="1"/>
  <c r="E10" i="13" s="1"/>
  <c r="F10" i="13" s="1"/>
  <c r="G10" i="13" s="1"/>
  <c r="H10" i="13" s="1"/>
  <c r="I10" i="13" s="1"/>
  <c r="J10" i="13" s="1"/>
  <c r="K10" i="13" s="1"/>
  <c r="L10" i="13" s="1"/>
  <c r="M10" i="13" s="1"/>
  <c r="N10" i="13" s="1"/>
  <c r="O10" i="13" s="1"/>
  <c r="P10" i="13" s="1"/>
  <c r="B12" i="13" s="1"/>
  <c r="C12" i="13" s="1"/>
  <c r="D12" i="13" s="1"/>
  <c r="E12" i="13" s="1"/>
  <c r="F12" i="13" s="1"/>
  <c r="G12" i="13" s="1"/>
  <c r="H12" i="13" s="1"/>
  <c r="I12" i="13" s="1"/>
  <c r="J12" i="13" s="1"/>
  <c r="K12" i="13" s="1"/>
  <c r="L12" i="13" s="1"/>
  <c r="M12" i="13" s="1"/>
  <c r="N12" i="13" s="1"/>
  <c r="O12" i="13" s="1"/>
  <c r="P12" i="13" s="1"/>
  <c r="L8" i="13"/>
  <c r="M8" i="13" s="1"/>
  <c r="N8" i="13" s="1"/>
  <c r="O8" i="13" s="1"/>
  <c r="P8" i="13" s="1"/>
  <c r="E223" i="9" l="1"/>
  <c r="M191" i="9" l="1"/>
  <c r="N223" i="9"/>
  <c r="M223" i="9"/>
  <c r="L223" i="9"/>
  <c r="K223" i="9"/>
  <c r="J223" i="9"/>
  <c r="H223" i="9"/>
  <c r="G223" i="9"/>
  <c r="F223" i="9"/>
  <c r="D223" i="9"/>
  <c r="C223" i="9"/>
  <c r="B223" i="9"/>
  <c r="I223" i="9"/>
  <c r="O223" i="9" l="1"/>
  <c r="N191" i="9"/>
  <c r="L191" i="9"/>
  <c r="K191" i="9"/>
  <c r="J191" i="9"/>
  <c r="H191" i="9"/>
  <c r="G191" i="9"/>
  <c r="F191" i="9"/>
  <c r="D191" i="9"/>
  <c r="C191" i="9"/>
  <c r="B191" i="9"/>
  <c r="E191" i="9"/>
  <c r="I191" i="9"/>
  <c r="O191" i="9" l="1"/>
  <c r="L160" i="9" l="1"/>
  <c r="N160" i="9" l="1"/>
  <c r="M160" i="9"/>
  <c r="K160" i="9"/>
  <c r="J160" i="9"/>
  <c r="H160" i="9"/>
  <c r="G160" i="9"/>
  <c r="F160" i="9"/>
  <c r="E160" i="9"/>
  <c r="D160" i="9"/>
  <c r="C160" i="9"/>
  <c r="B160" i="9"/>
  <c r="I160" i="9"/>
  <c r="O160" i="9" l="1"/>
  <c r="N128" i="9" l="1"/>
  <c r="M128" i="9"/>
  <c r="K128" i="9"/>
  <c r="J128" i="9"/>
  <c r="I128" i="9"/>
  <c r="H128" i="9"/>
  <c r="G128" i="9"/>
  <c r="F128" i="9"/>
  <c r="E128" i="9"/>
  <c r="D128" i="9"/>
  <c r="C128" i="9"/>
  <c r="B128" i="9"/>
  <c r="O128" i="9" l="1"/>
  <c r="N96" i="9"/>
  <c r="M96" i="9" l="1"/>
  <c r="K96" i="9"/>
  <c r="J96" i="9"/>
  <c r="H96" i="9"/>
  <c r="G96" i="9"/>
  <c r="F96" i="9"/>
  <c r="E96" i="9"/>
  <c r="D96" i="9"/>
  <c r="C96" i="9"/>
  <c r="B96" i="9"/>
  <c r="I96" i="9"/>
  <c r="O96" i="9" l="1"/>
  <c r="H64" i="9" l="1"/>
  <c r="N64" i="9" l="1"/>
  <c r="M64" i="9"/>
  <c r="K64" i="9"/>
  <c r="J64" i="9"/>
  <c r="Z42" i="9" s="1"/>
  <c r="Z53" i="9" s="1"/>
  <c r="I64" i="9"/>
  <c r="X42" i="9" s="1"/>
  <c r="X53" i="9" s="1"/>
  <c r="G64" i="9"/>
  <c r="F64" i="9"/>
  <c r="E64" i="9"/>
  <c r="D64" i="9"/>
  <c r="C64" i="9"/>
  <c r="T42" i="9" s="1"/>
  <c r="B64" i="9"/>
  <c r="T53" i="9" l="1"/>
  <c r="U53" i="9" s="1"/>
  <c r="V53" i="9" s="1"/>
  <c r="U42" i="9"/>
  <c r="V42" i="9" s="1"/>
  <c r="O64" i="9"/>
  <c r="N35" i="9" l="1"/>
  <c r="M35" i="9"/>
  <c r="O35" i="9" l="1"/>
  <c r="U20" i="9" l="1"/>
  <c r="V20" i="9" s="1"/>
  <c r="U19" i="9"/>
  <c r="V19" i="9" s="1"/>
  <c r="U18" i="9"/>
  <c r="V18" i="9" s="1"/>
  <c r="AD21" i="9"/>
  <c r="U17" i="9"/>
  <c r="V17" i="9" s="1"/>
  <c r="AB21" i="9"/>
  <c r="U16" i="9"/>
  <c r="V16" i="9" s="1"/>
  <c r="U15" i="9"/>
  <c r="V15" i="9" s="1"/>
  <c r="U14" i="9"/>
  <c r="V14" i="9" s="1"/>
  <c r="U13" i="9"/>
  <c r="V13" i="9" s="1"/>
  <c r="U12" i="9"/>
  <c r="V12" i="9" s="1"/>
  <c r="U11" i="9"/>
  <c r="V11" i="9" s="1"/>
  <c r="U10" i="9"/>
  <c r="V10" i="9" s="1"/>
  <c r="K35" i="9" l="1"/>
  <c r="J35" i="9"/>
  <c r="Z9" i="9" s="1"/>
  <c r="Z21" i="9" s="1"/>
  <c r="I35" i="9"/>
  <c r="X9" i="9" s="1"/>
  <c r="X21" i="9" s="1"/>
  <c r="G35" i="9"/>
  <c r="F35" i="9"/>
  <c r="E35" i="9"/>
  <c r="D35" i="9"/>
  <c r="C35" i="9"/>
  <c r="T9" i="9" s="1"/>
  <c r="B35" i="9"/>
  <c r="S9" i="9" s="1"/>
  <c r="U9" i="9" l="1"/>
  <c r="V9" i="9" s="1"/>
  <c r="S21" i="9"/>
  <c r="T21" i="9"/>
  <c r="AW117" i="5"/>
  <c r="AV117" i="5"/>
  <c r="AT117" i="5"/>
  <c r="AS117" i="5"/>
  <c r="AW116" i="5"/>
  <c r="AV116" i="5"/>
  <c r="AY116" i="5" s="1"/>
  <c r="AT116" i="5"/>
  <c r="AS116" i="5"/>
  <c r="AK116" i="5"/>
  <c r="AH116" i="5"/>
  <c r="AE116" i="5"/>
  <c r="AD116" i="5"/>
  <c r="AC116" i="5"/>
  <c r="AB116" i="5"/>
  <c r="AA116" i="5"/>
  <c r="U21" i="9" l="1"/>
  <c r="V21" i="9" s="1"/>
  <c r="AY117" i="5"/>
  <c r="AX116" i="5"/>
  <c r="AZ116" i="5" s="1"/>
  <c r="AX117" i="5"/>
  <c r="AZ117" i="5" l="1"/>
  <c r="M1104" i="5"/>
  <c r="L1104" i="5"/>
  <c r="K1104" i="5"/>
  <c r="J1104" i="5"/>
  <c r="I1104" i="5"/>
  <c r="AK1102" i="5"/>
  <c r="AH1102" i="5"/>
  <c r="AE1102" i="5"/>
  <c r="AC1102" i="5"/>
  <c r="AB1102" i="5"/>
  <c r="AA1102" i="5"/>
  <c r="N1102" i="5"/>
  <c r="AD1102" i="5" s="1"/>
  <c r="AK1100" i="5"/>
  <c r="AH1100" i="5"/>
  <c r="AE1100" i="5"/>
  <c r="AC1100" i="5"/>
  <c r="AB1100" i="5"/>
  <c r="AA1100" i="5"/>
  <c r="N1100" i="5"/>
  <c r="AD1100" i="5" s="1"/>
  <c r="AK1098" i="5"/>
  <c r="AH1098" i="5"/>
  <c r="AE1098" i="5"/>
  <c r="AC1098" i="5"/>
  <c r="AB1098" i="5"/>
  <c r="AA1098" i="5"/>
  <c r="N1098" i="5"/>
  <c r="AD1098" i="5" s="1"/>
  <c r="AK1096" i="5"/>
  <c r="AH1096" i="5"/>
  <c r="AE1096" i="5"/>
  <c r="AD1096" i="5"/>
  <c r="AC1096" i="5"/>
  <c r="AB1096" i="5"/>
  <c r="AA1096" i="5"/>
  <c r="N1096" i="5"/>
  <c r="AK1094" i="5"/>
  <c r="AH1094" i="5"/>
  <c r="AE1094" i="5"/>
  <c r="AC1094" i="5"/>
  <c r="AB1094" i="5"/>
  <c r="AA1094" i="5"/>
  <c r="N1094" i="5"/>
  <c r="AD1094" i="5" s="1"/>
  <c r="AK1092" i="5"/>
  <c r="AH1092" i="5"/>
  <c r="AE1092" i="5"/>
  <c r="AC1092" i="5"/>
  <c r="AB1092" i="5"/>
  <c r="AA1092" i="5"/>
  <c r="N1092" i="5"/>
  <c r="AD1092" i="5" s="1"/>
  <c r="AK1090" i="5"/>
  <c r="AH1090" i="5"/>
  <c r="AE1090" i="5"/>
  <c r="AC1090" i="5"/>
  <c r="AB1090" i="5"/>
  <c r="AA1090" i="5"/>
  <c r="N1090" i="5"/>
  <c r="AD1090" i="5" s="1"/>
  <c r="AK1088" i="5"/>
  <c r="AH1088" i="5"/>
  <c r="AE1088" i="5"/>
  <c r="AC1088" i="5"/>
  <c r="AB1088" i="5"/>
  <c r="AA1088" i="5"/>
  <c r="N1088" i="5"/>
  <c r="AD1088" i="5" s="1"/>
  <c r="AK1086" i="5"/>
  <c r="AH1086" i="5"/>
  <c r="AE1086" i="5"/>
  <c r="AC1086" i="5"/>
  <c r="AB1086" i="5"/>
  <c r="AA1086" i="5"/>
  <c r="N1086" i="5"/>
  <c r="AD1086" i="5" s="1"/>
  <c r="AK1084" i="5"/>
  <c r="AH1084" i="5"/>
  <c r="AE1084" i="5"/>
  <c r="AC1084" i="5"/>
  <c r="AB1084" i="5"/>
  <c r="AA1084" i="5"/>
  <c r="N1084" i="5"/>
  <c r="M1081" i="5"/>
  <c r="L1081" i="5"/>
  <c r="K1081" i="5"/>
  <c r="J1081" i="5"/>
  <c r="I1081" i="5"/>
  <c r="AK1079" i="5"/>
  <c r="AH1079" i="5"/>
  <c r="AE1079" i="5"/>
  <c r="AC1079" i="5"/>
  <c r="AB1079" i="5"/>
  <c r="AA1079" i="5"/>
  <c r="N1079" i="5"/>
  <c r="AD1079" i="5" s="1"/>
  <c r="AK1077" i="5"/>
  <c r="AH1077" i="5"/>
  <c r="AE1077" i="5"/>
  <c r="AC1077" i="5"/>
  <c r="AB1077" i="5"/>
  <c r="AA1077" i="5"/>
  <c r="N1077" i="5"/>
  <c r="AD1077" i="5" s="1"/>
  <c r="AK1075" i="5"/>
  <c r="AH1075" i="5"/>
  <c r="AE1075" i="5"/>
  <c r="AC1075" i="5"/>
  <c r="AB1075" i="5"/>
  <c r="AA1075" i="5"/>
  <c r="N1075" i="5"/>
  <c r="AD1075" i="5" s="1"/>
  <c r="AK1073" i="5"/>
  <c r="AH1073" i="5"/>
  <c r="AE1073" i="5"/>
  <c r="AC1073" i="5"/>
  <c r="AB1073" i="5"/>
  <c r="AA1073" i="5"/>
  <c r="N1073" i="5"/>
  <c r="AD1073" i="5" s="1"/>
  <c r="AK1071" i="5"/>
  <c r="AH1071" i="5"/>
  <c r="AE1071" i="5"/>
  <c r="AC1071" i="5"/>
  <c r="AB1071" i="5"/>
  <c r="AA1071" i="5"/>
  <c r="N1071" i="5"/>
  <c r="AD1071" i="5" s="1"/>
  <c r="AK1069" i="5"/>
  <c r="AH1069" i="5"/>
  <c r="AE1069" i="5"/>
  <c r="AC1069" i="5"/>
  <c r="AB1069" i="5"/>
  <c r="AA1069" i="5"/>
  <c r="N1069" i="5"/>
  <c r="AD1069" i="5" s="1"/>
  <c r="AK1067" i="5"/>
  <c r="AH1067" i="5"/>
  <c r="AE1067" i="5"/>
  <c r="AC1067" i="5"/>
  <c r="AB1067" i="5"/>
  <c r="AA1067" i="5"/>
  <c r="N1067" i="5"/>
  <c r="AD1067" i="5" s="1"/>
  <c r="AK1065" i="5"/>
  <c r="AH1065" i="5"/>
  <c r="AE1065" i="5"/>
  <c r="AC1065" i="5"/>
  <c r="AB1065" i="5"/>
  <c r="AA1065" i="5"/>
  <c r="N1065" i="5"/>
  <c r="AD1065" i="5" s="1"/>
  <c r="AK1063" i="5"/>
  <c r="AH1063" i="5"/>
  <c r="AE1063" i="5"/>
  <c r="AC1063" i="5"/>
  <c r="AB1063" i="5"/>
  <c r="AA1063" i="5"/>
  <c r="N1063" i="5"/>
  <c r="AD1063" i="5" s="1"/>
  <c r="AK1061" i="5"/>
  <c r="AH1061" i="5"/>
  <c r="AE1061" i="5"/>
  <c r="AC1061" i="5"/>
  <c r="AB1061" i="5"/>
  <c r="AA1061" i="5"/>
  <c r="N1061" i="5"/>
  <c r="H1052" i="5"/>
  <c r="F1052" i="5"/>
  <c r="D1052" i="5"/>
  <c r="C1052" i="5"/>
  <c r="H1051" i="5"/>
  <c r="F1051" i="5"/>
  <c r="D1051" i="5"/>
  <c r="C1051" i="5"/>
  <c r="E1051" i="5" s="1"/>
  <c r="G1051" i="5" s="1"/>
  <c r="H1050" i="5"/>
  <c r="F1050" i="5"/>
  <c r="D1050" i="5"/>
  <c r="C1050" i="5"/>
  <c r="H1049" i="5"/>
  <c r="F1049" i="5"/>
  <c r="D1049" i="5"/>
  <c r="C1049" i="5"/>
  <c r="F1042" i="5"/>
  <c r="D1042" i="5"/>
  <c r="C1042" i="5"/>
  <c r="F1041" i="5"/>
  <c r="D1041" i="5"/>
  <c r="C1041" i="5"/>
  <c r="F1040" i="5"/>
  <c r="D1040" i="5"/>
  <c r="C1040" i="5"/>
  <c r="R1039" i="5"/>
  <c r="Q1039" i="5"/>
  <c r="L1039" i="5"/>
  <c r="O1039" i="5" s="1"/>
  <c r="K1039" i="5"/>
  <c r="N1039" i="5" s="1"/>
  <c r="F1039" i="5"/>
  <c r="D1039" i="5"/>
  <c r="C1039" i="5"/>
  <c r="R1038" i="5"/>
  <c r="Q1038" i="5"/>
  <c r="L1038" i="5"/>
  <c r="O1038" i="5" s="1"/>
  <c r="K1038" i="5"/>
  <c r="F1038" i="5"/>
  <c r="D1038" i="5"/>
  <c r="C1038" i="5"/>
  <c r="R1037" i="5"/>
  <c r="Q1037" i="5"/>
  <c r="L1037" i="5"/>
  <c r="O1037" i="5" s="1"/>
  <c r="K1037" i="5"/>
  <c r="N1037" i="5" s="1"/>
  <c r="P1037" i="5" s="1"/>
  <c r="F1037" i="5"/>
  <c r="D1037" i="5"/>
  <c r="C1037" i="5"/>
  <c r="R1036" i="5"/>
  <c r="Q1036" i="5"/>
  <c r="L1036" i="5"/>
  <c r="O1036" i="5" s="1"/>
  <c r="K1036" i="5"/>
  <c r="N1036" i="5" s="1"/>
  <c r="F1036" i="5"/>
  <c r="D1036" i="5"/>
  <c r="C1036" i="5"/>
  <c r="R1035" i="5"/>
  <c r="Q1035" i="5"/>
  <c r="L1035" i="5"/>
  <c r="O1035" i="5" s="1"/>
  <c r="K1035" i="5"/>
  <c r="N1035" i="5" s="1"/>
  <c r="F1035" i="5"/>
  <c r="D1035" i="5"/>
  <c r="C1035" i="5"/>
  <c r="R1034" i="5"/>
  <c r="Q1034" i="5"/>
  <c r="L1034" i="5"/>
  <c r="O1034" i="5" s="1"/>
  <c r="K1034" i="5"/>
  <c r="F1034" i="5"/>
  <c r="D1034" i="5"/>
  <c r="C1034" i="5"/>
  <c r="R1033" i="5"/>
  <c r="Q1033" i="5"/>
  <c r="L1033" i="5"/>
  <c r="O1033" i="5" s="1"/>
  <c r="K1033" i="5"/>
  <c r="N1033" i="5" s="1"/>
  <c r="P1033" i="5" s="1"/>
  <c r="F1033" i="5"/>
  <c r="D1033" i="5"/>
  <c r="C1033" i="5"/>
  <c r="R1032" i="5"/>
  <c r="Q1032" i="5"/>
  <c r="L1032" i="5"/>
  <c r="K1032" i="5"/>
  <c r="F1032" i="5"/>
  <c r="D1032" i="5"/>
  <c r="C1032" i="5"/>
  <c r="AO1028" i="5"/>
  <c r="AA1028" i="5"/>
  <c r="Z1028" i="5"/>
  <c r="W1028" i="5"/>
  <c r="R1028" i="5"/>
  <c r="Y1026" i="5"/>
  <c r="O1025" i="5"/>
  <c r="Q1025" i="5" s="1"/>
  <c r="V1025" i="5" s="1"/>
  <c r="K1025" i="5"/>
  <c r="J1025" i="5"/>
  <c r="E1025" i="5"/>
  <c r="D1025" i="5"/>
  <c r="O1024" i="5"/>
  <c r="Q1024" i="5" s="1"/>
  <c r="V1024" i="5" s="1"/>
  <c r="K1024" i="5"/>
  <c r="J1024" i="5"/>
  <c r="E1024" i="5"/>
  <c r="D1024" i="5"/>
  <c r="O1023" i="5"/>
  <c r="T1023" i="5" s="1"/>
  <c r="K1023" i="5"/>
  <c r="J1023" i="5"/>
  <c r="E1023" i="5"/>
  <c r="D1023" i="5"/>
  <c r="O1022" i="5"/>
  <c r="Q1022" i="5" s="1"/>
  <c r="V1022" i="5" s="1"/>
  <c r="K1022" i="5"/>
  <c r="J1022" i="5"/>
  <c r="E1022" i="5"/>
  <c r="D1022" i="5"/>
  <c r="F1022" i="5" s="1"/>
  <c r="X1022" i="5" s="1"/>
  <c r="O1021" i="5"/>
  <c r="K1021" i="5"/>
  <c r="J1021" i="5"/>
  <c r="E1021" i="5"/>
  <c r="D1021" i="5"/>
  <c r="O1020" i="5"/>
  <c r="T1020" i="5" s="1"/>
  <c r="K1020" i="5"/>
  <c r="J1020" i="5"/>
  <c r="E1020" i="5"/>
  <c r="D1020" i="5"/>
  <c r="O1019" i="5"/>
  <c r="Q1019" i="5" s="1"/>
  <c r="V1019" i="5" s="1"/>
  <c r="K1019" i="5"/>
  <c r="J1019" i="5"/>
  <c r="L1019" i="5" s="1"/>
  <c r="E1019" i="5"/>
  <c r="D1019" i="5"/>
  <c r="O1018" i="5"/>
  <c r="Q1018" i="5" s="1"/>
  <c r="V1018" i="5" s="1"/>
  <c r="K1018" i="5"/>
  <c r="J1018" i="5"/>
  <c r="E1018" i="5"/>
  <c r="D1018" i="5"/>
  <c r="O1017" i="5"/>
  <c r="T1017" i="5" s="1"/>
  <c r="K1017" i="5"/>
  <c r="J1017" i="5"/>
  <c r="L1017" i="5" s="1"/>
  <c r="E1017" i="5"/>
  <c r="D1017" i="5"/>
  <c r="O1016" i="5"/>
  <c r="K1016" i="5"/>
  <c r="J1016" i="5"/>
  <c r="E1016" i="5"/>
  <c r="D1016" i="5"/>
  <c r="O1015" i="5"/>
  <c r="T1015" i="5" s="1"/>
  <c r="K1015" i="5"/>
  <c r="J1015" i="5"/>
  <c r="E1015" i="5"/>
  <c r="D1015" i="5"/>
  <c r="O1014" i="5"/>
  <c r="T1014" i="5" s="1"/>
  <c r="K1014" i="5"/>
  <c r="J1014" i="5"/>
  <c r="E1014" i="5"/>
  <c r="D1014" i="5"/>
  <c r="F1014" i="5" s="1"/>
  <c r="X1014" i="5" s="1"/>
  <c r="AA1014" i="5" s="1"/>
  <c r="O1013" i="5"/>
  <c r="Q1013" i="5" s="1"/>
  <c r="V1013" i="5" s="1"/>
  <c r="K1013" i="5"/>
  <c r="J1013" i="5"/>
  <c r="E1013" i="5"/>
  <c r="D1013" i="5"/>
  <c r="O1012" i="5"/>
  <c r="P1012" i="5" s="1"/>
  <c r="U1012" i="5" s="1"/>
  <c r="K1012" i="5"/>
  <c r="J1012" i="5"/>
  <c r="E1012" i="5"/>
  <c r="D1012" i="5"/>
  <c r="O1011" i="5"/>
  <c r="K1011" i="5"/>
  <c r="J1011" i="5"/>
  <c r="L1011" i="5" s="1"/>
  <c r="E1011" i="5"/>
  <c r="D1011" i="5"/>
  <c r="Y1010" i="5"/>
  <c r="O1009" i="5"/>
  <c r="T1009" i="5" s="1"/>
  <c r="K1009" i="5"/>
  <c r="J1009" i="5"/>
  <c r="E1009" i="5"/>
  <c r="D1009" i="5"/>
  <c r="O1008" i="5"/>
  <c r="Q1008" i="5" s="1"/>
  <c r="V1008" i="5" s="1"/>
  <c r="K1008" i="5"/>
  <c r="J1008" i="5"/>
  <c r="E1008" i="5"/>
  <c r="D1008" i="5"/>
  <c r="O1007" i="5"/>
  <c r="T1007" i="5" s="1"/>
  <c r="K1007" i="5"/>
  <c r="J1007" i="5"/>
  <c r="E1007" i="5"/>
  <c r="D1007" i="5"/>
  <c r="O1006" i="5"/>
  <c r="T1006" i="5" s="1"/>
  <c r="K1006" i="5"/>
  <c r="J1006" i="5"/>
  <c r="E1006" i="5"/>
  <c r="D1006" i="5"/>
  <c r="F1006" i="5" s="1"/>
  <c r="O1005" i="5"/>
  <c r="T1005" i="5" s="1"/>
  <c r="K1005" i="5"/>
  <c r="J1005" i="5"/>
  <c r="E1005" i="5"/>
  <c r="D1005" i="5"/>
  <c r="O1004" i="5"/>
  <c r="K1004" i="5"/>
  <c r="J1004" i="5"/>
  <c r="E1004" i="5"/>
  <c r="D1004" i="5"/>
  <c r="F1004" i="5" s="1"/>
  <c r="Y1002" i="5"/>
  <c r="H998" i="5"/>
  <c r="F998" i="5"/>
  <c r="D998" i="5"/>
  <c r="C998" i="5"/>
  <c r="H997" i="5"/>
  <c r="F997" i="5"/>
  <c r="D997" i="5"/>
  <c r="C997" i="5"/>
  <c r="H996" i="5"/>
  <c r="F996" i="5"/>
  <c r="D996" i="5"/>
  <c r="C996" i="5"/>
  <c r="H995" i="5"/>
  <c r="F995" i="5"/>
  <c r="D995" i="5"/>
  <c r="C995" i="5"/>
  <c r="F988" i="5"/>
  <c r="D988" i="5"/>
  <c r="C988" i="5"/>
  <c r="F987" i="5"/>
  <c r="D987" i="5"/>
  <c r="C987" i="5"/>
  <c r="F986" i="5"/>
  <c r="D986" i="5"/>
  <c r="C986" i="5"/>
  <c r="R985" i="5"/>
  <c r="Q985" i="5"/>
  <c r="L985" i="5"/>
  <c r="O985" i="5" s="1"/>
  <c r="K985" i="5"/>
  <c r="F985" i="5"/>
  <c r="D985" i="5"/>
  <c r="C985" i="5"/>
  <c r="R984" i="5"/>
  <c r="Q984" i="5"/>
  <c r="L984" i="5"/>
  <c r="O984" i="5" s="1"/>
  <c r="K984" i="5"/>
  <c r="N984" i="5" s="1"/>
  <c r="F984" i="5"/>
  <c r="D984" i="5"/>
  <c r="C984" i="5"/>
  <c r="R983" i="5"/>
  <c r="Q983" i="5"/>
  <c r="L983" i="5"/>
  <c r="O983" i="5" s="1"/>
  <c r="K983" i="5"/>
  <c r="F983" i="5"/>
  <c r="D983" i="5"/>
  <c r="C983" i="5"/>
  <c r="R982" i="5"/>
  <c r="Q982" i="5"/>
  <c r="L982" i="5"/>
  <c r="O982" i="5" s="1"/>
  <c r="K982" i="5"/>
  <c r="N982" i="5" s="1"/>
  <c r="F982" i="5"/>
  <c r="D982" i="5"/>
  <c r="C982" i="5"/>
  <c r="R981" i="5"/>
  <c r="Q981" i="5"/>
  <c r="L981" i="5"/>
  <c r="O981" i="5" s="1"/>
  <c r="K981" i="5"/>
  <c r="F981" i="5"/>
  <c r="D981" i="5"/>
  <c r="C981" i="5"/>
  <c r="R980" i="5"/>
  <c r="Q980" i="5"/>
  <c r="L980" i="5"/>
  <c r="O980" i="5" s="1"/>
  <c r="K980" i="5"/>
  <c r="M980" i="5" s="1"/>
  <c r="F980" i="5"/>
  <c r="D980" i="5"/>
  <c r="C980" i="5"/>
  <c r="R979" i="5"/>
  <c r="Q979" i="5"/>
  <c r="L979" i="5"/>
  <c r="O979" i="5" s="1"/>
  <c r="K979" i="5"/>
  <c r="N979" i="5" s="1"/>
  <c r="F979" i="5"/>
  <c r="D979" i="5"/>
  <c r="C979" i="5"/>
  <c r="R978" i="5"/>
  <c r="Q978" i="5"/>
  <c r="L978" i="5"/>
  <c r="O978" i="5" s="1"/>
  <c r="K978" i="5"/>
  <c r="M978" i="5" s="1"/>
  <c r="F978" i="5"/>
  <c r="D978" i="5"/>
  <c r="C978" i="5"/>
  <c r="AO974" i="5"/>
  <c r="AA974" i="5"/>
  <c r="Z974" i="5"/>
  <c r="W974" i="5"/>
  <c r="R974" i="5"/>
  <c r="AN972" i="5"/>
  <c r="Y972" i="5"/>
  <c r="O971" i="5"/>
  <c r="Q971" i="5" s="1"/>
  <c r="V971" i="5" s="1"/>
  <c r="K971" i="5"/>
  <c r="J971" i="5"/>
  <c r="E971" i="5"/>
  <c r="D971" i="5"/>
  <c r="O970" i="5"/>
  <c r="T970" i="5" s="1"/>
  <c r="K970" i="5"/>
  <c r="J970" i="5"/>
  <c r="E970" i="5"/>
  <c r="D970" i="5"/>
  <c r="O969" i="5"/>
  <c r="T969" i="5" s="1"/>
  <c r="K969" i="5"/>
  <c r="J969" i="5"/>
  <c r="E969" i="5"/>
  <c r="D969" i="5"/>
  <c r="O968" i="5"/>
  <c r="T968" i="5" s="1"/>
  <c r="K968" i="5"/>
  <c r="J968" i="5"/>
  <c r="E968" i="5"/>
  <c r="D968" i="5"/>
  <c r="O967" i="5"/>
  <c r="Q967" i="5" s="1"/>
  <c r="V967" i="5" s="1"/>
  <c r="K967" i="5"/>
  <c r="J967" i="5"/>
  <c r="L967" i="5" s="1"/>
  <c r="E967" i="5"/>
  <c r="D967" i="5"/>
  <c r="O966" i="5"/>
  <c r="T966" i="5" s="1"/>
  <c r="K966" i="5"/>
  <c r="J966" i="5"/>
  <c r="L966" i="5" s="1"/>
  <c r="E966" i="5"/>
  <c r="D966" i="5"/>
  <c r="O965" i="5"/>
  <c r="T965" i="5" s="1"/>
  <c r="K965" i="5"/>
  <c r="J965" i="5"/>
  <c r="E965" i="5"/>
  <c r="D965" i="5"/>
  <c r="O964" i="5"/>
  <c r="Q964" i="5" s="1"/>
  <c r="V964" i="5" s="1"/>
  <c r="K964" i="5"/>
  <c r="J964" i="5"/>
  <c r="E964" i="5"/>
  <c r="D964" i="5"/>
  <c r="O963" i="5"/>
  <c r="K963" i="5"/>
  <c r="J963" i="5"/>
  <c r="E963" i="5"/>
  <c r="D963" i="5"/>
  <c r="O962" i="5"/>
  <c r="Q962" i="5" s="1"/>
  <c r="V962" i="5" s="1"/>
  <c r="K962" i="5"/>
  <c r="J962" i="5"/>
  <c r="E962" i="5"/>
  <c r="D962" i="5"/>
  <c r="O961" i="5"/>
  <c r="T961" i="5" s="1"/>
  <c r="K961" i="5"/>
  <c r="J961" i="5"/>
  <c r="E961" i="5"/>
  <c r="D961" i="5"/>
  <c r="O960" i="5"/>
  <c r="Q960" i="5" s="1"/>
  <c r="V960" i="5" s="1"/>
  <c r="K960" i="5"/>
  <c r="J960" i="5"/>
  <c r="E960" i="5"/>
  <c r="D960" i="5"/>
  <c r="F960" i="5" s="1"/>
  <c r="O959" i="5"/>
  <c r="Q959" i="5" s="1"/>
  <c r="K959" i="5"/>
  <c r="J959" i="5"/>
  <c r="E959" i="5"/>
  <c r="D959" i="5"/>
  <c r="O958" i="5"/>
  <c r="K958" i="5"/>
  <c r="J958" i="5"/>
  <c r="E958" i="5"/>
  <c r="D958" i="5"/>
  <c r="O957" i="5"/>
  <c r="Q957" i="5" s="1"/>
  <c r="K957" i="5"/>
  <c r="J957" i="5"/>
  <c r="E957" i="5"/>
  <c r="D957" i="5"/>
  <c r="AN956" i="5"/>
  <c r="Y956" i="5"/>
  <c r="O955" i="5"/>
  <c r="P955" i="5" s="1"/>
  <c r="U955" i="5" s="1"/>
  <c r="K955" i="5"/>
  <c r="J955" i="5"/>
  <c r="E955" i="5"/>
  <c r="D955" i="5"/>
  <c r="O954" i="5"/>
  <c r="Q954" i="5" s="1"/>
  <c r="V954" i="5" s="1"/>
  <c r="K954" i="5"/>
  <c r="J954" i="5"/>
  <c r="L954" i="5" s="1"/>
  <c r="E954" i="5"/>
  <c r="D954" i="5"/>
  <c r="O953" i="5"/>
  <c r="T953" i="5" s="1"/>
  <c r="K953" i="5"/>
  <c r="J953" i="5"/>
  <c r="E953" i="5"/>
  <c r="D953" i="5"/>
  <c r="O952" i="5"/>
  <c r="T952" i="5" s="1"/>
  <c r="K952" i="5"/>
  <c r="J952" i="5"/>
  <c r="E952" i="5"/>
  <c r="D952" i="5"/>
  <c r="O951" i="5"/>
  <c r="P951" i="5" s="1"/>
  <c r="U951" i="5" s="1"/>
  <c r="K951" i="5"/>
  <c r="J951" i="5"/>
  <c r="E951" i="5"/>
  <c r="D951" i="5"/>
  <c r="O950" i="5"/>
  <c r="P950" i="5" s="1"/>
  <c r="U950" i="5" s="1"/>
  <c r="K950" i="5"/>
  <c r="J950" i="5"/>
  <c r="E950" i="5"/>
  <c r="D950" i="5"/>
  <c r="Y948" i="5"/>
  <c r="H944" i="5"/>
  <c r="F944" i="5"/>
  <c r="D944" i="5"/>
  <c r="C944" i="5"/>
  <c r="H943" i="5"/>
  <c r="F943" i="5"/>
  <c r="D943" i="5"/>
  <c r="C943" i="5"/>
  <c r="H942" i="5"/>
  <c r="F942" i="5"/>
  <c r="D942" i="5"/>
  <c r="C942" i="5"/>
  <c r="H941" i="5"/>
  <c r="F941" i="5"/>
  <c r="D941" i="5"/>
  <c r="C941" i="5"/>
  <c r="F934" i="5"/>
  <c r="D934" i="5"/>
  <c r="C934" i="5"/>
  <c r="F933" i="5"/>
  <c r="D933" i="5"/>
  <c r="C933" i="5"/>
  <c r="F932" i="5"/>
  <c r="D932" i="5"/>
  <c r="C932" i="5"/>
  <c r="E932" i="5" s="1"/>
  <c r="G932" i="5" s="1"/>
  <c r="R931" i="5"/>
  <c r="Q931" i="5"/>
  <c r="L931" i="5"/>
  <c r="O931" i="5" s="1"/>
  <c r="K931" i="5"/>
  <c r="F931" i="5"/>
  <c r="D931" i="5"/>
  <c r="C931" i="5"/>
  <c r="R930" i="5"/>
  <c r="Q930" i="5"/>
  <c r="L930" i="5"/>
  <c r="O930" i="5" s="1"/>
  <c r="K930" i="5"/>
  <c r="N930" i="5" s="1"/>
  <c r="F930" i="5"/>
  <c r="D930" i="5"/>
  <c r="C930" i="5"/>
  <c r="R929" i="5"/>
  <c r="Q929" i="5"/>
  <c r="L929" i="5"/>
  <c r="K929" i="5"/>
  <c r="N929" i="5" s="1"/>
  <c r="F929" i="5"/>
  <c r="D929" i="5"/>
  <c r="C929" i="5"/>
  <c r="R928" i="5"/>
  <c r="Q928" i="5"/>
  <c r="L928" i="5"/>
  <c r="O928" i="5" s="1"/>
  <c r="K928" i="5"/>
  <c r="N928" i="5" s="1"/>
  <c r="F928" i="5"/>
  <c r="D928" i="5"/>
  <c r="C928" i="5"/>
  <c r="R927" i="5"/>
  <c r="Q927" i="5"/>
  <c r="L927" i="5"/>
  <c r="O927" i="5" s="1"/>
  <c r="K927" i="5"/>
  <c r="N927" i="5" s="1"/>
  <c r="F927" i="5"/>
  <c r="D927" i="5"/>
  <c r="C927" i="5"/>
  <c r="R926" i="5"/>
  <c r="Q926" i="5"/>
  <c r="L926" i="5"/>
  <c r="K926" i="5"/>
  <c r="N926" i="5" s="1"/>
  <c r="F926" i="5"/>
  <c r="D926" i="5"/>
  <c r="C926" i="5"/>
  <c r="R925" i="5"/>
  <c r="Q925" i="5"/>
  <c r="L925" i="5"/>
  <c r="O925" i="5" s="1"/>
  <c r="K925" i="5"/>
  <c r="N925" i="5" s="1"/>
  <c r="F925" i="5"/>
  <c r="D925" i="5"/>
  <c r="C925" i="5"/>
  <c r="R924" i="5"/>
  <c r="Q924" i="5"/>
  <c r="L924" i="5"/>
  <c r="O924" i="5" s="1"/>
  <c r="K924" i="5"/>
  <c r="N924" i="5" s="1"/>
  <c r="F924" i="5"/>
  <c r="D924" i="5"/>
  <c r="C924" i="5"/>
  <c r="AO920" i="5"/>
  <c r="AA920" i="5"/>
  <c r="Z920" i="5"/>
  <c r="W920" i="5"/>
  <c r="R920" i="5"/>
  <c r="AN918" i="5"/>
  <c r="Y918" i="5"/>
  <c r="O917" i="5"/>
  <c r="K917" i="5"/>
  <c r="J917" i="5"/>
  <c r="E917" i="5"/>
  <c r="D917" i="5"/>
  <c r="O916" i="5"/>
  <c r="T916" i="5" s="1"/>
  <c r="K916" i="5"/>
  <c r="J916" i="5"/>
  <c r="L916" i="5" s="1"/>
  <c r="E916" i="5"/>
  <c r="D916" i="5"/>
  <c r="O915" i="5"/>
  <c r="Q915" i="5" s="1"/>
  <c r="V915" i="5" s="1"/>
  <c r="K915" i="5"/>
  <c r="J915" i="5"/>
  <c r="E915" i="5"/>
  <c r="D915" i="5"/>
  <c r="O914" i="5"/>
  <c r="T914" i="5" s="1"/>
  <c r="K914" i="5"/>
  <c r="J914" i="5"/>
  <c r="E914" i="5"/>
  <c r="D914" i="5"/>
  <c r="O913" i="5"/>
  <c r="K913" i="5"/>
  <c r="J913" i="5"/>
  <c r="E913" i="5"/>
  <c r="D913" i="5"/>
  <c r="O912" i="5"/>
  <c r="T912" i="5" s="1"/>
  <c r="K912" i="5"/>
  <c r="J912" i="5"/>
  <c r="L912" i="5" s="1"/>
  <c r="E912" i="5"/>
  <c r="D912" i="5"/>
  <c r="O911" i="5"/>
  <c r="T911" i="5" s="1"/>
  <c r="K911" i="5"/>
  <c r="J911" i="5"/>
  <c r="E911" i="5"/>
  <c r="D911" i="5"/>
  <c r="O910" i="5"/>
  <c r="T910" i="5" s="1"/>
  <c r="K910" i="5"/>
  <c r="J910" i="5"/>
  <c r="E910" i="5"/>
  <c r="D910" i="5"/>
  <c r="O909" i="5"/>
  <c r="T909" i="5" s="1"/>
  <c r="K909" i="5"/>
  <c r="J909" i="5"/>
  <c r="E909" i="5"/>
  <c r="D909" i="5"/>
  <c r="O908" i="5"/>
  <c r="T908" i="5" s="1"/>
  <c r="K908" i="5"/>
  <c r="J908" i="5"/>
  <c r="E908" i="5"/>
  <c r="D908" i="5"/>
  <c r="O907" i="5"/>
  <c r="Q907" i="5" s="1"/>
  <c r="V907" i="5" s="1"/>
  <c r="K907" i="5"/>
  <c r="J907" i="5"/>
  <c r="E907" i="5"/>
  <c r="D907" i="5"/>
  <c r="O906" i="5"/>
  <c r="T906" i="5" s="1"/>
  <c r="K906" i="5"/>
  <c r="J906" i="5"/>
  <c r="E906" i="5"/>
  <c r="D906" i="5"/>
  <c r="O905" i="5"/>
  <c r="T905" i="5" s="1"/>
  <c r="K905" i="5"/>
  <c r="J905" i="5"/>
  <c r="E905" i="5"/>
  <c r="D905" i="5"/>
  <c r="O904" i="5"/>
  <c r="T904" i="5" s="1"/>
  <c r="K904" i="5"/>
  <c r="J904" i="5"/>
  <c r="E904" i="5"/>
  <c r="D904" i="5"/>
  <c r="O903" i="5"/>
  <c r="Q903" i="5" s="1"/>
  <c r="V903" i="5" s="1"/>
  <c r="K903" i="5"/>
  <c r="J903" i="5"/>
  <c r="E903" i="5"/>
  <c r="D903" i="5"/>
  <c r="AN902" i="5"/>
  <c r="Y902" i="5"/>
  <c r="O901" i="5"/>
  <c r="T901" i="5" s="1"/>
  <c r="K901" i="5"/>
  <c r="J901" i="5"/>
  <c r="E901" i="5"/>
  <c r="D901" i="5"/>
  <c r="O900" i="5"/>
  <c r="P900" i="5" s="1"/>
  <c r="U900" i="5" s="1"/>
  <c r="K900" i="5"/>
  <c r="J900" i="5"/>
  <c r="E900" i="5"/>
  <c r="D900" i="5"/>
  <c r="O899" i="5"/>
  <c r="K899" i="5"/>
  <c r="J899" i="5"/>
  <c r="E899" i="5"/>
  <c r="D899" i="5"/>
  <c r="O898" i="5"/>
  <c r="P898" i="5" s="1"/>
  <c r="K898" i="5"/>
  <c r="J898" i="5"/>
  <c r="E898" i="5"/>
  <c r="D898" i="5"/>
  <c r="O897" i="5"/>
  <c r="T897" i="5" s="1"/>
  <c r="K897" i="5"/>
  <c r="J897" i="5"/>
  <c r="E897" i="5"/>
  <c r="D897" i="5"/>
  <c r="O896" i="5"/>
  <c r="K896" i="5"/>
  <c r="J896" i="5"/>
  <c r="E896" i="5"/>
  <c r="D896" i="5"/>
  <c r="Y894" i="5"/>
  <c r="H890" i="5"/>
  <c r="F890" i="5"/>
  <c r="D890" i="5"/>
  <c r="C890" i="5"/>
  <c r="H889" i="5"/>
  <c r="F889" i="5"/>
  <c r="D889" i="5"/>
  <c r="C889" i="5"/>
  <c r="H888" i="5"/>
  <c r="F888" i="5"/>
  <c r="D888" i="5"/>
  <c r="C888" i="5"/>
  <c r="H887" i="5"/>
  <c r="F887" i="5"/>
  <c r="D887" i="5"/>
  <c r="C887" i="5"/>
  <c r="E887" i="5" s="1"/>
  <c r="G887" i="5" s="1"/>
  <c r="F880" i="5"/>
  <c r="D880" i="5"/>
  <c r="C880" i="5"/>
  <c r="F879" i="5"/>
  <c r="D879" i="5"/>
  <c r="C879" i="5"/>
  <c r="F878" i="5"/>
  <c r="D878" i="5"/>
  <c r="C878" i="5"/>
  <c r="R877" i="5"/>
  <c r="Q877" i="5"/>
  <c r="L877" i="5"/>
  <c r="O877" i="5" s="1"/>
  <c r="K877" i="5"/>
  <c r="N877" i="5" s="1"/>
  <c r="P877" i="5" s="1"/>
  <c r="F877" i="5"/>
  <c r="D877" i="5"/>
  <c r="C877" i="5"/>
  <c r="E877" i="5" s="1"/>
  <c r="G877" i="5" s="1"/>
  <c r="R876" i="5"/>
  <c r="Q876" i="5"/>
  <c r="L876" i="5"/>
  <c r="O876" i="5" s="1"/>
  <c r="K876" i="5"/>
  <c r="N876" i="5" s="1"/>
  <c r="F876" i="5"/>
  <c r="D876" i="5"/>
  <c r="C876" i="5"/>
  <c r="E876" i="5" s="1"/>
  <c r="G876" i="5" s="1"/>
  <c r="R875" i="5"/>
  <c r="Q875" i="5"/>
  <c r="L875" i="5"/>
  <c r="O875" i="5" s="1"/>
  <c r="K875" i="5"/>
  <c r="N875" i="5" s="1"/>
  <c r="F875" i="5"/>
  <c r="D875" i="5"/>
  <c r="C875" i="5"/>
  <c r="R874" i="5"/>
  <c r="Q874" i="5"/>
  <c r="L874" i="5"/>
  <c r="O874" i="5" s="1"/>
  <c r="K874" i="5"/>
  <c r="N874" i="5" s="1"/>
  <c r="F874" i="5"/>
  <c r="D874" i="5"/>
  <c r="C874" i="5"/>
  <c r="R873" i="5"/>
  <c r="Q873" i="5"/>
  <c r="L873" i="5"/>
  <c r="K873" i="5"/>
  <c r="N873" i="5" s="1"/>
  <c r="F873" i="5"/>
  <c r="D873" i="5"/>
  <c r="C873" i="5"/>
  <c r="E873" i="5" s="1"/>
  <c r="G873" i="5" s="1"/>
  <c r="R872" i="5"/>
  <c r="Q872" i="5"/>
  <c r="L872" i="5"/>
  <c r="O872" i="5" s="1"/>
  <c r="K872" i="5"/>
  <c r="N872" i="5" s="1"/>
  <c r="D872" i="5"/>
  <c r="C872" i="5"/>
  <c r="R871" i="5"/>
  <c r="Q871" i="5"/>
  <c r="L871" i="5"/>
  <c r="O871" i="5" s="1"/>
  <c r="K871" i="5"/>
  <c r="N871" i="5" s="1"/>
  <c r="P871" i="5" s="1"/>
  <c r="F871" i="5"/>
  <c r="D871" i="5"/>
  <c r="C871" i="5"/>
  <c r="R870" i="5"/>
  <c r="Q870" i="5"/>
  <c r="L870" i="5"/>
  <c r="K870" i="5"/>
  <c r="N870" i="5" s="1"/>
  <c r="D870" i="5"/>
  <c r="C870" i="5"/>
  <c r="AN867" i="5"/>
  <c r="AO866" i="5"/>
  <c r="AN866" i="5"/>
  <c r="AA866" i="5"/>
  <c r="Z866" i="5"/>
  <c r="W866" i="5"/>
  <c r="R866" i="5"/>
  <c r="Y864" i="5"/>
  <c r="AN863" i="5"/>
  <c r="O863" i="5"/>
  <c r="P863" i="5" s="1"/>
  <c r="K863" i="5"/>
  <c r="J863" i="5"/>
  <c r="E863" i="5"/>
  <c r="D863" i="5"/>
  <c r="F863" i="5" s="1"/>
  <c r="X863" i="5" s="1"/>
  <c r="AN862" i="5"/>
  <c r="O862" i="5"/>
  <c r="P862" i="5" s="1"/>
  <c r="K862" i="5"/>
  <c r="J862" i="5"/>
  <c r="E862" i="5"/>
  <c r="D862" i="5"/>
  <c r="AN861" i="5"/>
  <c r="O861" i="5"/>
  <c r="T861" i="5" s="1"/>
  <c r="K861" i="5"/>
  <c r="J861" i="5"/>
  <c r="E861" i="5"/>
  <c r="D861" i="5"/>
  <c r="AN860" i="5"/>
  <c r="O860" i="5"/>
  <c r="Q860" i="5" s="1"/>
  <c r="V860" i="5" s="1"/>
  <c r="K860" i="5"/>
  <c r="J860" i="5"/>
  <c r="L860" i="5" s="1"/>
  <c r="E860" i="5"/>
  <c r="D860" i="5"/>
  <c r="AN859" i="5"/>
  <c r="O859" i="5"/>
  <c r="Q859" i="5" s="1"/>
  <c r="V859" i="5" s="1"/>
  <c r="K859" i="5"/>
  <c r="J859" i="5"/>
  <c r="E859" i="5"/>
  <c r="D859" i="5"/>
  <c r="AN858" i="5"/>
  <c r="O858" i="5"/>
  <c r="K858" i="5"/>
  <c r="J858" i="5"/>
  <c r="E858" i="5"/>
  <c r="D858" i="5"/>
  <c r="AN857" i="5"/>
  <c r="O857" i="5"/>
  <c r="E857" i="5"/>
  <c r="D857" i="5"/>
  <c r="AN856" i="5"/>
  <c r="O856" i="5"/>
  <c r="P856" i="5" s="1"/>
  <c r="U856" i="5" s="1"/>
  <c r="K856" i="5"/>
  <c r="J856" i="5"/>
  <c r="E856" i="5"/>
  <c r="D856" i="5"/>
  <c r="AN855" i="5"/>
  <c r="O855" i="5"/>
  <c r="K855" i="5"/>
  <c r="J855" i="5"/>
  <c r="E855" i="5"/>
  <c r="D855" i="5"/>
  <c r="AN854" i="5"/>
  <c r="O854" i="5"/>
  <c r="Q854" i="5" s="1"/>
  <c r="V854" i="5" s="1"/>
  <c r="K854" i="5"/>
  <c r="J854" i="5"/>
  <c r="E854" i="5"/>
  <c r="D854" i="5"/>
  <c r="AN853" i="5"/>
  <c r="O853" i="5"/>
  <c r="Q853" i="5" s="1"/>
  <c r="V853" i="5" s="1"/>
  <c r="K853" i="5"/>
  <c r="J853" i="5"/>
  <c r="E853" i="5"/>
  <c r="D853" i="5"/>
  <c r="AN852" i="5"/>
  <c r="O852" i="5"/>
  <c r="P852" i="5" s="1"/>
  <c r="K852" i="5"/>
  <c r="J852" i="5"/>
  <c r="E852" i="5"/>
  <c r="D852" i="5"/>
  <c r="AN851" i="5"/>
  <c r="O851" i="5"/>
  <c r="P851" i="5" s="1"/>
  <c r="K851" i="5"/>
  <c r="J851" i="5"/>
  <c r="E851" i="5"/>
  <c r="D851" i="5"/>
  <c r="F851" i="5" s="1"/>
  <c r="AN850" i="5"/>
  <c r="O850" i="5"/>
  <c r="T850" i="5" s="1"/>
  <c r="K850" i="5"/>
  <c r="J850" i="5"/>
  <c r="E850" i="5"/>
  <c r="D850" i="5"/>
  <c r="AN849" i="5"/>
  <c r="O849" i="5"/>
  <c r="K849" i="5"/>
  <c r="J849" i="5"/>
  <c r="E849" i="5"/>
  <c r="D849" i="5"/>
  <c r="Y848" i="5"/>
  <c r="AN847" i="5"/>
  <c r="O847" i="5"/>
  <c r="T847" i="5" s="1"/>
  <c r="K847" i="5"/>
  <c r="J847" i="5"/>
  <c r="E847" i="5"/>
  <c r="D847" i="5"/>
  <c r="F847" i="5" s="1"/>
  <c r="X847" i="5" s="1"/>
  <c r="AA847" i="5" s="1"/>
  <c r="AN846" i="5"/>
  <c r="O846" i="5"/>
  <c r="P846" i="5" s="1"/>
  <c r="K846" i="5"/>
  <c r="J846" i="5"/>
  <c r="E846" i="5"/>
  <c r="D846" i="5"/>
  <c r="F846" i="5" s="1"/>
  <c r="AN845" i="5"/>
  <c r="O845" i="5"/>
  <c r="P845" i="5" s="1"/>
  <c r="K845" i="5"/>
  <c r="J845" i="5"/>
  <c r="E845" i="5"/>
  <c r="D845" i="5"/>
  <c r="AN844" i="5"/>
  <c r="O844" i="5"/>
  <c r="Q844" i="5" s="1"/>
  <c r="V844" i="5" s="1"/>
  <c r="K844" i="5"/>
  <c r="J844" i="5"/>
  <c r="E844" i="5"/>
  <c r="D844" i="5"/>
  <c r="AN843" i="5"/>
  <c r="O843" i="5"/>
  <c r="T843" i="5" s="1"/>
  <c r="E843" i="5"/>
  <c r="D843" i="5"/>
  <c r="AN842" i="5"/>
  <c r="O842" i="5"/>
  <c r="T842" i="5" s="1"/>
  <c r="E842" i="5"/>
  <c r="D842" i="5"/>
  <c r="Y840" i="5"/>
  <c r="H836" i="5"/>
  <c r="F836" i="5"/>
  <c r="D836" i="5"/>
  <c r="C836" i="5"/>
  <c r="H835" i="5"/>
  <c r="F835" i="5"/>
  <c r="D835" i="5"/>
  <c r="C835" i="5"/>
  <c r="H834" i="5"/>
  <c r="D834" i="5"/>
  <c r="C834" i="5"/>
  <c r="E834" i="5" s="1"/>
  <c r="G834" i="5" s="1"/>
  <c r="H833" i="5"/>
  <c r="D833" i="5"/>
  <c r="C833" i="5"/>
  <c r="F826" i="5"/>
  <c r="D826" i="5"/>
  <c r="C826" i="5"/>
  <c r="F825" i="5"/>
  <c r="D825" i="5"/>
  <c r="C825" i="5"/>
  <c r="F824" i="5"/>
  <c r="D824" i="5"/>
  <c r="C824" i="5"/>
  <c r="E824" i="5" s="1"/>
  <c r="G824" i="5" s="1"/>
  <c r="R823" i="5"/>
  <c r="Q823" i="5"/>
  <c r="L823" i="5"/>
  <c r="O823" i="5" s="1"/>
  <c r="K823" i="5"/>
  <c r="N823" i="5" s="1"/>
  <c r="F823" i="5"/>
  <c r="D823" i="5"/>
  <c r="C823" i="5"/>
  <c r="Q822" i="5"/>
  <c r="L822" i="5"/>
  <c r="O822" i="5" s="1"/>
  <c r="K822" i="5"/>
  <c r="N822" i="5" s="1"/>
  <c r="F822" i="5"/>
  <c r="D822" i="5"/>
  <c r="C822" i="5"/>
  <c r="R821" i="5"/>
  <c r="Q821" i="5"/>
  <c r="L821" i="5"/>
  <c r="O821" i="5" s="1"/>
  <c r="K821" i="5"/>
  <c r="N821" i="5" s="1"/>
  <c r="F821" i="5"/>
  <c r="D821" i="5"/>
  <c r="C821" i="5"/>
  <c r="R820" i="5"/>
  <c r="Q820" i="5"/>
  <c r="L820" i="5"/>
  <c r="O820" i="5" s="1"/>
  <c r="K820" i="5"/>
  <c r="N820" i="5" s="1"/>
  <c r="D820" i="5"/>
  <c r="C820" i="5"/>
  <c r="R819" i="5"/>
  <c r="Q819" i="5"/>
  <c r="L819" i="5"/>
  <c r="O819" i="5" s="1"/>
  <c r="K819" i="5"/>
  <c r="F819" i="5"/>
  <c r="D819" i="5"/>
  <c r="C819" i="5"/>
  <c r="R818" i="5"/>
  <c r="Q818" i="5"/>
  <c r="L818" i="5"/>
  <c r="O818" i="5" s="1"/>
  <c r="K818" i="5"/>
  <c r="D818" i="5"/>
  <c r="C818" i="5"/>
  <c r="R817" i="5"/>
  <c r="Q817" i="5"/>
  <c r="L817" i="5"/>
  <c r="O817" i="5" s="1"/>
  <c r="K817" i="5"/>
  <c r="N817" i="5" s="1"/>
  <c r="D817" i="5"/>
  <c r="C817" i="5"/>
  <c r="R816" i="5"/>
  <c r="Q816" i="5"/>
  <c r="L816" i="5"/>
  <c r="O816" i="5" s="1"/>
  <c r="K816" i="5"/>
  <c r="N816" i="5" s="1"/>
  <c r="D816" i="5"/>
  <c r="C816" i="5"/>
  <c r="AO812" i="5"/>
  <c r="Z812" i="5"/>
  <c r="W812" i="5"/>
  <c r="R812" i="5"/>
  <c r="AN810" i="5"/>
  <c r="Y810" i="5"/>
  <c r="O809" i="5"/>
  <c r="T809" i="5" s="1"/>
  <c r="E809" i="5"/>
  <c r="D809" i="5"/>
  <c r="O808" i="5"/>
  <c r="K808" i="5"/>
  <c r="J808" i="5"/>
  <c r="L808" i="5" s="1"/>
  <c r="E808" i="5"/>
  <c r="D808" i="5"/>
  <c r="O807" i="5"/>
  <c r="Q807" i="5" s="1"/>
  <c r="V807" i="5" s="1"/>
  <c r="K807" i="5"/>
  <c r="J807" i="5"/>
  <c r="E807" i="5"/>
  <c r="D807" i="5"/>
  <c r="O806" i="5"/>
  <c r="T806" i="5" s="1"/>
  <c r="K806" i="5"/>
  <c r="J806" i="5"/>
  <c r="E806" i="5"/>
  <c r="D806" i="5"/>
  <c r="O805" i="5"/>
  <c r="P805" i="5" s="1"/>
  <c r="K805" i="5"/>
  <c r="J805" i="5"/>
  <c r="E805" i="5"/>
  <c r="D805" i="5"/>
  <c r="O804" i="5"/>
  <c r="T804" i="5" s="1"/>
  <c r="K804" i="5"/>
  <c r="J804" i="5"/>
  <c r="E804" i="5"/>
  <c r="D804" i="5"/>
  <c r="O803" i="5"/>
  <c r="T803" i="5" s="1"/>
  <c r="K803" i="5"/>
  <c r="J803" i="5"/>
  <c r="E803" i="5"/>
  <c r="D803" i="5"/>
  <c r="O802" i="5"/>
  <c r="P802" i="5" s="1"/>
  <c r="K802" i="5"/>
  <c r="J802" i="5"/>
  <c r="E802" i="5"/>
  <c r="D802" i="5"/>
  <c r="O801" i="5"/>
  <c r="T801" i="5" s="1"/>
  <c r="K801" i="5"/>
  <c r="J801" i="5"/>
  <c r="E801" i="5"/>
  <c r="D801" i="5"/>
  <c r="O800" i="5"/>
  <c r="T800" i="5" s="1"/>
  <c r="K800" i="5"/>
  <c r="J800" i="5"/>
  <c r="E800" i="5"/>
  <c r="D800" i="5"/>
  <c r="O799" i="5"/>
  <c r="P799" i="5" s="1"/>
  <c r="K799" i="5"/>
  <c r="J799" i="5"/>
  <c r="E799" i="5"/>
  <c r="D799" i="5"/>
  <c r="O798" i="5"/>
  <c r="T798" i="5" s="1"/>
  <c r="K798" i="5"/>
  <c r="J798" i="5"/>
  <c r="E798" i="5"/>
  <c r="D798" i="5"/>
  <c r="O797" i="5"/>
  <c r="T797" i="5" s="1"/>
  <c r="K797" i="5"/>
  <c r="J797" i="5"/>
  <c r="E797" i="5"/>
  <c r="D797" i="5"/>
  <c r="O796" i="5"/>
  <c r="P796" i="5" s="1"/>
  <c r="K796" i="5"/>
  <c r="J796" i="5"/>
  <c r="E796" i="5"/>
  <c r="D796" i="5"/>
  <c r="O795" i="5"/>
  <c r="T795" i="5" s="1"/>
  <c r="E795" i="5"/>
  <c r="D795" i="5"/>
  <c r="AN794" i="5"/>
  <c r="Y794" i="5"/>
  <c r="O793" i="5"/>
  <c r="P793" i="5" s="1"/>
  <c r="K793" i="5"/>
  <c r="J793" i="5"/>
  <c r="E793" i="5"/>
  <c r="D793" i="5"/>
  <c r="O792" i="5"/>
  <c r="T792" i="5" s="1"/>
  <c r="K792" i="5"/>
  <c r="J792" i="5"/>
  <c r="E792" i="5"/>
  <c r="D792" i="5"/>
  <c r="O791" i="5"/>
  <c r="T791" i="5" s="1"/>
  <c r="K791" i="5"/>
  <c r="J791" i="5"/>
  <c r="E791" i="5"/>
  <c r="D791" i="5"/>
  <c r="O790" i="5"/>
  <c r="P790" i="5" s="1"/>
  <c r="K790" i="5"/>
  <c r="J790" i="5"/>
  <c r="E790" i="5"/>
  <c r="D790" i="5"/>
  <c r="O789" i="5"/>
  <c r="T789" i="5" s="1"/>
  <c r="E789" i="5"/>
  <c r="D789" i="5"/>
  <c r="O788" i="5"/>
  <c r="T788" i="5" s="1"/>
  <c r="K788" i="5"/>
  <c r="J788" i="5"/>
  <c r="E788" i="5"/>
  <c r="D788" i="5"/>
  <c r="Y786" i="5"/>
  <c r="D782" i="5"/>
  <c r="C782" i="5"/>
  <c r="H781" i="5"/>
  <c r="F781" i="5"/>
  <c r="D781" i="5"/>
  <c r="C781" i="5"/>
  <c r="D780" i="5"/>
  <c r="C780" i="5"/>
  <c r="D779" i="5"/>
  <c r="C779" i="5"/>
  <c r="F772" i="5"/>
  <c r="D772" i="5"/>
  <c r="C772" i="5"/>
  <c r="F771" i="5"/>
  <c r="D771" i="5"/>
  <c r="C771" i="5"/>
  <c r="F770" i="5"/>
  <c r="D770" i="5"/>
  <c r="C770" i="5"/>
  <c r="R769" i="5"/>
  <c r="Q769" i="5"/>
  <c r="L769" i="5"/>
  <c r="O769" i="5" s="1"/>
  <c r="K769" i="5"/>
  <c r="F769" i="5"/>
  <c r="D769" i="5"/>
  <c r="C769" i="5"/>
  <c r="L768" i="5"/>
  <c r="O768" i="5" s="1"/>
  <c r="K768" i="5"/>
  <c r="N768" i="5" s="1"/>
  <c r="F768" i="5"/>
  <c r="D768" i="5"/>
  <c r="C768" i="5"/>
  <c r="L767" i="5"/>
  <c r="K767" i="5"/>
  <c r="N767" i="5" s="1"/>
  <c r="F767" i="5"/>
  <c r="D767" i="5"/>
  <c r="C767" i="5"/>
  <c r="R766" i="5"/>
  <c r="Q766" i="5"/>
  <c r="L766" i="5"/>
  <c r="O766" i="5" s="1"/>
  <c r="K766" i="5"/>
  <c r="F766" i="5"/>
  <c r="D766" i="5"/>
  <c r="C766" i="5"/>
  <c r="R765" i="5"/>
  <c r="Q765" i="5"/>
  <c r="L765" i="5"/>
  <c r="O765" i="5" s="1"/>
  <c r="K765" i="5"/>
  <c r="N765" i="5" s="1"/>
  <c r="D765" i="5"/>
  <c r="C765" i="5"/>
  <c r="R764" i="5"/>
  <c r="Q764" i="5"/>
  <c r="L764" i="5"/>
  <c r="O764" i="5" s="1"/>
  <c r="K764" i="5"/>
  <c r="D764" i="5"/>
  <c r="C764" i="5"/>
  <c r="L763" i="5"/>
  <c r="O763" i="5" s="1"/>
  <c r="K763" i="5"/>
  <c r="D763" i="5"/>
  <c r="C763" i="5"/>
  <c r="R762" i="5"/>
  <c r="Q762" i="5"/>
  <c r="L762" i="5"/>
  <c r="K762" i="5"/>
  <c r="N762" i="5" s="1"/>
  <c r="D762" i="5"/>
  <c r="C762" i="5"/>
  <c r="AO758" i="5"/>
  <c r="Z758" i="5"/>
  <c r="W758" i="5"/>
  <c r="R758" i="5"/>
  <c r="AN756" i="5"/>
  <c r="Y756" i="5"/>
  <c r="O755" i="5"/>
  <c r="T755" i="5" s="1"/>
  <c r="E755" i="5"/>
  <c r="D755" i="5"/>
  <c r="O754" i="5"/>
  <c r="P754" i="5" s="1"/>
  <c r="U754" i="5" s="1"/>
  <c r="K754" i="5"/>
  <c r="J754" i="5"/>
  <c r="E754" i="5"/>
  <c r="D754" i="5"/>
  <c r="O753" i="5"/>
  <c r="P753" i="5" s="1"/>
  <c r="K753" i="5"/>
  <c r="J753" i="5"/>
  <c r="E753" i="5"/>
  <c r="D753" i="5"/>
  <c r="O752" i="5"/>
  <c r="T752" i="5" s="1"/>
  <c r="K752" i="5"/>
  <c r="J752" i="5"/>
  <c r="E752" i="5"/>
  <c r="D752" i="5"/>
  <c r="O751" i="5"/>
  <c r="P751" i="5" s="1"/>
  <c r="U751" i="5" s="1"/>
  <c r="K751" i="5"/>
  <c r="J751" i="5"/>
  <c r="E751" i="5"/>
  <c r="D751" i="5"/>
  <c r="O750" i="5"/>
  <c r="P750" i="5" s="1"/>
  <c r="U750" i="5" s="1"/>
  <c r="K750" i="5"/>
  <c r="J750" i="5"/>
  <c r="L750" i="5" s="1"/>
  <c r="E750" i="5"/>
  <c r="D750" i="5"/>
  <c r="O749" i="5"/>
  <c r="T749" i="5" s="1"/>
  <c r="K749" i="5"/>
  <c r="J749" i="5"/>
  <c r="E749" i="5"/>
  <c r="D749" i="5"/>
  <c r="O748" i="5"/>
  <c r="P748" i="5" s="1"/>
  <c r="U748" i="5" s="1"/>
  <c r="K748" i="5"/>
  <c r="J748" i="5"/>
  <c r="E748" i="5"/>
  <c r="D748" i="5"/>
  <c r="O747" i="5"/>
  <c r="T747" i="5" s="1"/>
  <c r="K747" i="5"/>
  <c r="J747" i="5"/>
  <c r="E747" i="5"/>
  <c r="D747" i="5"/>
  <c r="O746" i="5"/>
  <c r="T746" i="5" s="1"/>
  <c r="K746" i="5"/>
  <c r="J746" i="5"/>
  <c r="E746" i="5"/>
  <c r="D746" i="5"/>
  <c r="O745" i="5"/>
  <c r="T745" i="5" s="1"/>
  <c r="E745" i="5"/>
  <c r="D745" i="5"/>
  <c r="O744" i="5"/>
  <c r="T744" i="5" s="1"/>
  <c r="K744" i="5"/>
  <c r="J744" i="5"/>
  <c r="E744" i="5"/>
  <c r="D744" i="5"/>
  <c r="O743" i="5"/>
  <c r="Q743" i="5" s="1"/>
  <c r="V743" i="5" s="1"/>
  <c r="K743" i="5"/>
  <c r="J743" i="5"/>
  <c r="E743" i="5"/>
  <c r="D743" i="5"/>
  <c r="O742" i="5"/>
  <c r="T742" i="5" s="1"/>
  <c r="K742" i="5"/>
  <c r="J742" i="5"/>
  <c r="E742" i="5"/>
  <c r="D742" i="5"/>
  <c r="O741" i="5"/>
  <c r="T741" i="5" s="1"/>
  <c r="E741" i="5"/>
  <c r="D741" i="5"/>
  <c r="AN740" i="5"/>
  <c r="Y740" i="5"/>
  <c r="O739" i="5"/>
  <c r="T739" i="5" s="1"/>
  <c r="K739" i="5"/>
  <c r="J739" i="5"/>
  <c r="E739" i="5"/>
  <c r="D739" i="5"/>
  <c r="O738" i="5"/>
  <c r="K738" i="5"/>
  <c r="J738" i="5"/>
  <c r="E738" i="5"/>
  <c r="D738" i="5"/>
  <c r="O737" i="5"/>
  <c r="Q737" i="5" s="1"/>
  <c r="V737" i="5" s="1"/>
  <c r="K737" i="5"/>
  <c r="J737" i="5"/>
  <c r="E737" i="5"/>
  <c r="D737" i="5"/>
  <c r="O736" i="5"/>
  <c r="T736" i="5" s="1"/>
  <c r="K736" i="5"/>
  <c r="J736" i="5"/>
  <c r="E736" i="5"/>
  <c r="D736" i="5"/>
  <c r="O735" i="5"/>
  <c r="T735" i="5" s="1"/>
  <c r="E735" i="5"/>
  <c r="D735" i="5"/>
  <c r="O734" i="5"/>
  <c r="T734" i="5" s="1"/>
  <c r="E734" i="5"/>
  <c r="D734" i="5"/>
  <c r="Y732" i="5"/>
  <c r="D728" i="5"/>
  <c r="C728" i="5"/>
  <c r="H727" i="5"/>
  <c r="F727" i="5"/>
  <c r="D727" i="5"/>
  <c r="C727" i="5"/>
  <c r="D726" i="5"/>
  <c r="C726" i="5"/>
  <c r="H725" i="5"/>
  <c r="F725" i="5"/>
  <c r="D725" i="5"/>
  <c r="C725" i="5"/>
  <c r="F718" i="5"/>
  <c r="D718" i="5"/>
  <c r="C718" i="5"/>
  <c r="F717" i="5"/>
  <c r="D717" i="5"/>
  <c r="C717" i="5"/>
  <c r="F716" i="5"/>
  <c r="D716" i="5"/>
  <c r="C716" i="5"/>
  <c r="R715" i="5"/>
  <c r="Q715" i="5"/>
  <c r="S715" i="5" s="1"/>
  <c r="L715" i="5"/>
  <c r="O715" i="5" s="1"/>
  <c r="K715" i="5"/>
  <c r="N715" i="5" s="1"/>
  <c r="F715" i="5"/>
  <c r="D715" i="5"/>
  <c r="C715" i="5"/>
  <c r="R714" i="5"/>
  <c r="Q714" i="5"/>
  <c r="L714" i="5"/>
  <c r="O714" i="5" s="1"/>
  <c r="K714" i="5"/>
  <c r="N714" i="5" s="1"/>
  <c r="F714" i="5"/>
  <c r="D714" i="5"/>
  <c r="C714" i="5"/>
  <c r="R713" i="5"/>
  <c r="Q713" i="5"/>
  <c r="L713" i="5"/>
  <c r="K713" i="5"/>
  <c r="N713" i="5" s="1"/>
  <c r="F713" i="5"/>
  <c r="D713" i="5"/>
  <c r="C713" i="5"/>
  <c r="L712" i="5"/>
  <c r="O712" i="5" s="1"/>
  <c r="K712" i="5"/>
  <c r="N712" i="5" s="1"/>
  <c r="F712" i="5"/>
  <c r="D712" i="5"/>
  <c r="C712" i="5"/>
  <c r="R711" i="5"/>
  <c r="Q711" i="5"/>
  <c r="L711" i="5"/>
  <c r="O711" i="5" s="1"/>
  <c r="K711" i="5"/>
  <c r="N711" i="5" s="1"/>
  <c r="F711" i="5"/>
  <c r="D711" i="5"/>
  <c r="C711" i="5"/>
  <c r="R710" i="5"/>
  <c r="Q710" i="5"/>
  <c r="L710" i="5"/>
  <c r="O710" i="5" s="1"/>
  <c r="K710" i="5"/>
  <c r="N710" i="5" s="1"/>
  <c r="D710" i="5"/>
  <c r="C710" i="5"/>
  <c r="L709" i="5"/>
  <c r="O709" i="5" s="1"/>
  <c r="K709" i="5"/>
  <c r="N709" i="5" s="1"/>
  <c r="D709" i="5"/>
  <c r="C709" i="5"/>
  <c r="E709" i="5" s="1"/>
  <c r="G709" i="5" s="1"/>
  <c r="R708" i="5"/>
  <c r="Q708" i="5"/>
  <c r="L708" i="5"/>
  <c r="O708" i="5" s="1"/>
  <c r="K708" i="5"/>
  <c r="N708" i="5" s="1"/>
  <c r="D708" i="5"/>
  <c r="C708" i="5"/>
  <c r="AO704" i="5"/>
  <c r="Z704" i="5"/>
  <c r="W704" i="5"/>
  <c r="R704" i="5"/>
  <c r="Y702" i="5"/>
  <c r="O701" i="5"/>
  <c r="T701" i="5" s="1"/>
  <c r="E701" i="5"/>
  <c r="D701" i="5"/>
  <c r="O700" i="5"/>
  <c r="Q700" i="5" s="1"/>
  <c r="V700" i="5" s="1"/>
  <c r="K700" i="5"/>
  <c r="J700" i="5"/>
  <c r="E700" i="5"/>
  <c r="D700" i="5"/>
  <c r="O699" i="5"/>
  <c r="T699" i="5" s="1"/>
  <c r="K699" i="5"/>
  <c r="J699" i="5"/>
  <c r="E699" i="5"/>
  <c r="D699" i="5"/>
  <c r="F699" i="5" s="1"/>
  <c r="G699" i="5" s="1"/>
  <c r="O698" i="5"/>
  <c r="K698" i="5"/>
  <c r="J698" i="5"/>
  <c r="E698" i="5"/>
  <c r="D698" i="5"/>
  <c r="O697" i="5"/>
  <c r="T697" i="5" s="1"/>
  <c r="K697" i="5"/>
  <c r="J697" i="5"/>
  <c r="E697" i="5"/>
  <c r="D697" i="5"/>
  <c r="O696" i="5"/>
  <c r="Q696" i="5" s="1"/>
  <c r="V696" i="5" s="1"/>
  <c r="K696" i="5"/>
  <c r="J696" i="5"/>
  <c r="E696" i="5"/>
  <c r="D696" i="5"/>
  <c r="F696" i="5" s="1"/>
  <c r="O695" i="5"/>
  <c r="T695" i="5" s="1"/>
  <c r="K695" i="5"/>
  <c r="J695" i="5"/>
  <c r="E695" i="5"/>
  <c r="D695" i="5"/>
  <c r="O694" i="5"/>
  <c r="Q694" i="5" s="1"/>
  <c r="V694" i="5" s="1"/>
  <c r="K694" i="5"/>
  <c r="J694" i="5"/>
  <c r="E694" i="5"/>
  <c r="D694" i="5"/>
  <c r="O693" i="5"/>
  <c r="T693" i="5" s="1"/>
  <c r="K693" i="5"/>
  <c r="J693" i="5"/>
  <c r="E693" i="5"/>
  <c r="D693" i="5"/>
  <c r="O692" i="5"/>
  <c r="Q692" i="5" s="1"/>
  <c r="V692" i="5" s="1"/>
  <c r="K692" i="5"/>
  <c r="J692" i="5"/>
  <c r="E692" i="5"/>
  <c r="D692" i="5"/>
  <c r="O691" i="5"/>
  <c r="T691" i="5" s="1"/>
  <c r="E691" i="5"/>
  <c r="D691" i="5"/>
  <c r="O690" i="5"/>
  <c r="T690" i="5" s="1"/>
  <c r="K690" i="5"/>
  <c r="L690" i="5" s="1"/>
  <c r="J690" i="5"/>
  <c r="E690" i="5"/>
  <c r="D690" i="5"/>
  <c r="O689" i="5"/>
  <c r="T689" i="5" s="1"/>
  <c r="K689" i="5"/>
  <c r="J689" i="5"/>
  <c r="E689" i="5"/>
  <c r="D689" i="5"/>
  <c r="O688" i="5"/>
  <c r="T688" i="5" s="1"/>
  <c r="E688" i="5"/>
  <c r="D688" i="5"/>
  <c r="O687" i="5"/>
  <c r="T687" i="5" s="1"/>
  <c r="K687" i="5"/>
  <c r="J687" i="5"/>
  <c r="E687" i="5"/>
  <c r="D687" i="5"/>
  <c r="Y686" i="5"/>
  <c r="O685" i="5"/>
  <c r="K685" i="5"/>
  <c r="J685" i="5"/>
  <c r="E685" i="5"/>
  <c r="D685" i="5"/>
  <c r="F685" i="5" s="1"/>
  <c r="X685" i="5" s="1"/>
  <c r="O684" i="5"/>
  <c r="T684" i="5" s="1"/>
  <c r="K684" i="5"/>
  <c r="J684" i="5"/>
  <c r="E684" i="5"/>
  <c r="D684" i="5"/>
  <c r="O683" i="5"/>
  <c r="T683" i="5" s="1"/>
  <c r="K683" i="5"/>
  <c r="J683" i="5"/>
  <c r="E683" i="5"/>
  <c r="D683" i="5"/>
  <c r="O682" i="5"/>
  <c r="P682" i="5" s="1"/>
  <c r="K682" i="5"/>
  <c r="J682" i="5"/>
  <c r="E682" i="5"/>
  <c r="D682" i="5"/>
  <c r="O681" i="5"/>
  <c r="T681" i="5" s="1"/>
  <c r="E681" i="5"/>
  <c r="D681" i="5"/>
  <c r="F681" i="5" s="1"/>
  <c r="O680" i="5"/>
  <c r="T680" i="5" s="1"/>
  <c r="K680" i="5"/>
  <c r="J680" i="5"/>
  <c r="E680" i="5"/>
  <c r="D680" i="5"/>
  <c r="Y678" i="5"/>
  <c r="H674" i="5"/>
  <c r="F674" i="5"/>
  <c r="D674" i="5"/>
  <c r="C674" i="5"/>
  <c r="H673" i="5"/>
  <c r="F673" i="5"/>
  <c r="D673" i="5"/>
  <c r="C673" i="5"/>
  <c r="D672" i="5"/>
  <c r="C672" i="5"/>
  <c r="E672" i="5" s="1"/>
  <c r="G672" i="5" s="1"/>
  <c r="D671" i="5"/>
  <c r="C671" i="5"/>
  <c r="F664" i="5"/>
  <c r="D664" i="5"/>
  <c r="C664" i="5"/>
  <c r="F663" i="5"/>
  <c r="D663" i="5"/>
  <c r="C663" i="5"/>
  <c r="F662" i="5"/>
  <c r="D662" i="5"/>
  <c r="C662" i="5"/>
  <c r="E662" i="5" s="1"/>
  <c r="G662" i="5" s="1"/>
  <c r="Q661" i="5"/>
  <c r="L661" i="5"/>
  <c r="O661" i="5" s="1"/>
  <c r="K661" i="5"/>
  <c r="N661" i="5" s="1"/>
  <c r="F661" i="5"/>
  <c r="D661" i="5"/>
  <c r="C661" i="5"/>
  <c r="L660" i="5"/>
  <c r="O660" i="5" s="1"/>
  <c r="K660" i="5"/>
  <c r="N660" i="5" s="1"/>
  <c r="F660" i="5"/>
  <c r="D660" i="5"/>
  <c r="C660" i="5"/>
  <c r="R659" i="5"/>
  <c r="Q659" i="5"/>
  <c r="L659" i="5"/>
  <c r="O659" i="5" s="1"/>
  <c r="K659" i="5"/>
  <c r="N659" i="5" s="1"/>
  <c r="F659" i="5"/>
  <c r="D659" i="5"/>
  <c r="C659" i="5"/>
  <c r="E659" i="5" s="1"/>
  <c r="G659" i="5" s="1"/>
  <c r="L658" i="5"/>
  <c r="O658" i="5" s="1"/>
  <c r="K658" i="5"/>
  <c r="N658" i="5" s="1"/>
  <c r="F658" i="5"/>
  <c r="D658" i="5"/>
  <c r="C658" i="5"/>
  <c r="R657" i="5"/>
  <c r="Q657" i="5"/>
  <c r="L657" i="5"/>
  <c r="O657" i="5" s="1"/>
  <c r="K657" i="5"/>
  <c r="F657" i="5"/>
  <c r="D657" i="5"/>
  <c r="C657" i="5"/>
  <c r="R656" i="5"/>
  <c r="Q656" i="5"/>
  <c r="S656" i="5" s="1"/>
  <c r="L656" i="5"/>
  <c r="O656" i="5" s="1"/>
  <c r="K656" i="5"/>
  <c r="M656" i="5" s="1"/>
  <c r="D656" i="5"/>
  <c r="C656" i="5"/>
  <c r="L655" i="5"/>
  <c r="O655" i="5" s="1"/>
  <c r="K655" i="5"/>
  <c r="N655" i="5" s="1"/>
  <c r="D655" i="5"/>
  <c r="C655" i="5"/>
  <c r="R654" i="5"/>
  <c r="Q654" i="5"/>
  <c r="L654" i="5"/>
  <c r="O654" i="5" s="1"/>
  <c r="K654" i="5"/>
  <c r="N654" i="5" s="1"/>
  <c r="D654" i="5"/>
  <c r="C654" i="5"/>
  <c r="AO650" i="5"/>
  <c r="Z650" i="5"/>
  <c r="W650" i="5"/>
  <c r="R650" i="5"/>
  <c r="AN648" i="5"/>
  <c r="Y648" i="5"/>
  <c r="O647" i="5"/>
  <c r="T647" i="5" s="1"/>
  <c r="E647" i="5"/>
  <c r="D647" i="5"/>
  <c r="O646" i="5"/>
  <c r="T646" i="5" s="1"/>
  <c r="K646" i="5"/>
  <c r="J646" i="5"/>
  <c r="E646" i="5"/>
  <c r="D646" i="5"/>
  <c r="O645" i="5"/>
  <c r="Q645" i="5" s="1"/>
  <c r="V645" i="5" s="1"/>
  <c r="K645" i="5"/>
  <c r="J645" i="5"/>
  <c r="E645" i="5"/>
  <c r="D645" i="5"/>
  <c r="O644" i="5"/>
  <c r="T644" i="5" s="1"/>
  <c r="K644" i="5"/>
  <c r="J644" i="5"/>
  <c r="L644" i="5" s="1"/>
  <c r="E644" i="5"/>
  <c r="D644" i="5"/>
  <c r="O643" i="5"/>
  <c r="T643" i="5" s="1"/>
  <c r="K643" i="5"/>
  <c r="J643" i="5"/>
  <c r="E643" i="5"/>
  <c r="D643" i="5"/>
  <c r="O642" i="5"/>
  <c r="K642" i="5"/>
  <c r="J642" i="5"/>
  <c r="E642" i="5"/>
  <c r="D642" i="5"/>
  <c r="O641" i="5"/>
  <c r="T641" i="5" s="1"/>
  <c r="E641" i="5"/>
  <c r="D641" i="5"/>
  <c r="F641" i="5" s="1"/>
  <c r="O640" i="5"/>
  <c r="T640" i="5" s="1"/>
  <c r="K640" i="5"/>
  <c r="J640" i="5"/>
  <c r="E640" i="5"/>
  <c r="D640" i="5"/>
  <c r="O639" i="5"/>
  <c r="Q639" i="5" s="1"/>
  <c r="K639" i="5"/>
  <c r="J639" i="5"/>
  <c r="E639" i="5"/>
  <c r="D639" i="5"/>
  <c r="O638" i="5"/>
  <c r="P638" i="5" s="1"/>
  <c r="K638" i="5"/>
  <c r="J638" i="5"/>
  <c r="E638" i="5"/>
  <c r="D638" i="5"/>
  <c r="O637" i="5"/>
  <c r="T637" i="5" s="1"/>
  <c r="K637" i="5"/>
  <c r="J637" i="5"/>
  <c r="E637" i="5"/>
  <c r="D637" i="5"/>
  <c r="O636" i="5"/>
  <c r="Q636" i="5" s="1"/>
  <c r="V636" i="5" s="1"/>
  <c r="K636" i="5"/>
  <c r="J636" i="5"/>
  <c r="E636" i="5"/>
  <c r="D636" i="5"/>
  <c r="O635" i="5"/>
  <c r="T635" i="5" s="1"/>
  <c r="K635" i="5"/>
  <c r="J635" i="5"/>
  <c r="E635" i="5"/>
  <c r="D635" i="5"/>
  <c r="O634" i="5"/>
  <c r="T634" i="5" s="1"/>
  <c r="K634" i="5"/>
  <c r="J634" i="5"/>
  <c r="E634" i="5"/>
  <c r="D634" i="5"/>
  <c r="O633" i="5"/>
  <c r="K633" i="5"/>
  <c r="J633" i="5"/>
  <c r="E633" i="5"/>
  <c r="D633" i="5"/>
  <c r="AN632" i="5"/>
  <c r="Y632" i="5"/>
  <c r="O631" i="5"/>
  <c r="T631" i="5" s="1"/>
  <c r="K631" i="5"/>
  <c r="J631" i="5"/>
  <c r="E631" i="5"/>
  <c r="D631" i="5"/>
  <c r="O630" i="5"/>
  <c r="P630" i="5" s="1"/>
  <c r="U630" i="5" s="1"/>
  <c r="K630" i="5"/>
  <c r="J630" i="5"/>
  <c r="E630" i="5"/>
  <c r="D630" i="5"/>
  <c r="O629" i="5"/>
  <c r="T629" i="5" s="1"/>
  <c r="K629" i="5"/>
  <c r="J629" i="5"/>
  <c r="E629" i="5"/>
  <c r="D629" i="5"/>
  <c r="O628" i="5"/>
  <c r="T628" i="5" s="1"/>
  <c r="K628" i="5"/>
  <c r="J628" i="5"/>
  <c r="E628" i="5"/>
  <c r="D628" i="5"/>
  <c r="O627" i="5"/>
  <c r="T627" i="5" s="1"/>
  <c r="E627" i="5"/>
  <c r="D627" i="5"/>
  <c r="F627" i="5" s="1"/>
  <c r="X627" i="5" s="1"/>
  <c r="Z627" i="5" s="1"/>
  <c r="O626" i="5"/>
  <c r="T626" i="5" s="1"/>
  <c r="E626" i="5"/>
  <c r="D626" i="5"/>
  <c r="Y624" i="5"/>
  <c r="H620" i="5"/>
  <c r="F620" i="5"/>
  <c r="D620" i="5"/>
  <c r="C620" i="5"/>
  <c r="H619" i="5"/>
  <c r="F619" i="5"/>
  <c r="D619" i="5"/>
  <c r="C619" i="5"/>
  <c r="D618" i="5"/>
  <c r="C618" i="5"/>
  <c r="H617" i="5"/>
  <c r="F617" i="5"/>
  <c r="D617" i="5"/>
  <c r="C617" i="5"/>
  <c r="F610" i="5"/>
  <c r="D610" i="5"/>
  <c r="C610" i="5"/>
  <c r="E610" i="5" s="1"/>
  <c r="G610" i="5" s="1"/>
  <c r="F609" i="5"/>
  <c r="D609" i="5"/>
  <c r="C609" i="5"/>
  <c r="F608" i="5"/>
  <c r="D608" i="5"/>
  <c r="C608" i="5"/>
  <c r="R607" i="5"/>
  <c r="Q607" i="5"/>
  <c r="L607" i="5"/>
  <c r="O607" i="5" s="1"/>
  <c r="K607" i="5"/>
  <c r="N607" i="5" s="1"/>
  <c r="F607" i="5"/>
  <c r="D607" i="5"/>
  <c r="C607" i="5"/>
  <c r="L606" i="5"/>
  <c r="O606" i="5" s="1"/>
  <c r="K606" i="5"/>
  <c r="N606" i="5" s="1"/>
  <c r="F606" i="5"/>
  <c r="D606" i="5"/>
  <c r="C606" i="5"/>
  <c r="R605" i="5"/>
  <c r="Q605" i="5"/>
  <c r="L605" i="5"/>
  <c r="O605" i="5" s="1"/>
  <c r="K605" i="5"/>
  <c r="N605" i="5" s="1"/>
  <c r="F605" i="5"/>
  <c r="D605" i="5"/>
  <c r="C605" i="5"/>
  <c r="R604" i="5"/>
  <c r="Q604" i="5"/>
  <c r="L604" i="5"/>
  <c r="O604" i="5" s="1"/>
  <c r="K604" i="5"/>
  <c r="N604" i="5" s="1"/>
  <c r="F604" i="5"/>
  <c r="D604" i="5"/>
  <c r="C604" i="5"/>
  <c r="R603" i="5"/>
  <c r="Q603" i="5"/>
  <c r="L603" i="5"/>
  <c r="K603" i="5"/>
  <c r="N603" i="5" s="1"/>
  <c r="F603" i="5"/>
  <c r="D603" i="5"/>
  <c r="C603" i="5"/>
  <c r="R602" i="5"/>
  <c r="Q602" i="5"/>
  <c r="L602" i="5"/>
  <c r="O602" i="5" s="1"/>
  <c r="K602" i="5"/>
  <c r="F602" i="5"/>
  <c r="D602" i="5"/>
  <c r="C602" i="5"/>
  <c r="L601" i="5"/>
  <c r="O601" i="5" s="1"/>
  <c r="K601" i="5"/>
  <c r="N601" i="5" s="1"/>
  <c r="P601" i="5" s="1"/>
  <c r="D601" i="5"/>
  <c r="C601" i="5"/>
  <c r="R600" i="5"/>
  <c r="Q600" i="5"/>
  <c r="L600" i="5"/>
  <c r="K600" i="5"/>
  <c r="N600" i="5" s="1"/>
  <c r="D600" i="5"/>
  <c r="C600" i="5"/>
  <c r="AO596" i="5"/>
  <c r="Z596" i="5"/>
  <c r="W596" i="5"/>
  <c r="R596" i="5"/>
  <c r="AN594" i="5"/>
  <c r="Y594" i="5"/>
  <c r="O593" i="5"/>
  <c r="T593" i="5" s="1"/>
  <c r="E593" i="5"/>
  <c r="D593" i="5"/>
  <c r="O592" i="5"/>
  <c r="P592" i="5" s="1"/>
  <c r="U592" i="5" s="1"/>
  <c r="K592" i="5"/>
  <c r="J592" i="5"/>
  <c r="E592" i="5"/>
  <c r="D592" i="5"/>
  <c r="O591" i="5"/>
  <c r="Q591" i="5" s="1"/>
  <c r="V591" i="5" s="1"/>
  <c r="K591" i="5"/>
  <c r="J591" i="5"/>
  <c r="E591" i="5"/>
  <c r="D591" i="5"/>
  <c r="O590" i="5"/>
  <c r="T590" i="5" s="1"/>
  <c r="K590" i="5"/>
  <c r="J590" i="5"/>
  <c r="E590" i="5"/>
  <c r="D590" i="5"/>
  <c r="O589" i="5"/>
  <c r="P589" i="5" s="1"/>
  <c r="K589" i="5"/>
  <c r="J589" i="5"/>
  <c r="E589" i="5"/>
  <c r="D589" i="5"/>
  <c r="O588" i="5"/>
  <c r="T588" i="5" s="1"/>
  <c r="K588" i="5"/>
  <c r="J588" i="5"/>
  <c r="E588" i="5"/>
  <c r="D588" i="5"/>
  <c r="O587" i="5"/>
  <c r="T587" i="5" s="1"/>
  <c r="E587" i="5"/>
  <c r="D587" i="5"/>
  <c r="O586" i="5"/>
  <c r="T586" i="5" s="1"/>
  <c r="K586" i="5"/>
  <c r="J586" i="5"/>
  <c r="E586" i="5"/>
  <c r="D586" i="5"/>
  <c r="O585" i="5"/>
  <c r="T585" i="5" s="1"/>
  <c r="K585" i="5"/>
  <c r="J585" i="5"/>
  <c r="E585" i="5"/>
  <c r="D585" i="5"/>
  <c r="O584" i="5"/>
  <c r="T584" i="5" s="1"/>
  <c r="K584" i="5"/>
  <c r="J584" i="5"/>
  <c r="E584" i="5"/>
  <c r="D584" i="5"/>
  <c r="O583" i="5"/>
  <c r="T583" i="5" s="1"/>
  <c r="K583" i="5"/>
  <c r="J583" i="5"/>
  <c r="E583" i="5"/>
  <c r="D583" i="5"/>
  <c r="O582" i="5"/>
  <c r="K582" i="5"/>
  <c r="J582" i="5"/>
  <c r="E582" i="5"/>
  <c r="D582" i="5"/>
  <c r="O581" i="5"/>
  <c r="T581" i="5" s="1"/>
  <c r="K581" i="5"/>
  <c r="J581" i="5"/>
  <c r="E581" i="5"/>
  <c r="D581" i="5"/>
  <c r="O580" i="5"/>
  <c r="T580" i="5" s="1"/>
  <c r="K580" i="5"/>
  <c r="J580" i="5"/>
  <c r="E580" i="5"/>
  <c r="D580" i="5"/>
  <c r="O579" i="5"/>
  <c r="T579" i="5" s="1"/>
  <c r="K579" i="5"/>
  <c r="J579" i="5"/>
  <c r="E579" i="5"/>
  <c r="D579" i="5"/>
  <c r="AN578" i="5"/>
  <c r="Y578" i="5"/>
  <c r="O577" i="5"/>
  <c r="T577" i="5" s="1"/>
  <c r="K577" i="5"/>
  <c r="J577" i="5"/>
  <c r="E577" i="5"/>
  <c r="D577" i="5"/>
  <c r="O576" i="5"/>
  <c r="K576" i="5"/>
  <c r="J576" i="5"/>
  <c r="E576" i="5"/>
  <c r="D576" i="5"/>
  <c r="O575" i="5"/>
  <c r="T575" i="5" s="1"/>
  <c r="K575" i="5"/>
  <c r="J575" i="5"/>
  <c r="E575" i="5"/>
  <c r="D575" i="5"/>
  <c r="O574" i="5"/>
  <c r="T574" i="5" s="1"/>
  <c r="K574" i="5"/>
  <c r="J574" i="5"/>
  <c r="E574" i="5"/>
  <c r="D574" i="5"/>
  <c r="O573" i="5"/>
  <c r="T573" i="5" s="1"/>
  <c r="K573" i="5"/>
  <c r="J573" i="5"/>
  <c r="L573" i="5" s="1"/>
  <c r="E573" i="5"/>
  <c r="D573" i="5"/>
  <c r="O572" i="5"/>
  <c r="T572" i="5" s="1"/>
  <c r="E572" i="5"/>
  <c r="D572" i="5"/>
  <c r="Y570" i="5"/>
  <c r="H566" i="5"/>
  <c r="F566" i="5"/>
  <c r="D566" i="5"/>
  <c r="C566" i="5"/>
  <c r="H565" i="5"/>
  <c r="F565" i="5"/>
  <c r="D565" i="5"/>
  <c r="C565" i="5"/>
  <c r="H563" i="5"/>
  <c r="F563" i="5"/>
  <c r="D563" i="5"/>
  <c r="C563" i="5"/>
  <c r="F556" i="5"/>
  <c r="D556" i="5"/>
  <c r="C556" i="5"/>
  <c r="F555" i="5"/>
  <c r="D555" i="5"/>
  <c r="C555" i="5"/>
  <c r="F554" i="5"/>
  <c r="D554" i="5"/>
  <c r="C554" i="5"/>
  <c r="R553" i="5"/>
  <c r="Q553" i="5"/>
  <c r="L553" i="5"/>
  <c r="O553" i="5" s="1"/>
  <c r="K553" i="5"/>
  <c r="F553" i="5"/>
  <c r="D553" i="5"/>
  <c r="C553" i="5"/>
  <c r="L552" i="5"/>
  <c r="O552" i="5" s="1"/>
  <c r="K552" i="5"/>
  <c r="N552" i="5" s="1"/>
  <c r="F552" i="5"/>
  <c r="D552" i="5"/>
  <c r="C552" i="5"/>
  <c r="R551" i="5"/>
  <c r="Q551" i="5"/>
  <c r="L551" i="5"/>
  <c r="O551" i="5" s="1"/>
  <c r="K551" i="5"/>
  <c r="F551" i="5"/>
  <c r="D551" i="5"/>
  <c r="C551" i="5"/>
  <c r="F550" i="5"/>
  <c r="D550" i="5"/>
  <c r="C550" i="5"/>
  <c r="R549" i="5"/>
  <c r="Q549" i="5"/>
  <c r="L549" i="5"/>
  <c r="O549" i="5" s="1"/>
  <c r="K549" i="5"/>
  <c r="F549" i="5"/>
  <c r="D549" i="5"/>
  <c r="C549" i="5"/>
  <c r="R548" i="5"/>
  <c r="Q548" i="5"/>
  <c r="L548" i="5"/>
  <c r="O548" i="5" s="1"/>
  <c r="K548" i="5"/>
  <c r="N548" i="5" s="1"/>
  <c r="F548" i="5"/>
  <c r="D548" i="5"/>
  <c r="C548" i="5"/>
  <c r="R547" i="5"/>
  <c r="Q547" i="5"/>
  <c r="L547" i="5"/>
  <c r="K547" i="5"/>
  <c r="N547" i="5" s="1"/>
  <c r="R546" i="5"/>
  <c r="Q546" i="5"/>
  <c r="L546" i="5"/>
  <c r="O546" i="5" s="1"/>
  <c r="K546" i="5"/>
  <c r="D546" i="5"/>
  <c r="C546" i="5"/>
  <c r="AN543" i="5"/>
  <c r="AN705" i="5" s="1"/>
  <c r="AO542" i="5"/>
  <c r="AN542" i="5"/>
  <c r="AN704" i="5" s="1"/>
  <c r="Z542" i="5"/>
  <c r="W542" i="5"/>
  <c r="R542" i="5"/>
  <c r="Y540" i="5"/>
  <c r="AN539" i="5"/>
  <c r="AN701" i="5" s="1"/>
  <c r="O539" i="5"/>
  <c r="K539" i="5"/>
  <c r="J539" i="5"/>
  <c r="E539" i="5"/>
  <c r="D539" i="5"/>
  <c r="AO538" i="5"/>
  <c r="AN538" i="5"/>
  <c r="AN700" i="5" s="1"/>
  <c r="Z538" i="5"/>
  <c r="O538" i="5"/>
  <c r="P538" i="5" s="1"/>
  <c r="U538" i="5" s="1"/>
  <c r="K538" i="5"/>
  <c r="J538" i="5"/>
  <c r="L538" i="5" s="1"/>
  <c r="E538" i="5"/>
  <c r="D538" i="5"/>
  <c r="AO537" i="5"/>
  <c r="AN537" i="5"/>
  <c r="AN699" i="5" s="1"/>
  <c r="Z537" i="5"/>
  <c r="O537" i="5"/>
  <c r="Q537" i="5" s="1"/>
  <c r="V537" i="5" s="1"/>
  <c r="K537" i="5"/>
  <c r="J537" i="5"/>
  <c r="E537" i="5"/>
  <c r="D537" i="5"/>
  <c r="AO536" i="5"/>
  <c r="AN536" i="5"/>
  <c r="AN698" i="5" s="1"/>
  <c r="Z536" i="5"/>
  <c r="O536" i="5"/>
  <c r="K536" i="5"/>
  <c r="J536" i="5"/>
  <c r="E536" i="5"/>
  <c r="D536" i="5"/>
  <c r="AN535" i="5"/>
  <c r="AN697" i="5" s="1"/>
  <c r="O535" i="5"/>
  <c r="T535" i="5" s="1"/>
  <c r="K535" i="5"/>
  <c r="J535" i="5"/>
  <c r="E535" i="5"/>
  <c r="D535" i="5"/>
  <c r="AN534" i="5"/>
  <c r="AN696" i="5" s="1"/>
  <c r="O534" i="5"/>
  <c r="K534" i="5"/>
  <c r="J534" i="5"/>
  <c r="E534" i="5"/>
  <c r="D534" i="5"/>
  <c r="AN533" i="5"/>
  <c r="AN695" i="5" s="1"/>
  <c r="O533" i="5"/>
  <c r="K533" i="5"/>
  <c r="J533" i="5"/>
  <c r="E533" i="5"/>
  <c r="D533" i="5"/>
  <c r="AN532" i="5"/>
  <c r="AN694" i="5" s="1"/>
  <c r="O532" i="5"/>
  <c r="T532" i="5" s="1"/>
  <c r="K532" i="5"/>
  <c r="J532" i="5"/>
  <c r="E532" i="5"/>
  <c r="D532" i="5"/>
  <c r="AN531" i="5"/>
  <c r="AN693" i="5" s="1"/>
  <c r="O531" i="5"/>
  <c r="T531" i="5" s="1"/>
  <c r="K531" i="5"/>
  <c r="J531" i="5"/>
  <c r="E531" i="5"/>
  <c r="D531" i="5"/>
  <c r="AN530" i="5"/>
  <c r="AN692" i="5" s="1"/>
  <c r="O530" i="5"/>
  <c r="Q530" i="5" s="1"/>
  <c r="K530" i="5"/>
  <c r="J530" i="5"/>
  <c r="E530" i="5"/>
  <c r="D530" i="5"/>
  <c r="AN529" i="5"/>
  <c r="AN691" i="5" s="1"/>
  <c r="AN1015" i="5" s="1"/>
  <c r="O529" i="5"/>
  <c r="T529" i="5" s="1"/>
  <c r="E529" i="5"/>
  <c r="D529" i="5"/>
  <c r="AN528" i="5"/>
  <c r="AN690" i="5" s="1"/>
  <c r="O528" i="5"/>
  <c r="Q528" i="5" s="1"/>
  <c r="V528" i="5" s="1"/>
  <c r="K528" i="5"/>
  <c r="J528" i="5"/>
  <c r="E528" i="5"/>
  <c r="D528" i="5"/>
  <c r="AN527" i="5"/>
  <c r="AN689" i="5" s="1"/>
  <c r="O527" i="5"/>
  <c r="T527" i="5" s="1"/>
  <c r="K527" i="5"/>
  <c r="J527" i="5"/>
  <c r="E527" i="5"/>
  <c r="D527" i="5"/>
  <c r="AN526" i="5"/>
  <c r="AN688" i="5" s="1"/>
  <c r="AN1012" i="5" s="1"/>
  <c r="O526" i="5"/>
  <c r="T526" i="5" s="1"/>
  <c r="K526" i="5"/>
  <c r="J526" i="5"/>
  <c r="E526" i="5"/>
  <c r="D526" i="5"/>
  <c r="AN525" i="5"/>
  <c r="AN687" i="5" s="1"/>
  <c r="O525" i="5"/>
  <c r="P525" i="5" s="1"/>
  <c r="K525" i="5"/>
  <c r="J525" i="5"/>
  <c r="E525" i="5"/>
  <c r="D525" i="5"/>
  <c r="Y524" i="5"/>
  <c r="AN523" i="5"/>
  <c r="AN685" i="5" s="1"/>
  <c r="O523" i="5"/>
  <c r="Q523" i="5" s="1"/>
  <c r="V523" i="5" s="1"/>
  <c r="K523" i="5"/>
  <c r="J523" i="5"/>
  <c r="E523" i="5"/>
  <c r="D523" i="5"/>
  <c r="AN522" i="5"/>
  <c r="AN684" i="5" s="1"/>
  <c r="O522" i="5"/>
  <c r="T522" i="5" s="1"/>
  <c r="K522" i="5"/>
  <c r="J522" i="5"/>
  <c r="E522" i="5"/>
  <c r="D522" i="5"/>
  <c r="AN521" i="5"/>
  <c r="AN683" i="5" s="1"/>
  <c r="O521" i="5"/>
  <c r="Q521" i="5" s="1"/>
  <c r="V521" i="5" s="1"/>
  <c r="K521" i="5"/>
  <c r="J521" i="5"/>
  <c r="E521" i="5"/>
  <c r="D521" i="5"/>
  <c r="AN520" i="5"/>
  <c r="AN682" i="5" s="1"/>
  <c r="O520" i="5"/>
  <c r="T520" i="5" s="1"/>
  <c r="K520" i="5"/>
  <c r="J520" i="5"/>
  <c r="E520" i="5"/>
  <c r="D520" i="5"/>
  <c r="AN519" i="5"/>
  <c r="AN681" i="5" s="1"/>
  <c r="O519" i="5"/>
  <c r="E519" i="5"/>
  <c r="D519" i="5"/>
  <c r="AN518" i="5"/>
  <c r="AN680" i="5" s="1"/>
  <c r="O518" i="5"/>
  <c r="T518" i="5" s="1"/>
  <c r="Y516" i="5"/>
  <c r="D512" i="5"/>
  <c r="C512" i="5"/>
  <c r="H511" i="5"/>
  <c r="F511" i="5"/>
  <c r="D511" i="5"/>
  <c r="C511" i="5"/>
  <c r="D510" i="5"/>
  <c r="C510" i="5"/>
  <c r="D509" i="5"/>
  <c r="C509" i="5"/>
  <c r="F502" i="5"/>
  <c r="D502" i="5"/>
  <c r="C502" i="5"/>
  <c r="F501" i="5"/>
  <c r="D501" i="5"/>
  <c r="C501" i="5"/>
  <c r="F500" i="5"/>
  <c r="D500" i="5"/>
  <c r="C500" i="5"/>
  <c r="R499" i="5"/>
  <c r="Q499" i="5"/>
  <c r="L499" i="5"/>
  <c r="O499" i="5" s="1"/>
  <c r="K499" i="5"/>
  <c r="N499" i="5" s="1"/>
  <c r="F499" i="5"/>
  <c r="D499" i="5"/>
  <c r="C499" i="5"/>
  <c r="L498" i="5"/>
  <c r="O498" i="5" s="1"/>
  <c r="K498" i="5"/>
  <c r="F498" i="5"/>
  <c r="D498" i="5"/>
  <c r="C498" i="5"/>
  <c r="E498" i="5" s="1"/>
  <c r="G498" i="5" s="1"/>
  <c r="L497" i="5"/>
  <c r="K497" i="5"/>
  <c r="N497" i="5" s="1"/>
  <c r="F497" i="5"/>
  <c r="D497" i="5"/>
  <c r="C497" i="5"/>
  <c r="L496" i="5"/>
  <c r="O496" i="5" s="1"/>
  <c r="K496" i="5"/>
  <c r="N496" i="5" s="1"/>
  <c r="F496" i="5"/>
  <c r="D496" i="5"/>
  <c r="C496" i="5"/>
  <c r="L495" i="5"/>
  <c r="O495" i="5" s="1"/>
  <c r="K495" i="5"/>
  <c r="N495" i="5" s="1"/>
  <c r="F495" i="5"/>
  <c r="D495" i="5"/>
  <c r="C495" i="5"/>
  <c r="R494" i="5"/>
  <c r="Q494" i="5"/>
  <c r="L494" i="5"/>
  <c r="O494" i="5" s="1"/>
  <c r="K494" i="5"/>
  <c r="N494" i="5" s="1"/>
  <c r="F494" i="5"/>
  <c r="D494" i="5"/>
  <c r="C494" i="5"/>
  <c r="R493" i="5"/>
  <c r="Q493" i="5"/>
  <c r="L493" i="5"/>
  <c r="O493" i="5" s="1"/>
  <c r="K493" i="5"/>
  <c r="N493" i="5" s="1"/>
  <c r="F493" i="5"/>
  <c r="D493" i="5"/>
  <c r="C493" i="5"/>
  <c r="L492" i="5"/>
  <c r="K492" i="5"/>
  <c r="F492" i="5"/>
  <c r="D492" i="5"/>
  <c r="C492" i="5"/>
  <c r="AO488" i="5"/>
  <c r="Z488" i="5"/>
  <c r="W488" i="5"/>
  <c r="R488" i="5"/>
  <c r="AN486" i="5"/>
  <c r="Y486" i="5"/>
  <c r="O485" i="5"/>
  <c r="T485" i="5" s="1"/>
  <c r="K485" i="5"/>
  <c r="J485" i="5"/>
  <c r="E485" i="5"/>
  <c r="D485" i="5"/>
  <c r="AO484" i="5"/>
  <c r="Z484" i="5"/>
  <c r="O484" i="5"/>
  <c r="Q484" i="5" s="1"/>
  <c r="V484" i="5" s="1"/>
  <c r="K484" i="5"/>
  <c r="J484" i="5"/>
  <c r="E484" i="5"/>
  <c r="D484" i="5"/>
  <c r="AO483" i="5"/>
  <c r="Z483" i="5"/>
  <c r="O483" i="5"/>
  <c r="P483" i="5" s="1"/>
  <c r="K483" i="5"/>
  <c r="J483" i="5"/>
  <c r="E483" i="5"/>
  <c r="D483" i="5"/>
  <c r="AO482" i="5"/>
  <c r="Z482" i="5"/>
  <c r="O482" i="5"/>
  <c r="K482" i="5"/>
  <c r="J482" i="5"/>
  <c r="E482" i="5"/>
  <c r="D482" i="5"/>
  <c r="O481" i="5"/>
  <c r="T481" i="5" s="1"/>
  <c r="K481" i="5"/>
  <c r="J481" i="5"/>
  <c r="E481" i="5"/>
  <c r="F481" i="5" s="1"/>
  <c r="X481" i="5" s="1"/>
  <c r="O480" i="5"/>
  <c r="T480" i="5" s="1"/>
  <c r="K480" i="5"/>
  <c r="J480" i="5"/>
  <c r="E480" i="5"/>
  <c r="D480" i="5"/>
  <c r="O479" i="5"/>
  <c r="Q479" i="5" s="1"/>
  <c r="K479" i="5"/>
  <c r="J479" i="5"/>
  <c r="E479" i="5"/>
  <c r="D479" i="5"/>
  <c r="O478" i="5"/>
  <c r="K478" i="5"/>
  <c r="J478" i="5"/>
  <c r="E478" i="5"/>
  <c r="D478" i="5"/>
  <c r="O477" i="5"/>
  <c r="T477" i="5" s="1"/>
  <c r="K477" i="5"/>
  <c r="J477" i="5"/>
  <c r="E477" i="5"/>
  <c r="D477" i="5"/>
  <c r="O476" i="5"/>
  <c r="Q476" i="5" s="1"/>
  <c r="K476" i="5"/>
  <c r="J476" i="5"/>
  <c r="E476" i="5"/>
  <c r="D476" i="5"/>
  <c r="O475" i="5"/>
  <c r="K475" i="5"/>
  <c r="J475" i="5"/>
  <c r="E475" i="5"/>
  <c r="D475" i="5"/>
  <c r="O474" i="5"/>
  <c r="T474" i="5" s="1"/>
  <c r="K474" i="5"/>
  <c r="J474" i="5"/>
  <c r="E474" i="5"/>
  <c r="D474" i="5"/>
  <c r="O473" i="5"/>
  <c r="T473" i="5" s="1"/>
  <c r="K473" i="5"/>
  <c r="J473" i="5"/>
  <c r="E473" i="5"/>
  <c r="D473" i="5"/>
  <c r="O472" i="5"/>
  <c r="K472" i="5"/>
  <c r="J472" i="5"/>
  <c r="E472" i="5"/>
  <c r="D472" i="5"/>
  <c r="O471" i="5"/>
  <c r="T471" i="5" s="1"/>
  <c r="K471" i="5"/>
  <c r="J471" i="5"/>
  <c r="E471" i="5"/>
  <c r="D471" i="5"/>
  <c r="O470" i="5"/>
  <c r="T470" i="5" s="1"/>
  <c r="K470" i="5"/>
  <c r="J470" i="5"/>
  <c r="E470" i="5"/>
  <c r="D470" i="5"/>
  <c r="AN469" i="5"/>
  <c r="Y469" i="5"/>
  <c r="Y487" i="5" s="1"/>
  <c r="Y490" i="5" s="1"/>
  <c r="O468" i="5"/>
  <c r="T468" i="5" s="1"/>
  <c r="K468" i="5"/>
  <c r="J468" i="5"/>
  <c r="E468" i="5"/>
  <c r="D468" i="5"/>
  <c r="O467" i="5"/>
  <c r="T467" i="5" s="1"/>
  <c r="K467" i="5"/>
  <c r="J467" i="5"/>
  <c r="E467" i="5"/>
  <c r="D467" i="5"/>
  <c r="O466" i="5"/>
  <c r="Q466" i="5" s="1"/>
  <c r="V466" i="5" s="1"/>
  <c r="K466" i="5"/>
  <c r="J466" i="5"/>
  <c r="E466" i="5"/>
  <c r="D466" i="5"/>
  <c r="O465" i="5"/>
  <c r="K465" i="5"/>
  <c r="J465" i="5"/>
  <c r="E465" i="5"/>
  <c r="D465" i="5"/>
  <c r="O464" i="5"/>
  <c r="T464" i="5" s="1"/>
  <c r="K464" i="5"/>
  <c r="J464" i="5"/>
  <c r="E464" i="5"/>
  <c r="D464" i="5"/>
  <c r="O463" i="5"/>
  <c r="T463" i="5" s="1"/>
  <c r="K463" i="5"/>
  <c r="J463" i="5"/>
  <c r="E463" i="5"/>
  <c r="D463" i="5"/>
  <c r="Y461" i="5"/>
  <c r="H457" i="5"/>
  <c r="F457" i="5"/>
  <c r="D457" i="5"/>
  <c r="C457" i="5"/>
  <c r="E457" i="5" s="1"/>
  <c r="G457" i="5" s="1"/>
  <c r="H456" i="5"/>
  <c r="F456" i="5"/>
  <c r="D456" i="5"/>
  <c r="C456" i="5"/>
  <c r="D455" i="5"/>
  <c r="C455" i="5"/>
  <c r="H454" i="5"/>
  <c r="F454" i="5"/>
  <c r="D454" i="5"/>
  <c r="C454" i="5"/>
  <c r="F447" i="5"/>
  <c r="D447" i="5"/>
  <c r="C447" i="5"/>
  <c r="F446" i="5"/>
  <c r="D446" i="5"/>
  <c r="C446" i="5"/>
  <c r="F445" i="5"/>
  <c r="D445" i="5"/>
  <c r="C445" i="5"/>
  <c r="R444" i="5"/>
  <c r="Q444" i="5"/>
  <c r="L444" i="5"/>
  <c r="O444" i="5" s="1"/>
  <c r="K444" i="5"/>
  <c r="N444" i="5" s="1"/>
  <c r="F444" i="5"/>
  <c r="D444" i="5"/>
  <c r="C444" i="5"/>
  <c r="L443" i="5"/>
  <c r="O443" i="5" s="1"/>
  <c r="K443" i="5"/>
  <c r="N443" i="5" s="1"/>
  <c r="F443" i="5"/>
  <c r="D443" i="5"/>
  <c r="C443" i="5"/>
  <c r="R442" i="5"/>
  <c r="Q442" i="5"/>
  <c r="L442" i="5"/>
  <c r="O442" i="5" s="1"/>
  <c r="K442" i="5"/>
  <c r="N442" i="5" s="1"/>
  <c r="F442" i="5"/>
  <c r="D442" i="5"/>
  <c r="C442" i="5"/>
  <c r="R441" i="5"/>
  <c r="Q441" i="5"/>
  <c r="L441" i="5"/>
  <c r="O441" i="5" s="1"/>
  <c r="K441" i="5"/>
  <c r="N441" i="5" s="1"/>
  <c r="F441" i="5"/>
  <c r="D441" i="5"/>
  <c r="C441" i="5"/>
  <c r="R440" i="5"/>
  <c r="Q440" i="5"/>
  <c r="L440" i="5"/>
  <c r="O440" i="5" s="1"/>
  <c r="K440" i="5"/>
  <c r="N440" i="5" s="1"/>
  <c r="F440" i="5"/>
  <c r="D440" i="5"/>
  <c r="C440" i="5"/>
  <c r="E440" i="5" s="1"/>
  <c r="G440" i="5" s="1"/>
  <c r="L439" i="5"/>
  <c r="K439" i="5"/>
  <c r="N439" i="5" s="1"/>
  <c r="F439" i="5"/>
  <c r="D439" i="5"/>
  <c r="C439" i="5"/>
  <c r="R438" i="5"/>
  <c r="Q438" i="5"/>
  <c r="S438" i="5" s="1"/>
  <c r="L438" i="5"/>
  <c r="O438" i="5" s="1"/>
  <c r="K438" i="5"/>
  <c r="N438" i="5" s="1"/>
  <c r="D438" i="5"/>
  <c r="C438" i="5"/>
  <c r="R437" i="5"/>
  <c r="Q437" i="5"/>
  <c r="L437" i="5"/>
  <c r="O437" i="5" s="1"/>
  <c r="K437" i="5"/>
  <c r="D437" i="5"/>
  <c r="C437" i="5"/>
  <c r="AO433" i="5"/>
  <c r="Z433" i="5"/>
  <c r="W433" i="5"/>
  <c r="R433" i="5"/>
  <c r="AN431" i="5"/>
  <c r="Y431" i="5"/>
  <c r="O430" i="5"/>
  <c r="T430" i="5" s="1"/>
  <c r="K430" i="5"/>
  <c r="J430" i="5"/>
  <c r="E430" i="5"/>
  <c r="D430" i="5"/>
  <c r="O429" i="5"/>
  <c r="T429" i="5" s="1"/>
  <c r="K429" i="5"/>
  <c r="J429" i="5"/>
  <c r="E429" i="5"/>
  <c r="D429" i="5"/>
  <c r="O428" i="5"/>
  <c r="Q428" i="5" s="1"/>
  <c r="V428" i="5" s="1"/>
  <c r="K428" i="5"/>
  <c r="J428" i="5"/>
  <c r="E428" i="5"/>
  <c r="D428" i="5"/>
  <c r="O427" i="5"/>
  <c r="T427" i="5" s="1"/>
  <c r="K427" i="5"/>
  <c r="J427" i="5"/>
  <c r="L427" i="5" s="1"/>
  <c r="E427" i="5"/>
  <c r="D427" i="5"/>
  <c r="O426" i="5"/>
  <c r="P426" i="5" s="1"/>
  <c r="K426" i="5"/>
  <c r="J426" i="5"/>
  <c r="E426" i="5"/>
  <c r="D426" i="5"/>
  <c r="O425" i="5"/>
  <c r="P425" i="5" s="1"/>
  <c r="U425" i="5" s="1"/>
  <c r="K425" i="5"/>
  <c r="J425" i="5"/>
  <c r="E425" i="5"/>
  <c r="D425" i="5"/>
  <c r="O424" i="5"/>
  <c r="T424" i="5" s="1"/>
  <c r="E424" i="5"/>
  <c r="D424" i="5"/>
  <c r="O423" i="5"/>
  <c r="P423" i="5" s="1"/>
  <c r="K423" i="5"/>
  <c r="J423" i="5"/>
  <c r="E423" i="5"/>
  <c r="D423" i="5"/>
  <c r="O422" i="5"/>
  <c r="Q422" i="5" s="1"/>
  <c r="V422" i="5" s="1"/>
  <c r="K422" i="5"/>
  <c r="J422" i="5"/>
  <c r="E422" i="5"/>
  <c r="D422" i="5"/>
  <c r="O421" i="5"/>
  <c r="T421" i="5" s="1"/>
  <c r="K421" i="5"/>
  <c r="J421" i="5"/>
  <c r="E421" i="5"/>
  <c r="D421" i="5"/>
  <c r="O420" i="5"/>
  <c r="P420" i="5" s="1"/>
  <c r="K420" i="5"/>
  <c r="J420" i="5"/>
  <c r="E420" i="5"/>
  <c r="D420" i="5"/>
  <c r="O419" i="5"/>
  <c r="K419" i="5"/>
  <c r="J419" i="5"/>
  <c r="E419" i="5"/>
  <c r="D419" i="5"/>
  <c r="O418" i="5"/>
  <c r="T418" i="5" s="1"/>
  <c r="K418" i="5"/>
  <c r="J418" i="5"/>
  <c r="E418" i="5"/>
  <c r="D418" i="5"/>
  <c r="O417" i="5"/>
  <c r="P417" i="5" s="1"/>
  <c r="K417" i="5"/>
  <c r="J417" i="5"/>
  <c r="E417" i="5"/>
  <c r="D417" i="5"/>
  <c r="O416" i="5"/>
  <c r="Q416" i="5" s="1"/>
  <c r="V416" i="5" s="1"/>
  <c r="K416" i="5"/>
  <c r="J416" i="5"/>
  <c r="E416" i="5"/>
  <c r="D416" i="5"/>
  <c r="O415" i="5"/>
  <c r="T415" i="5" s="1"/>
  <c r="K415" i="5"/>
  <c r="J415" i="5"/>
  <c r="E415" i="5"/>
  <c r="D415" i="5"/>
  <c r="AN414" i="5"/>
  <c r="AN432" i="5" s="1"/>
  <c r="AN435" i="5" s="1"/>
  <c r="Y414" i="5"/>
  <c r="O413" i="5"/>
  <c r="P413" i="5" s="1"/>
  <c r="U413" i="5" s="1"/>
  <c r="K413" i="5"/>
  <c r="J413" i="5"/>
  <c r="E413" i="5"/>
  <c r="D413" i="5"/>
  <c r="O412" i="5"/>
  <c r="T412" i="5" s="1"/>
  <c r="K412" i="5"/>
  <c r="J412" i="5"/>
  <c r="L412" i="5" s="1"/>
  <c r="E412" i="5"/>
  <c r="D412" i="5"/>
  <c r="O411" i="5"/>
  <c r="P411" i="5" s="1"/>
  <c r="K411" i="5"/>
  <c r="J411" i="5"/>
  <c r="E411" i="5"/>
  <c r="D411" i="5"/>
  <c r="F411" i="5" s="1"/>
  <c r="H411" i="5" s="1"/>
  <c r="O410" i="5"/>
  <c r="T410" i="5" s="1"/>
  <c r="K410" i="5"/>
  <c r="J410" i="5"/>
  <c r="E410" i="5"/>
  <c r="D410" i="5"/>
  <c r="O409" i="5"/>
  <c r="T409" i="5" s="1"/>
  <c r="E409" i="5"/>
  <c r="D409" i="5"/>
  <c r="O408" i="5"/>
  <c r="P408" i="5" s="1"/>
  <c r="K408" i="5"/>
  <c r="J408" i="5"/>
  <c r="E408" i="5"/>
  <c r="D408" i="5"/>
  <c r="Y406" i="5"/>
  <c r="D401" i="5"/>
  <c r="C401" i="5"/>
  <c r="E401" i="5" s="1"/>
  <c r="G401" i="5" s="1"/>
  <c r="H400" i="5"/>
  <c r="F400" i="5"/>
  <c r="D400" i="5"/>
  <c r="C400" i="5"/>
  <c r="D398" i="5"/>
  <c r="C398" i="5"/>
  <c r="F391" i="5"/>
  <c r="D391" i="5"/>
  <c r="C391" i="5"/>
  <c r="E391" i="5" s="1"/>
  <c r="G391" i="5" s="1"/>
  <c r="F390" i="5"/>
  <c r="D390" i="5"/>
  <c r="C390" i="5"/>
  <c r="F389" i="5"/>
  <c r="D389" i="5"/>
  <c r="C389" i="5"/>
  <c r="Q388" i="5"/>
  <c r="L388" i="5"/>
  <c r="O388" i="5" s="1"/>
  <c r="K388" i="5"/>
  <c r="N388" i="5" s="1"/>
  <c r="D388" i="5"/>
  <c r="C388" i="5"/>
  <c r="L387" i="5"/>
  <c r="O387" i="5" s="1"/>
  <c r="K387" i="5"/>
  <c r="D387" i="5"/>
  <c r="C387" i="5"/>
  <c r="L386" i="5"/>
  <c r="O386" i="5" s="1"/>
  <c r="K386" i="5"/>
  <c r="N386" i="5" s="1"/>
  <c r="F386" i="5"/>
  <c r="D386" i="5"/>
  <c r="C386" i="5"/>
  <c r="D385" i="5"/>
  <c r="C385" i="5"/>
  <c r="L384" i="5"/>
  <c r="O384" i="5" s="1"/>
  <c r="K384" i="5"/>
  <c r="D384" i="5"/>
  <c r="C384" i="5"/>
  <c r="L383" i="5"/>
  <c r="O383" i="5" s="1"/>
  <c r="K383" i="5"/>
  <c r="N383" i="5" s="1"/>
  <c r="D383" i="5"/>
  <c r="C383" i="5"/>
  <c r="L382" i="5"/>
  <c r="O382" i="5" s="1"/>
  <c r="K382" i="5"/>
  <c r="N382" i="5" s="1"/>
  <c r="L381" i="5"/>
  <c r="O381" i="5" s="1"/>
  <c r="K381" i="5"/>
  <c r="D381" i="5"/>
  <c r="C381" i="5"/>
  <c r="AO377" i="5"/>
  <c r="Z377" i="5"/>
  <c r="W377" i="5"/>
  <c r="R377" i="5"/>
  <c r="AN375" i="5"/>
  <c r="Y375" i="5"/>
  <c r="O374" i="5"/>
  <c r="T374" i="5" s="1"/>
  <c r="E374" i="5"/>
  <c r="D374" i="5"/>
  <c r="O373" i="5"/>
  <c r="P373" i="5" s="1"/>
  <c r="K373" i="5"/>
  <c r="J373" i="5"/>
  <c r="E373" i="5"/>
  <c r="D373" i="5"/>
  <c r="O372" i="5"/>
  <c r="T372" i="5" s="1"/>
  <c r="K372" i="5"/>
  <c r="J372" i="5"/>
  <c r="E372" i="5"/>
  <c r="D372" i="5"/>
  <c r="O371" i="5"/>
  <c r="T371" i="5" s="1"/>
  <c r="K371" i="5"/>
  <c r="J371" i="5"/>
  <c r="E371" i="5"/>
  <c r="D371" i="5"/>
  <c r="O370" i="5"/>
  <c r="P370" i="5" s="1"/>
  <c r="U370" i="5" s="1"/>
  <c r="K370" i="5"/>
  <c r="J370" i="5"/>
  <c r="E370" i="5"/>
  <c r="F370" i="5" s="1"/>
  <c r="O369" i="5"/>
  <c r="P369" i="5" s="1"/>
  <c r="U369" i="5" s="1"/>
  <c r="K369" i="5"/>
  <c r="J369" i="5"/>
  <c r="E369" i="5"/>
  <c r="D369" i="5"/>
  <c r="O368" i="5"/>
  <c r="T368" i="5" s="1"/>
  <c r="E368" i="5"/>
  <c r="D368" i="5"/>
  <c r="O367" i="5"/>
  <c r="Q367" i="5" s="1"/>
  <c r="V367" i="5" s="1"/>
  <c r="K367" i="5"/>
  <c r="J367" i="5"/>
  <c r="E367" i="5"/>
  <c r="D367" i="5"/>
  <c r="O366" i="5"/>
  <c r="P366" i="5" s="1"/>
  <c r="U366" i="5" s="1"/>
  <c r="K366" i="5"/>
  <c r="J366" i="5"/>
  <c r="E366" i="5"/>
  <c r="D366" i="5"/>
  <c r="O365" i="5"/>
  <c r="T365" i="5" s="1"/>
  <c r="K365" i="5"/>
  <c r="J365" i="5"/>
  <c r="E365" i="5"/>
  <c r="D365" i="5"/>
  <c r="O364" i="5"/>
  <c r="T364" i="5" s="1"/>
  <c r="E364" i="5"/>
  <c r="D364" i="5"/>
  <c r="O363" i="5"/>
  <c r="T363" i="5" s="1"/>
  <c r="E363" i="5"/>
  <c r="D363" i="5"/>
  <c r="O362" i="5"/>
  <c r="P362" i="5" s="1"/>
  <c r="K362" i="5"/>
  <c r="J362" i="5"/>
  <c r="E362" i="5"/>
  <c r="D362" i="5"/>
  <c r="O361" i="5"/>
  <c r="T361" i="5" s="1"/>
  <c r="E361" i="5"/>
  <c r="D361" i="5"/>
  <c r="O360" i="5"/>
  <c r="T360" i="5" s="1"/>
  <c r="E360" i="5"/>
  <c r="D360" i="5"/>
  <c r="O359" i="5"/>
  <c r="E359" i="5"/>
  <c r="D359" i="5"/>
  <c r="AN358" i="5"/>
  <c r="Y358" i="5"/>
  <c r="O357" i="5"/>
  <c r="T357" i="5" s="1"/>
  <c r="E357" i="5"/>
  <c r="D357" i="5"/>
  <c r="F357" i="5" s="1"/>
  <c r="X357" i="5" s="1"/>
  <c r="O356" i="5"/>
  <c r="K356" i="5"/>
  <c r="J356" i="5"/>
  <c r="E356" i="5"/>
  <c r="D356" i="5"/>
  <c r="O355" i="5"/>
  <c r="T355" i="5" s="1"/>
  <c r="K355" i="5"/>
  <c r="J355" i="5"/>
  <c r="E355" i="5"/>
  <c r="D355" i="5"/>
  <c r="O354" i="5"/>
  <c r="K354" i="5"/>
  <c r="J354" i="5"/>
  <c r="E354" i="5"/>
  <c r="D354" i="5"/>
  <c r="O353" i="5"/>
  <c r="T353" i="5" s="1"/>
  <c r="E353" i="5"/>
  <c r="D353" i="5"/>
  <c r="O352" i="5"/>
  <c r="T352" i="5" s="1"/>
  <c r="J345" i="5"/>
  <c r="W344" i="5"/>
  <c r="E1044" i="5" s="1"/>
  <c r="G1044" i="5" s="1"/>
  <c r="X1029" i="5" s="1"/>
  <c r="J341" i="5"/>
  <c r="R340" i="5"/>
  <c r="J340" i="5"/>
  <c r="V337" i="5"/>
  <c r="J335" i="5"/>
  <c r="W334" i="5"/>
  <c r="E990" i="5" s="1"/>
  <c r="G990" i="5" s="1"/>
  <c r="X975" i="5" s="1"/>
  <c r="J331" i="5"/>
  <c r="R330" i="5"/>
  <c r="J330" i="5"/>
  <c r="V327" i="5"/>
  <c r="J325" i="5"/>
  <c r="W324" i="5"/>
  <c r="E936" i="5" s="1"/>
  <c r="G936" i="5" s="1"/>
  <c r="X921" i="5" s="1"/>
  <c r="J321" i="5"/>
  <c r="R320" i="5"/>
  <c r="J320" i="5"/>
  <c r="V317" i="5"/>
  <c r="J315" i="5"/>
  <c r="W314" i="5"/>
  <c r="E882" i="5" s="1"/>
  <c r="G882" i="5" s="1"/>
  <c r="X867" i="5" s="1"/>
  <c r="J311" i="5"/>
  <c r="R310" i="5"/>
  <c r="J310" i="5"/>
  <c r="V307" i="5"/>
  <c r="J305" i="5"/>
  <c r="W304" i="5"/>
  <c r="E828" i="5" s="1"/>
  <c r="G828" i="5" s="1"/>
  <c r="X813" i="5" s="1"/>
  <c r="J301" i="5"/>
  <c r="R300" i="5"/>
  <c r="J300" i="5"/>
  <c r="V297" i="5"/>
  <c r="J295" i="5"/>
  <c r="W294" i="5"/>
  <c r="E774" i="5" s="1"/>
  <c r="G774" i="5" s="1"/>
  <c r="X759" i="5" s="1"/>
  <c r="J291" i="5"/>
  <c r="R290" i="5"/>
  <c r="J290" i="5"/>
  <c r="V287" i="5"/>
  <c r="J285" i="5"/>
  <c r="W284" i="5"/>
  <c r="E720" i="5" s="1"/>
  <c r="G720" i="5" s="1"/>
  <c r="X705" i="5" s="1"/>
  <c r="J281" i="5"/>
  <c r="R280" i="5"/>
  <c r="J280" i="5"/>
  <c r="V277" i="5"/>
  <c r="J275" i="5"/>
  <c r="W274" i="5"/>
  <c r="E666" i="5" s="1"/>
  <c r="G666" i="5" s="1"/>
  <c r="X651" i="5" s="1"/>
  <c r="J271" i="5"/>
  <c r="R270" i="5"/>
  <c r="J270" i="5"/>
  <c r="V267" i="5"/>
  <c r="J265" i="5"/>
  <c r="W264" i="5"/>
  <c r="E612" i="5" s="1"/>
  <c r="G612" i="5" s="1"/>
  <c r="X597" i="5" s="1"/>
  <c r="J261" i="5"/>
  <c r="R260" i="5"/>
  <c r="J260" i="5"/>
  <c r="V257" i="5"/>
  <c r="J255" i="5"/>
  <c r="W254" i="5"/>
  <c r="E558" i="5" s="1"/>
  <c r="G558" i="5" s="1"/>
  <c r="X543" i="5" s="1"/>
  <c r="J251" i="5"/>
  <c r="R250" i="5"/>
  <c r="J250" i="5"/>
  <c r="V247" i="5"/>
  <c r="J245" i="5"/>
  <c r="W244" i="5"/>
  <c r="E504" i="5" s="1"/>
  <c r="G504" i="5" s="1"/>
  <c r="X489" i="5" s="1"/>
  <c r="J241" i="5"/>
  <c r="R240" i="5"/>
  <c r="J240" i="5"/>
  <c r="V237" i="5"/>
  <c r="J235" i="5"/>
  <c r="W234" i="5"/>
  <c r="W235" i="5" s="1"/>
  <c r="S231" i="5"/>
  <c r="S241" i="5" s="1"/>
  <c r="S251" i="5" s="1"/>
  <c r="S261" i="5" s="1"/>
  <c r="S271" i="5" s="1"/>
  <c r="S281" i="5" s="1"/>
  <c r="S291" i="5" s="1"/>
  <c r="S301" i="5" s="1"/>
  <c r="S311" i="5" s="1"/>
  <c r="S321" i="5" s="1"/>
  <c r="S331" i="5" s="1"/>
  <c r="S341" i="5" s="1"/>
  <c r="J231" i="5"/>
  <c r="R230" i="5"/>
  <c r="J230" i="5"/>
  <c r="V227" i="5"/>
  <c r="AS224" i="5"/>
  <c r="N224" i="5"/>
  <c r="M224" i="5"/>
  <c r="AW224" i="5" s="1"/>
  <c r="L224" i="5"/>
  <c r="AV224" i="5" s="1"/>
  <c r="K224" i="5"/>
  <c r="J224" i="5"/>
  <c r="I224" i="5"/>
  <c r="AW223" i="5"/>
  <c r="AV223" i="5"/>
  <c r="AT223" i="5"/>
  <c r="AS223" i="5"/>
  <c r="AW222" i="5"/>
  <c r="AV222" i="5"/>
  <c r="AT222" i="5"/>
  <c r="AS222" i="5"/>
  <c r="AK222" i="5"/>
  <c r="AH222" i="5"/>
  <c r="AE222" i="5"/>
  <c r="AD222" i="5"/>
  <c r="AC222" i="5"/>
  <c r="AB222" i="5"/>
  <c r="AA222" i="5"/>
  <c r="AW221" i="5"/>
  <c r="AV221" i="5"/>
  <c r="AT221" i="5"/>
  <c r="AS221" i="5"/>
  <c r="AW220" i="5"/>
  <c r="AV220" i="5"/>
  <c r="AT220" i="5"/>
  <c r="AS220" i="5"/>
  <c r="AK220" i="5"/>
  <c r="AH220" i="5"/>
  <c r="AE220" i="5"/>
  <c r="AD220" i="5"/>
  <c r="AC220" i="5"/>
  <c r="AB220" i="5"/>
  <c r="AA220" i="5"/>
  <c r="AW219" i="5"/>
  <c r="AV219" i="5"/>
  <c r="AT219" i="5"/>
  <c r="AS219" i="5"/>
  <c r="AW218" i="5"/>
  <c r="AV218" i="5"/>
  <c r="AT218" i="5"/>
  <c r="AS218" i="5"/>
  <c r="AK218" i="5"/>
  <c r="AH218" i="5"/>
  <c r="AE218" i="5"/>
  <c r="AD218" i="5"/>
  <c r="AC218" i="5"/>
  <c r="AB218" i="5"/>
  <c r="AA218" i="5"/>
  <c r="AW217" i="5"/>
  <c r="AV217" i="5"/>
  <c r="AT217" i="5"/>
  <c r="AS217" i="5"/>
  <c r="AW216" i="5"/>
  <c r="AV216" i="5"/>
  <c r="AT216" i="5"/>
  <c r="AS216" i="5"/>
  <c r="AK216" i="5"/>
  <c r="AH216" i="5"/>
  <c r="AE216" i="5"/>
  <c r="AD216" i="5"/>
  <c r="AC216" i="5"/>
  <c r="AB216" i="5"/>
  <c r="AA216" i="5"/>
  <c r="AW215" i="5"/>
  <c r="AV215" i="5"/>
  <c r="AT215" i="5"/>
  <c r="AS215" i="5"/>
  <c r="AW214" i="5"/>
  <c r="AV214" i="5"/>
  <c r="AT214" i="5"/>
  <c r="AS214" i="5"/>
  <c r="AK214" i="5"/>
  <c r="AH214" i="5"/>
  <c r="AE214" i="5"/>
  <c r="AD214" i="5"/>
  <c r="AC214" i="5"/>
  <c r="AB214" i="5"/>
  <c r="AA214" i="5"/>
  <c r="AW213" i="5"/>
  <c r="AV213" i="5"/>
  <c r="AT213" i="5"/>
  <c r="AS213" i="5"/>
  <c r="AW212" i="5"/>
  <c r="AV212" i="5"/>
  <c r="AY212" i="5" s="1"/>
  <c r="AT212" i="5"/>
  <c r="AS212" i="5"/>
  <c r="AK212" i="5"/>
  <c r="AH212" i="5"/>
  <c r="AE212" i="5"/>
  <c r="AD212" i="5"/>
  <c r="AC212" i="5"/>
  <c r="AB212" i="5"/>
  <c r="AA212" i="5"/>
  <c r="AW211" i="5"/>
  <c r="AV211" i="5"/>
  <c r="AT211" i="5"/>
  <c r="AS211" i="5"/>
  <c r="AW210" i="5"/>
  <c r="AV210" i="5"/>
  <c r="AT210" i="5"/>
  <c r="AS210" i="5"/>
  <c r="AK210" i="5"/>
  <c r="AH210" i="5"/>
  <c r="AE210" i="5"/>
  <c r="AD210" i="5"/>
  <c r="AC210" i="5"/>
  <c r="AB210" i="5"/>
  <c r="AA210" i="5"/>
  <c r="AW209" i="5"/>
  <c r="AV209" i="5"/>
  <c r="AY209" i="5" s="1"/>
  <c r="AT209" i="5"/>
  <c r="AS209" i="5"/>
  <c r="AW208" i="5"/>
  <c r="AV208" i="5"/>
  <c r="AT208" i="5"/>
  <c r="AS208" i="5"/>
  <c r="AK208" i="5"/>
  <c r="AH208" i="5"/>
  <c r="AE208" i="5"/>
  <c r="AD208" i="5"/>
  <c r="AC208" i="5"/>
  <c r="AB208" i="5"/>
  <c r="AA208" i="5"/>
  <c r="AW207" i="5"/>
  <c r="AV207" i="5"/>
  <c r="AT207" i="5"/>
  <c r="AS207" i="5"/>
  <c r="AW206" i="5"/>
  <c r="AV206" i="5"/>
  <c r="AX206" i="5" s="1"/>
  <c r="AT206" i="5"/>
  <c r="AS206" i="5"/>
  <c r="AK206" i="5"/>
  <c r="AH206" i="5"/>
  <c r="AE206" i="5"/>
  <c r="AD206" i="5"/>
  <c r="AC206" i="5"/>
  <c r="AB206" i="5"/>
  <c r="AA206" i="5"/>
  <c r="AW205" i="5"/>
  <c r="AV205" i="5"/>
  <c r="AT205" i="5"/>
  <c r="AS205" i="5"/>
  <c r="AW204" i="5"/>
  <c r="AV204" i="5"/>
  <c r="AT204" i="5"/>
  <c r="AS204" i="5"/>
  <c r="AK204" i="5"/>
  <c r="AH204" i="5"/>
  <c r="AE204" i="5"/>
  <c r="AD204" i="5"/>
  <c r="AC204" i="5"/>
  <c r="AB204" i="5"/>
  <c r="AA204" i="5"/>
  <c r="AW203" i="5"/>
  <c r="AV203" i="5"/>
  <c r="AT203" i="5"/>
  <c r="AS203" i="5"/>
  <c r="AW202" i="5"/>
  <c r="AV202" i="5"/>
  <c r="AT202" i="5"/>
  <c r="AS202" i="5"/>
  <c r="AK202" i="5"/>
  <c r="AH202" i="5"/>
  <c r="AE202" i="5"/>
  <c r="AD202" i="5"/>
  <c r="AC202" i="5"/>
  <c r="AB202" i="5"/>
  <c r="AA202" i="5"/>
  <c r="AW201" i="5"/>
  <c r="AV201" i="5"/>
  <c r="AT201" i="5"/>
  <c r="AS201" i="5"/>
  <c r="AW200" i="5"/>
  <c r="AV200" i="5"/>
  <c r="AT200" i="5"/>
  <c r="AS200" i="5"/>
  <c r="AS199" i="5"/>
  <c r="N199" i="5"/>
  <c r="M199" i="5"/>
  <c r="AW199" i="5" s="1"/>
  <c r="L199" i="5"/>
  <c r="AV199" i="5" s="1"/>
  <c r="K199" i="5"/>
  <c r="AT199" i="5" s="1"/>
  <c r="J199" i="5"/>
  <c r="I199" i="5"/>
  <c r="AW198" i="5"/>
  <c r="AV198" i="5"/>
  <c r="AY198" i="5" s="1"/>
  <c r="AT198" i="5"/>
  <c r="AS198" i="5"/>
  <c r="AW197" i="5"/>
  <c r="AV197" i="5"/>
  <c r="AT197" i="5"/>
  <c r="AS197" i="5"/>
  <c r="AK197" i="5"/>
  <c r="AH197" i="5"/>
  <c r="AE197" i="5"/>
  <c r="AD197" i="5"/>
  <c r="AC197" i="5"/>
  <c r="AB197" i="5"/>
  <c r="AA197" i="5"/>
  <c r="AW196" i="5"/>
  <c r="AV196" i="5"/>
  <c r="AY196" i="5" s="1"/>
  <c r="AT196" i="5"/>
  <c r="AS196" i="5"/>
  <c r="AW195" i="5"/>
  <c r="AV195" i="5"/>
  <c r="AT195" i="5"/>
  <c r="AS195" i="5"/>
  <c r="AK195" i="5"/>
  <c r="AH195" i="5"/>
  <c r="AE195" i="5"/>
  <c r="AD195" i="5"/>
  <c r="AC195" i="5"/>
  <c r="AB195" i="5"/>
  <c r="AA195" i="5"/>
  <c r="AW194" i="5"/>
  <c r="AV194" i="5"/>
  <c r="AX194" i="5" s="1"/>
  <c r="AT194" i="5"/>
  <c r="AS194" i="5"/>
  <c r="AW193" i="5"/>
  <c r="AV193" i="5"/>
  <c r="AT193" i="5"/>
  <c r="AS193" i="5"/>
  <c r="AK193" i="5"/>
  <c r="AH193" i="5"/>
  <c r="AE193" i="5"/>
  <c r="AD193" i="5"/>
  <c r="AC193" i="5"/>
  <c r="AB193" i="5"/>
  <c r="AA193" i="5"/>
  <c r="AW192" i="5"/>
  <c r="AV192" i="5"/>
  <c r="AT192" i="5"/>
  <c r="AS192" i="5"/>
  <c r="AW191" i="5"/>
  <c r="AV191" i="5"/>
  <c r="AT191" i="5"/>
  <c r="AS191" i="5"/>
  <c r="AK191" i="5"/>
  <c r="AH191" i="5"/>
  <c r="AE191" i="5"/>
  <c r="AD191" i="5"/>
  <c r="AC191" i="5"/>
  <c r="AB191" i="5"/>
  <c r="AA191" i="5"/>
  <c r="AW190" i="5"/>
  <c r="AV190" i="5"/>
  <c r="AT190" i="5"/>
  <c r="AS190" i="5"/>
  <c r="AW189" i="5"/>
  <c r="AV189" i="5"/>
  <c r="AY189" i="5" s="1"/>
  <c r="AT189" i="5"/>
  <c r="AS189" i="5"/>
  <c r="AK189" i="5"/>
  <c r="AH189" i="5"/>
  <c r="AE189" i="5"/>
  <c r="AD189" i="5"/>
  <c r="AC189" i="5"/>
  <c r="AB189" i="5"/>
  <c r="AA189" i="5"/>
  <c r="AW188" i="5"/>
  <c r="AV188" i="5"/>
  <c r="AT188" i="5"/>
  <c r="AS188" i="5"/>
  <c r="AW187" i="5"/>
  <c r="AV187" i="5"/>
  <c r="AY187" i="5" s="1"/>
  <c r="AT187" i="5"/>
  <c r="AS187" i="5"/>
  <c r="AK187" i="5"/>
  <c r="AH187" i="5"/>
  <c r="AE187" i="5"/>
  <c r="AD187" i="5"/>
  <c r="AC187" i="5"/>
  <c r="AB187" i="5"/>
  <c r="AA187" i="5"/>
  <c r="AW186" i="5"/>
  <c r="AV186" i="5"/>
  <c r="AT186" i="5"/>
  <c r="AS186" i="5"/>
  <c r="AW185" i="5"/>
  <c r="AV185" i="5"/>
  <c r="AT185" i="5"/>
  <c r="AS185" i="5"/>
  <c r="AK185" i="5"/>
  <c r="AH185" i="5"/>
  <c r="AE185" i="5"/>
  <c r="AD185" i="5"/>
  <c r="AC185" i="5"/>
  <c r="AB185" i="5"/>
  <c r="AA185" i="5"/>
  <c r="AW184" i="5"/>
  <c r="AV184" i="5"/>
  <c r="AT184" i="5"/>
  <c r="AS184" i="5"/>
  <c r="AW183" i="5"/>
  <c r="AV183" i="5"/>
  <c r="AT183" i="5"/>
  <c r="AS183" i="5"/>
  <c r="AK183" i="5"/>
  <c r="AH183" i="5"/>
  <c r="AE183" i="5"/>
  <c r="AD183" i="5"/>
  <c r="AC183" i="5"/>
  <c r="AB183" i="5"/>
  <c r="AA183" i="5"/>
  <c r="AW182" i="5"/>
  <c r="AV182" i="5"/>
  <c r="AY182" i="5" s="1"/>
  <c r="AT182" i="5"/>
  <c r="AS182" i="5"/>
  <c r="AW181" i="5"/>
  <c r="AV181" i="5"/>
  <c r="AT181" i="5"/>
  <c r="AS181" i="5"/>
  <c r="AK181" i="5"/>
  <c r="AH181" i="5"/>
  <c r="AE181" i="5"/>
  <c r="AD181" i="5"/>
  <c r="AC181" i="5"/>
  <c r="AB181" i="5"/>
  <c r="AA181" i="5"/>
  <c r="AW180" i="5"/>
  <c r="AV180" i="5"/>
  <c r="AT180" i="5"/>
  <c r="AS180" i="5"/>
  <c r="AW179" i="5"/>
  <c r="AV179" i="5"/>
  <c r="AT179" i="5"/>
  <c r="AS179" i="5"/>
  <c r="AK179" i="5"/>
  <c r="AH179" i="5"/>
  <c r="AE179" i="5"/>
  <c r="AD179" i="5"/>
  <c r="AC179" i="5"/>
  <c r="AB179" i="5"/>
  <c r="AA179" i="5"/>
  <c r="AW178" i="5"/>
  <c r="AV178" i="5"/>
  <c r="AT178" i="5"/>
  <c r="AS178" i="5"/>
  <c r="AW177" i="5"/>
  <c r="AV177" i="5"/>
  <c r="AT177" i="5"/>
  <c r="AS177" i="5"/>
  <c r="AK177" i="5"/>
  <c r="AH177" i="5"/>
  <c r="AE177" i="5"/>
  <c r="AD177" i="5"/>
  <c r="AC177" i="5"/>
  <c r="AB177" i="5"/>
  <c r="AA177" i="5"/>
  <c r="AW176" i="5"/>
  <c r="AV176" i="5"/>
  <c r="AT176" i="5"/>
  <c r="AS176" i="5"/>
  <c r="AW175" i="5"/>
  <c r="AV175" i="5"/>
  <c r="AT175" i="5"/>
  <c r="AS175" i="5"/>
  <c r="AS174" i="5"/>
  <c r="AA174" i="5"/>
  <c r="N174" i="5"/>
  <c r="M174" i="5"/>
  <c r="AW174" i="5" s="1"/>
  <c r="L174" i="5"/>
  <c r="AV174" i="5" s="1"/>
  <c r="K174" i="5"/>
  <c r="K318" i="5" s="1"/>
  <c r="K320" i="5" s="1"/>
  <c r="K322" i="5" s="1"/>
  <c r="J174" i="5"/>
  <c r="I174" i="5"/>
  <c r="AW173" i="5"/>
  <c r="AV173" i="5"/>
  <c r="AT173" i="5"/>
  <c r="AS173" i="5"/>
  <c r="AW172" i="5"/>
  <c r="AV172" i="5"/>
  <c r="AT172" i="5"/>
  <c r="AS172" i="5"/>
  <c r="AK172" i="5"/>
  <c r="AH172" i="5"/>
  <c r="AE172" i="5"/>
  <c r="AD172" i="5"/>
  <c r="AC172" i="5"/>
  <c r="AB172" i="5"/>
  <c r="AA172" i="5"/>
  <c r="AW171" i="5"/>
  <c r="AV171" i="5"/>
  <c r="AT171" i="5"/>
  <c r="AS171" i="5"/>
  <c r="AW170" i="5"/>
  <c r="AV170" i="5"/>
  <c r="AT170" i="5"/>
  <c r="AS170" i="5"/>
  <c r="AK170" i="5"/>
  <c r="AH170" i="5"/>
  <c r="AE170" i="5"/>
  <c r="AD170" i="5"/>
  <c r="AC170" i="5"/>
  <c r="AB170" i="5"/>
  <c r="AA170" i="5"/>
  <c r="AW169" i="5"/>
  <c r="AV169" i="5"/>
  <c r="AT169" i="5"/>
  <c r="AS169" i="5"/>
  <c r="AW168" i="5"/>
  <c r="AV168" i="5"/>
  <c r="AT168" i="5"/>
  <c r="AS168" i="5"/>
  <c r="AK168" i="5"/>
  <c r="AH168" i="5"/>
  <c r="AE168" i="5"/>
  <c r="AD168" i="5"/>
  <c r="AC168" i="5"/>
  <c r="AB168" i="5"/>
  <c r="AA168" i="5"/>
  <c r="AW167" i="5"/>
  <c r="AV167" i="5"/>
  <c r="AT167" i="5"/>
  <c r="AS167" i="5"/>
  <c r="AW166" i="5"/>
  <c r="AV166" i="5"/>
  <c r="AT166" i="5"/>
  <c r="AS166" i="5"/>
  <c r="AK166" i="5"/>
  <c r="AH166" i="5"/>
  <c r="AE166" i="5"/>
  <c r="AD166" i="5"/>
  <c r="AC166" i="5"/>
  <c r="AB166" i="5"/>
  <c r="AA166" i="5"/>
  <c r="AW165" i="5"/>
  <c r="AV165" i="5"/>
  <c r="AT165" i="5"/>
  <c r="AS165" i="5"/>
  <c r="AW164" i="5"/>
  <c r="AV164" i="5"/>
  <c r="AT164" i="5"/>
  <c r="AS164" i="5"/>
  <c r="AK164" i="5"/>
  <c r="AH164" i="5"/>
  <c r="AE164" i="5"/>
  <c r="AD164" i="5"/>
  <c r="AC164" i="5"/>
  <c r="AB164" i="5"/>
  <c r="AA164" i="5"/>
  <c r="AW163" i="5"/>
  <c r="AV163" i="5"/>
  <c r="AT163" i="5"/>
  <c r="AS163" i="5"/>
  <c r="AW162" i="5"/>
  <c r="AV162" i="5"/>
  <c r="AT162" i="5"/>
  <c r="AS162" i="5"/>
  <c r="AK162" i="5"/>
  <c r="AH162" i="5"/>
  <c r="AE162" i="5"/>
  <c r="AD162" i="5"/>
  <c r="AC162" i="5"/>
  <c r="AB162" i="5"/>
  <c r="AA162" i="5"/>
  <c r="AW161" i="5"/>
  <c r="AV161" i="5"/>
  <c r="AT161" i="5"/>
  <c r="AS161" i="5"/>
  <c r="AW160" i="5"/>
  <c r="AV160" i="5"/>
  <c r="AT160" i="5"/>
  <c r="AS160" i="5"/>
  <c r="AK160" i="5"/>
  <c r="AH160" i="5"/>
  <c r="AE160" i="5"/>
  <c r="AD160" i="5"/>
  <c r="AC160" i="5"/>
  <c r="AB160" i="5"/>
  <c r="AA160" i="5"/>
  <c r="AW159" i="5"/>
  <c r="AV159" i="5"/>
  <c r="AT159" i="5"/>
  <c r="AS159" i="5"/>
  <c r="AW158" i="5"/>
  <c r="AV158" i="5"/>
  <c r="AT158" i="5"/>
  <c r="AS158" i="5"/>
  <c r="AK158" i="5"/>
  <c r="AH158" i="5"/>
  <c r="AE158" i="5"/>
  <c r="AD158" i="5"/>
  <c r="AC158" i="5"/>
  <c r="AB158" i="5"/>
  <c r="AA158" i="5"/>
  <c r="AW157" i="5"/>
  <c r="AV157" i="5"/>
  <c r="AT157" i="5"/>
  <c r="AS157" i="5"/>
  <c r="AW156" i="5"/>
  <c r="AV156" i="5"/>
  <c r="AT156" i="5"/>
  <c r="AS156" i="5"/>
  <c r="AS155" i="5"/>
  <c r="M155" i="5"/>
  <c r="AW155" i="5" s="1"/>
  <c r="L155" i="5"/>
  <c r="AV155" i="5" s="1"/>
  <c r="K155" i="5"/>
  <c r="K308" i="5" s="1"/>
  <c r="K310" i="5" s="1"/>
  <c r="J155" i="5"/>
  <c r="I155" i="5"/>
  <c r="AW154" i="5"/>
  <c r="AV154" i="5"/>
  <c r="AT154" i="5"/>
  <c r="AS154" i="5"/>
  <c r="AW153" i="5"/>
  <c r="AV153" i="5"/>
  <c r="AT153" i="5"/>
  <c r="AS153" i="5"/>
  <c r="AK153" i="5"/>
  <c r="AH153" i="5"/>
  <c r="AE153" i="5"/>
  <c r="AD153" i="5"/>
  <c r="AC153" i="5"/>
  <c r="AB153" i="5"/>
  <c r="AA153" i="5"/>
  <c r="AW152" i="5"/>
  <c r="AV152" i="5"/>
  <c r="AT152" i="5"/>
  <c r="AS152" i="5"/>
  <c r="AW151" i="5"/>
  <c r="AV151" i="5"/>
  <c r="AT151" i="5"/>
  <c r="AS151" i="5"/>
  <c r="AK151" i="5"/>
  <c r="AH151" i="5"/>
  <c r="AE151" i="5"/>
  <c r="AD151" i="5"/>
  <c r="AC151" i="5"/>
  <c r="AB151" i="5"/>
  <c r="AA151" i="5"/>
  <c r="AW150" i="5"/>
  <c r="AV150" i="5"/>
  <c r="AT150" i="5"/>
  <c r="AS150" i="5"/>
  <c r="AW149" i="5"/>
  <c r="AV149" i="5"/>
  <c r="AT149" i="5"/>
  <c r="AS149" i="5"/>
  <c r="AK149" i="5"/>
  <c r="AH149" i="5"/>
  <c r="AE149" i="5"/>
  <c r="AD149" i="5"/>
  <c r="AC149" i="5"/>
  <c r="AB149" i="5"/>
  <c r="AA149" i="5"/>
  <c r="AW148" i="5"/>
  <c r="AV148" i="5"/>
  <c r="AT148" i="5"/>
  <c r="AS148" i="5"/>
  <c r="AW147" i="5"/>
  <c r="AV147" i="5"/>
  <c r="AT147" i="5"/>
  <c r="AS147" i="5"/>
  <c r="AK147" i="5"/>
  <c r="AH147" i="5"/>
  <c r="AE147" i="5"/>
  <c r="AD147" i="5"/>
  <c r="AC147" i="5"/>
  <c r="AB147" i="5"/>
  <c r="AA147" i="5"/>
  <c r="AW146" i="5"/>
  <c r="AV146" i="5"/>
  <c r="AT146" i="5"/>
  <c r="AS146" i="5"/>
  <c r="N146" i="5"/>
  <c r="AW145" i="5"/>
  <c r="AV145" i="5"/>
  <c r="AT145" i="5"/>
  <c r="AS145" i="5"/>
  <c r="AK145" i="5"/>
  <c r="AH145" i="5"/>
  <c r="AE145" i="5"/>
  <c r="AC145" i="5"/>
  <c r="AB145" i="5"/>
  <c r="AA145" i="5"/>
  <c r="N145" i="5"/>
  <c r="AD145" i="5" s="1"/>
  <c r="AW144" i="5"/>
  <c r="AV144" i="5"/>
  <c r="AT144" i="5"/>
  <c r="AS144" i="5"/>
  <c r="AW143" i="5"/>
  <c r="AV143" i="5"/>
  <c r="AT143" i="5"/>
  <c r="AS143" i="5"/>
  <c r="AK143" i="5"/>
  <c r="AH143" i="5"/>
  <c r="AD143" i="5"/>
  <c r="AC143" i="5"/>
  <c r="AB143" i="5"/>
  <c r="AA143" i="5"/>
  <c r="AW142" i="5"/>
  <c r="AV142" i="5"/>
  <c r="AY142" i="5" s="1"/>
  <c r="AT142" i="5"/>
  <c r="AS142" i="5"/>
  <c r="AW141" i="5"/>
  <c r="AV141" i="5"/>
  <c r="AT141" i="5"/>
  <c r="AS141" i="5"/>
  <c r="AK141" i="5"/>
  <c r="AH141" i="5"/>
  <c r="AD141" i="5"/>
  <c r="AC141" i="5"/>
  <c r="AB141" i="5"/>
  <c r="AA141" i="5"/>
  <c r="AW140" i="5"/>
  <c r="AV140" i="5"/>
  <c r="AT140" i="5"/>
  <c r="AS140" i="5"/>
  <c r="N140" i="5"/>
  <c r="AW139" i="5"/>
  <c r="AV139" i="5"/>
  <c r="AY139" i="5" s="1"/>
  <c r="AT139" i="5"/>
  <c r="AS139" i="5"/>
  <c r="AK139" i="5"/>
  <c r="AH139" i="5"/>
  <c r="AE139" i="5"/>
  <c r="AC139" i="5"/>
  <c r="AB139" i="5"/>
  <c r="AA139" i="5"/>
  <c r="N139" i="5"/>
  <c r="AD139" i="5" s="1"/>
  <c r="AW138" i="5"/>
  <c r="AV138" i="5"/>
  <c r="AY138" i="5" s="1"/>
  <c r="AT138" i="5"/>
  <c r="AS138" i="5"/>
  <c r="AW137" i="5"/>
  <c r="AV137" i="5"/>
  <c r="AX137" i="5" s="1"/>
  <c r="AT137" i="5"/>
  <c r="AS137" i="5"/>
  <c r="AS136" i="5"/>
  <c r="N136" i="5"/>
  <c r="M136" i="5"/>
  <c r="AW136" i="5" s="1"/>
  <c r="L136" i="5"/>
  <c r="AV136" i="5" s="1"/>
  <c r="K136" i="5"/>
  <c r="K298" i="5" s="1"/>
  <c r="K300" i="5" s="1"/>
  <c r="J136" i="5"/>
  <c r="I136" i="5"/>
  <c r="AW135" i="5"/>
  <c r="AV135" i="5"/>
  <c r="AT135" i="5"/>
  <c r="AS135" i="5"/>
  <c r="AW134" i="5"/>
  <c r="AV134" i="5"/>
  <c r="AT134" i="5"/>
  <c r="AS134" i="5"/>
  <c r="AK134" i="5"/>
  <c r="AH134" i="5"/>
  <c r="AE134" i="5"/>
  <c r="AD134" i="5"/>
  <c r="AC134" i="5"/>
  <c r="AB134" i="5"/>
  <c r="AA134" i="5"/>
  <c r="AW133" i="5"/>
  <c r="AV133" i="5"/>
  <c r="AT133" i="5"/>
  <c r="AS133" i="5"/>
  <c r="AW132" i="5"/>
  <c r="AV132" i="5"/>
  <c r="AT132" i="5"/>
  <c r="AS132" i="5"/>
  <c r="AK132" i="5"/>
  <c r="AH132" i="5"/>
  <c r="AE132" i="5"/>
  <c r="AD132" i="5"/>
  <c r="AC132" i="5"/>
  <c r="AB132" i="5"/>
  <c r="AA132" i="5"/>
  <c r="AW131" i="5"/>
  <c r="AV131" i="5"/>
  <c r="AT131" i="5"/>
  <c r="AS131" i="5"/>
  <c r="AW130" i="5"/>
  <c r="AV130" i="5"/>
  <c r="AT130" i="5"/>
  <c r="AS130" i="5"/>
  <c r="AK130" i="5"/>
  <c r="AH130" i="5"/>
  <c r="AE130" i="5"/>
  <c r="AD130" i="5"/>
  <c r="AC130" i="5"/>
  <c r="AB130" i="5"/>
  <c r="AA130" i="5"/>
  <c r="AW129" i="5"/>
  <c r="AV129" i="5"/>
  <c r="AT129" i="5"/>
  <c r="AS129" i="5"/>
  <c r="AW128" i="5"/>
  <c r="AV128" i="5"/>
  <c r="AT128" i="5"/>
  <c r="AS128" i="5"/>
  <c r="AK128" i="5"/>
  <c r="AH128" i="5"/>
  <c r="AD128" i="5"/>
  <c r="AC128" i="5"/>
  <c r="AB128" i="5"/>
  <c r="AA128" i="5"/>
  <c r="AW127" i="5"/>
  <c r="AV127" i="5"/>
  <c r="AT127" i="5"/>
  <c r="AS127" i="5"/>
  <c r="AW126" i="5"/>
  <c r="AV126" i="5"/>
  <c r="AT126" i="5"/>
  <c r="AS126" i="5"/>
  <c r="AK126" i="5"/>
  <c r="AH126" i="5"/>
  <c r="AD126" i="5"/>
  <c r="AC126" i="5"/>
  <c r="AB126" i="5"/>
  <c r="AA126" i="5"/>
  <c r="AW125" i="5"/>
  <c r="AV125" i="5"/>
  <c r="AT125" i="5"/>
  <c r="AS125" i="5"/>
  <c r="AW124" i="5"/>
  <c r="AV124" i="5"/>
  <c r="AT124" i="5"/>
  <c r="AS124" i="5"/>
  <c r="AK124" i="5"/>
  <c r="AH124" i="5"/>
  <c r="AD124" i="5"/>
  <c r="AC124" i="5"/>
  <c r="AB124" i="5"/>
  <c r="AA124" i="5"/>
  <c r="AW122" i="5"/>
  <c r="AV122" i="5"/>
  <c r="AT122" i="5"/>
  <c r="AS122" i="5"/>
  <c r="AK122" i="5"/>
  <c r="AH122" i="5"/>
  <c r="AD122" i="5"/>
  <c r="AC122" i="5"/>
  <c r="AB122" i="5"/>
  <c r="AA122" i="5"/>
  <c r="AW121" i="5"/>
  <c r="AV121" i="5"/>
  <c r="AT121" i="5"/>
  <c r="AS121" i="5"/>
  <c r="AW120" i="5"/>
  <c r="AV120" i="5"/>
  <c r="AT120" i="5"/>
  <c r="AS120" i="5"/>
  <c r="AK120" i="5"/>
  <c r="AH120" i="5"/>
  <c r="AD120" i="5"/>
  <c r="AC120" i="5"/>
  <c r="AB120" i="5"/>
  <c r="AA120" i="5"/>
  <c r="AW119" i="5"/>
  <c r="AV119" i="5"/>
  <c r="AT119" i="5"/>
  <c r="AS119" i="5"/>
  <c r="AW118" i="5"/>
  <c r="AV118" i="5"/>
  <c r="AT118" i="5"/>
  <c r="AS118" i="5"/>
  <c r="AK118" i="5"/>
  <c r="AH118" i="5"/>
  <c r="AD118" i="5"/>
  <c r="AC118" i="5"/>
  <c r="AB118" i="5"/>
  <c r="AA118" i="5"/>
  <c r="AW115" i="5"/>
  <c r="AV115" i="5"/>
  <c r="AT115" i="5"/>
  <c r="AS115" i="5"/>
  <c r="AW114" i="5"/>
  <c r="AV114" i="5"/>
  <c r="AT114" i="5"/>
  <c r="AS114" i="5"/>
  <c r="AS113" i="5"/>
  <c r="M113" i="5"/>
  <c r="AW113" i="5" s="1"/>
  <c r="L113" i="5"/>
  <c r="AV113" i="5" s="1"/>
  <c r="K113" i="5"/>
  <c r="K288" i="5" s="1"/>
  <c r="K290" i="5" s="1"/>
  <c r="AW112" i="5"/>
  <c r="AV112" i="5"/>
  <c r="AT112" i="5"/>
  <c r="AS112" i="5"/>
  <c r="AW111" i="5"/>
  <c r="AV111" i="5"/>
  <c r="AT111" i="5"/>
  <c r="AS111" i="5"/>
  <c r="AK111" i="5"/>
  <c r="AH111" i="5"/>
  <c r="AE111" i="5"/>
  <c r="AD111" i="5"/>
  <c r="AC111" i="5"/>
  <c r="AB111" i="5"/>
  <c r="AA111" i="5"/>
  <c r="AW110" i="5"/>
  <c r="AV110" i="5"/>
  <c r="AT110" i="5"/>
  <c r="AS110" i="5"/>
  <c r="N110" i="5"/>
  <c r="AW109" i="5"/>
  <c r="AV109" i="5"/>
  <c r="AT109" i="5"/>
  <c r="AS109" i="5"/>
  <c r="AK109" i="5"/>
  <c r="AH109" i="5"/>
  <c r="AE109" i="5"/>
  <c r="AC109" i="5"/>
  <c r="AB109" i="5"/>
  <c r="N109" i="5"/>
  <c r="AD109" i="5" s="1"/>
  <c r="AW108" i="5"/>
  <c r="AV108" i="5"/>
  <c r="AT108" i="5"/>
  <c r="AS108" i="5"/>
  <c r="AW107" i="5"/>
  <c r="AV107" i="5"/>
  <c r="AT107" i="5"/>
  <c r="AS107" i="5"/>
  <c r="AK107" i="5"/>
  <c r="AH107" i="5"/>
  <c r="AE107" i="5"/>
  <c r="AC107" i="5"/>
  <c r="AB107" i="5"/>
  <c r="N107" i="5"/>
  <c r="J107" i="5"/>
  <c r="AW106" i="5"/>
  <c r="AV106" i="5"/>
  <c r="AT106" i="5"/>
  <c r="AS106" i="5"/>
  <c r="N106" i="5"/>
  <c r="AW105" i="5"/>
  <c r="AV105" i="5"/>
  <c r="AT105" i="5"/>
  <c r="AS105" i="5"/>
  <c r="AK105" i="5"/>
  <c r="AH105" i="5"/>
  <c r="AE105" i="5"/>
  <c r="AC105" i="5"/>
  <c r="AB105" i="5"/>
  <c r="N105" i="5"/>
  <c r="J105" i="5"/>
  <c r="AW104" i="5"/>
  <c r="AV104" i="5"/>
  <c r="AT104" i="5"/>
  <c r="AS104" i="5"/>
  <c r="AW103" i="5"/>
  <c r="AV103" i="5"/>
  <c r="AT103" i="5"/>
  <c r="AS103" i="5"/>
  <c r="AK103" i="5"/>
  <c r="AH103" i="5"/>
  <c r="I103" i="5" s="1"/>
  <c r="AE103" i="5"/>
  <c r="AC103" i="5"/>
  <c r="AB103" i="5"/>
  <c r="N103" i="5"/>
  <c r="J103" i="5"/>
  <c r="AW102" i="5"/>
  <c r="AV102" i="5"/>
  <c r="AT102" i="5"/>
  <c r="AS102" i="5"/>
  <c r="N102" i="5"/>
  <c r="AW101" i="5"/>
  <c r="AV101" i="5"/>
  <c r="AT101" i="5"/>
  <c r="AS101" i="5"/>
  <c r="AK101" i="5"/>
  <c r="AH101" i="5"/>
  <c r="AE101" i="5"/>
  <c r="AC101" i="5"/>
  <c r="AB101" i="5"/>
  <c r="N101" i="5"/>
  <c r="J101" i="5"/>
  <c r="AW100" i="5"/>
  <c r="AV100" i="5"/>
  <c r="AY100" i="5" s="1"/>
  <c r="AT100" i="5"/>
  <c r="AS100" i="5"/>
  <c r="AW99" i="5"/>
  <c r="AV99" i="5"/>
  <c r="AT99" i="5"/>
  <c r="AS99" i="5"/>
  <c r="AS98" i="5"/>
  <c r="M98" i="5"/>
  <c r="AW98" i="5" s="1"/>
  <c r="L98" i="5"/>
  <c r="AV98" i="5" s="1"/>
  <c r="K98" i="5"/>
  <c r="AT98" i="5" s="1"/>
  <c r="AW97" i="5"/>
  <c r="AV97" i="5"/>
  <c r="AT97" i="5"/>
  <c r="AS97" i="5"/>
  <c r="N97" i="5"/>
  <c r="AW96" i="5"/>
  <c r="AV96" i="5"/>
  <c r="AT96" i="5"/>
  <c r="AS96" i="5"/>
  <c r="AK96" i="5"/>
  <c r="AH96" i="5"/>
  <c r="AE96" i="5"/>
  <c r="AC96" i="5"/>
  <c r="AB96" i="5"/>
  <c r="N96" i="5"/>
  <c r="J96" i="5"/>
  <c r="AW95" i="5"/>
  <c r="AV95" i="5"/>
  <c r="AT95" i="5"/>
  <c r="AS95" i="5"/>
  <c r="N95" i="5"/>
  <c r="AW94" i="5"/>
  <c r="AV94" i="5"/>
  <c r="AT94" i="5"/>
  <c r="AS94" i="5"/>
  <c r="AK94" i="5"/>
  <c r="AH94" i="5"/>
  <c r="AE94" i="5"/>
  <c r="AC94" i="5"/>
  <c r="AB94" i="5"/>
  <c r="N94" i="5"/>
  <c r="J94" i="5"/>
  <c r="AW93" i="5"/>
  <c r="AV93" i="5"/>
  <c r="AT93" i="5"/>
  <c r="AS93" i="5"/>
  <c r="N93" i="5"/>
  <c r="AW92" i="5"/>
  <c r="AV92" i="5"/>
  <c r="AT92" i="5"/>
  <c r="AS92" i="5"/>
  <c r="AK92" i="5"/>
  <c r="AH92" i="5"/>
  <c r="AE92" i="5"/>
  <c r="AC92" i="5"/>
  <c r="AB92" i="5"/>
  <c r="N92" i="5"/>
  <c r="J92" i="5"/>
  <c r="AW91" i="5"/>
  <c r="AV91" i="5"/>
  <c r="AT91" i="5"/>
  <c r="AS91" i="5"/>
  <c r="AW90" i="5"/>
  <c r="AV90" i="5"/>
  <c r="AT90" i="5"/>
  <c r="AS90" i="5"/>
  <c r="AK90" i="5"/>
  <c r="AH90" i="5"/>
  <c r="AE90" i="5"/>
  <c r="AC90" i="5"/>
  <c r="AB90" i="5"/>
  <c r="N90" i="5"/>
  <c r="J90" i="5"/>
  <c r="AW89" i="5"/>
  <c r="AV89" i="5"/>
  <c r="AT89" i="5"/>
  <c r="AS89" i="5"/>
  <c r="AW88" i="5"/>
  <c r="AV88" i="5"/>
  <c r="AT88" i="5"/>
  <c r="AS88" i="5"/>
  <c r="AK88" i="5"/>
  <c r="AH88" i="5"/>
  <c r="AE88" i="5"/>
  <c r="AC88" i="5"/>
  <c r="AB88" i="5"/>
  <c r="N88" i="5"/>
  <c r="J88" i="5"/>
  <c r="AW87" i="5"/>
  <c r="AV87" i="5"/>
  <c r="AT87" i="5"/>
  <c r="AS87" i="5"/>
  <c r="AW86" i="5"/>
  <c r="AV86" i="5"/>
  <c r="AT86" i="5"/>
  <c r="AS86" i="5"/>
  <c r="AS85" i="5"/>
  <c r="M85" i="5"/>
  <c r="AW85" i="5" s="1"/>
  <c r="L85" i="5"/>
  <c r="AV85" i="5" s="1"/>
  <c r="K85" i="5"/>
  <c r="AT85" i="5" s="1"/>
  <c r="AW84" i="5"/>
  <c r="AV84" i="5"/>
  <c r="AT84" i="5"/>
  <c r="AS84" i="5"/>
  <c r="N84" i="5"/>
  <c r="AW83" i="5"/>
  <c r="AV83" i="5"/>
  <c r="AT83" i="5"/>
  <c r="AS83" i="5"/>
  <c r="AK83" i="5"/>
  <c r="AH83" i="5"/>
  <c r="AE83" i="5"/>
  <c r="AC83" i="5"/>
  <c r="AB83" i="5"/>
  <c r="N83" i="5"/>
  <c r="J83" i="5"/>
  <c r="AW82" i="5"/>
  <c r="AV82" i="5"/>
  <c r="AT82" i="5"/>
  <c r="AS82" i="5"/>
  <c r="AW81" i="5"/>
  <c r="AV81" i="5"/>
  <c r="AT81" i="5"/>
  <c r="AS81" i="5"/>
  <c r="AK81" i="5"/>
  <c r="AH81" i="5"/>
  <c r="AE81" i="5"/>
  <c r="AC81" i="5"/>
  <c r="AB81" i="5"/>
  <c r="N81" i="5"/>
  <c r="J81" i="5"/>
  <c r="AW80" i="5"/>
  <c r="AV80" i="5"/>
  <c r="AT80" i="5"/>
  <c r="AS80" i="5"/>
  <c r="AW79" i="5"/>
  <c r="AV79" i="5"/>
  <c r="AT79" i="5"/>
  <c r="AS79" i="5"/>
  <c r="AK79" i="5"/>
  <c r="AH79" i="5"/>
  <c r="AE79" i="5"/>
  <c r="AC79" i="5"/>
  <c r="AB79" i="5"/>
  <c r="N79" i="5"/>
  <c r="J79" i="5"/>
  <c r="AW78" i="5"/>
  <c r="AV78" i="5"/>
  <c r="AT78" i="5"/>
  <c r="AS78" i="5"/>
  <c r="N78" i="5"/>
  <c r="AW77" i="5"/>
  <c r="AV77" i="5"/>
  <c r="AT77" i="5"/>
  <c r="AS77" i="5"/>
  <c r="AK77" i="5"/>
  <c r="AH77" i="5"/>
  <c r="N77" i="5"/>
  <c r="AW76" i="5"/>
  <c r="AV76" i="5"/>
  <c r="AT76" i="5"/>
  <c r="AS76" i="5"/>
  <c r="AW75" i="5"/>
  <c r="AV75" i="5"/>
  <c r="AY75" i="5" s="1"/>
  <c r="AT75" i="5"/>
  <c r="AS75" i="5"/>
  <c r="AK75" i="5"/>
  <c r="AH75" i="5"/>
  <c r="AE75" i="5"/>
  <c r="AC75" i="5"/>
  <c r="AB75" i="5"/>
  <c r="N75" i="5"/>
  <c r="J75" i="5"/>
  <c r="AW74" i="5"/>
  <c r="AV74" i="5"/>
  <c r="AT74" i="5"/>
  <c r="AS74" i="5"/>
  <c r="N74" i="5"/>
  <c r="AW73" i="5"/>
  <c r="AV73" i="5"/>
  <c r="AT73" i="5"/>
  <c r="AS73" i="5"/>
  <c r="AK73" i="5"/>
  <c r="AH73" i="5"/>
  <c r="AE73" i="5"/>
  <c r="AC73" i="5"/>
  <c r="AB73" i="5"/>
  <c r="N73" i="5"/>
  <c r="J73" i="5"/>
  <c r="AW72" i="5"/>
  <c r="AV72" i="5"/>
  <c r="AT72" i="5"/>
  <c r="AS72" i="5"/>
  <c r="AW71" i="5"/>
  <c r="AV71" i="5"/>
  <c r="AT71" i="5"/>
  <c r="AS71" i="5"/>
  <c r="AK71" i="5"/>
  <c r="AH71" i="5"/>
  <c r="AA71" i="5" s="1"/>
  <c r="AE71" i="5"/>
  <c r="AC71" i="5"/>
  <c r="AB71" i="5"/>
  <c r="N71" i="5"/>
  <c r="J71" i="5"/>
  <c r="AW70" i="5"/>
  <c r="AV70" i="5"/>
  <c r="AT70" i="5"/>
  <c r="AS70" i="5"/>
  <c r="N70" i="5"/>
  <c r="AW69" i="5"/>
  <c r="AV69" i="5"/>
  <c r="AT69" i="5"/>
  <c r="AS69" i="5"/>
  <c r="AS68" i="5"/>
  <c r="M68" i="5"/>
  <c r="AW68" i="5" s="1"/>
  <c r="L68" i="5"/>
  <c r="AV68" i="5" s="1"/>
  <c r="K68" i="5"/>
  <c r="AT68" i="5" s="1"/>
  <c r="AW67" i="5"/>
  <c r="AV67" i="5"/>
  <c r="AT67" i="5"/>
  <c r="AS67" i="5"/>
  <c r="AW66" i="5"/>
  <c r="AV66" i="5"/>
  <c r="AT66" i="5"/>
  <c r="AS66" i="5"/>
  <c r="AK66" i="5"/>
  <c r="AH66" i="5"/>
  <c r="AE66" i="5"/>
  <c r="AC66" i="5"/>
  <c r="AB66" i="5"/>
  <c r="N66" i="5"/>
  <c r="J66" i="5"/>
  <c r="AW65" i="5"/>
  <c r="AV65" i="5"/>
  <c r="AT65" i="5"/>
  <c r="AS65" i="5"/>
  <c r="AW64" i="5"/>
  <c r="AV64" i="5"/>
  <c r="AT64" i="5"/>
  <c r="AS64" i="5"/>
  <c r="AK64" i="5"/>
  <c r="AH64" i="5"/>
  <c r="AE64" i="5"/>
  <c r="AC64" i="5"/>
  <c r="AB64" i="5"/>
  <c r="N64" i="5"/>
  <c r="J64" i="5"/>
  <c r="AW63" i="5"/>
  <c r="AV63" i="5"/>
  <c r="AT63" i="5"/>
  <c r="AS63" i="5"/>
  <c r="AW62" i="5"/>
  <c r="AV62" i="5"/>
  <c r="AT62" i="5"/>
  <c r="AS62" i="5"/>
  <c r="AK62" i="5"/>
  <c r="AH62" i="5"/>
  <c r="AE62" i="5"/>
  <c r="AC62" i="5"/>
  <c r="AB62" i="5"/>
  <c r="N62" i="5"/>
  <c r="J62" i="5"/>
  <c r="AW61" i="5"/>
  <c r="AV61" i="5"/>
  <c r="AT61" i="5"/>
  <c r="AS61" i="5"/>
  <c r="AW60" i="5"/>
  <c r="AV60" i="5"/>
  <c r="AT60" i="5"/>
  <c r="AS60" i="5"/>
  <c r="AS59" i="5"/>
  <c r="K59" i="5"/>
  <c r="AT59" i="5" s="1"/>
  <c r="AW58" i="5"/>
  <c r="AV58" i="5"/>
  <c r="AT58" i="5"/>
  <c r="AS58" i="5"/>
  <c r="N58" i="5"/>
  <c r="AW57" i="5"/>
  <c r="AV57" i="5"/>
  <c r="AT57" i="5"/>
  <c r="AS57" i="5"/>
  <c r="AK57" i="5"/>
  <c r="AH57" i="5"/>
  <c r="AE57" i="5"/>
  <c r="AC57" i="5"/>
  <c r="AB57" i="5"/>
  <c r="N57" i="5"/>
  <c r="J57" i="5"/>
  <c r="AW56" i="5"/>
  <c r="AV56" i="5"/>
  <c r="AT56" i="5"/>
  <c r="AS56" i="5"/>
  <c r="N56" i="5"/>
  <c r="AT55" i="5"/>
  <c r="AS55" i="5"/>
  <c r="AK55" i="5"/>
  <c r="AH55" i="5"/>
  <c r="AA55" i="5" s="1"/>
  <c r="AE55" i="5"/>
  <c r="AC55" i="5"/>
  <c r="AB55" i="5"/>
  <c r="M55" i="5"/>
  <c r="M59" i="5" s="1"/>
  <c r="AW59" i="5" s="1"/>
  <c r="L55" i="5"/>
  <c r="J55" i="5"/>
  <c r="AW54" i="5"/>
  <c r="AV54" i="5"/>
  <c r="AT54" i="5"/>
  <c r="AS54" i="5"/>
  <c r="AW53" i="5"/>
  <c r="AV53" i="5"/>
  <c r="AT53" i="5"/>
  <c r="AS53" i="5"/>
  <c r="AK53" i="5"/>
  <c r="AH53" i="5"/>
  <c r="AE53" i="5"/>
  <c r="AC53" i="5"/>
  <c r="AB53" i="5"/>
  <c r="N53" i="5"/>
  <c r="J53" i="5"/>
  <c r="AW52" i="5"/>
  <c r="AV52" i="5"/>
  <c r="AT52" i="5"/>
  <c r="AS52" i="5"/>
  <c r="N52" i="5"/>
  <c r="AW51" i="5"/>
  <c r="AV51" i="5"/>
  <c r="AT51" i="5"/>
  <c r="AS51" i="5"/>
  <c r="AK51" i="5"/>
  <c r="AH51" i="5"/>
  <c r="AE51" i="5"/>
  <c r="AC51" i="5"/>
  <c r="AB51" i="5"/>
  <c r="N51" i="5"/>
  <c r="J51" i="5"/>
  <c r="AW50" i="5"/>
  <c r="AV50" i="5"/>
  <c r="AT50" i="5"/>
  <c r="AS50" i="5"/>
  <c r="AW49" i="5"/>
  <c r="AV49" i="5"/>
  <c r="AT49" i="5"/>
  <c r="AS49" i="5"/>
  <c r="AS48" i="5"/>
  <c r="M48" i="5"/>
  <c r="AW48" i="5" s="1"/>
  <c r="L48" i="5"/>
  <c r="AV48" i="5" s="1"/>
  <c r="K48" i="5"/>
  <c r="AT48" i="5" s="1"/>
  <c r="AW47" i="5"/>
  <c r="AV47" i="5"/>
  <c r="AT47" i="5"/>
  <c r="AS47" i="5"/>
  <c r="N47" i="5"/>
  <c r="AW46" i="5"/>
  <c r="AV46" i="5"/>
  <c r="AT46" i="5"/>
  <c r="AS46" i="5"/>
  <c r="AK46" i="5"/>
  <c r="AH46" i="5"/>
  <c r="AE46" i="5"/>
  <c r="AC46" i="5"/>
  <c r="AB46" i="5"/>
  <c r="N46" i="5"/>
  <c r="J46" i="5"/>
  <c r="AW45" i="5"/>
  <c r="AV45" i="5"/>
  <c r="AT45" i="5"/>
  <c r="AS45" i="5"/>
  <c r="AW44" i="5"/>
  <c r="AV44" i="5"/>
  <c r="AT44" i="5"/>
  <c r="AS44" i="5"/>
  <c r="AK44" i="5"/>
  <c r="AH44" i="5"/>
  <c r="AE44" i="5"/>
  <c r="AC44" i="5"/>
  <c r="AB44" i="5"/>
  <c r="N44" i="5"/>
  <c r="J44" i="5"/>
  <c r="AW43" i="5"/>
  <c r="AV43" i="5"/>
  <c r="AT43" i="5"/>
  <c r="AS43" i="5"/>
  <c r="N43" i="5"/>
  <c r="AW42" i="5"/>
  <c r="AV42" i="5"/>
  <c r="AT42" i="5"/>
  <c r="AS42" i="5"/>
  <c r="AK42" i="5"/>
  <c r="AH42" i="5"/>
  <c r="AE42" i="5"/>
  <c r="AC42" i="5"/>
  <c r="AB42" i="5"/>
  <c r="N42" i="5"/>
  <c r="J42" i="5"/>
  <c r="AW41" i="5"/>
  <c r="AV41" i="5"/>
  <c r="AT41" i="5"/>
  <c r="AS41" i="5"/>
  <c r="AW40" i="5"/>
  <c r="AV40" i="5"/>
  <c r="AT40" i="5"/>
  <c r="AS40" i="5"/>
  <c r="AK40" i="5"/>
  <c r="AH40" i="5"/>
  <c r="AE40" i="5"/>
  <c r="AC40" i="5"/>
  <c r="AB40" i="5"/>
  <c r="N40" i="5"/>
  <c r="J40" i="5"/>
  <c r="AW39" i="5"/>
  <c r="AV39" i="5"/>
  <c r="AT39" i="5"/>
  <c r="AS39" i="5"/>
  <c r="N39" i="5"/>
  <c r="AW38" i="5"/>
  <c r="AV38" i="5"/>
  <c r="AT38" i="5"/>
  <c r="AS38" i="5"/>
  <c r="AK38" i="5"/>
  <c r="AH38" i="5"/>
  <c r="AE38" i="5"/>
  <c r="AC38" i="5"/>
  <c r="AB38" i="5"/>
  <c r="N38" i="5"/>
  <c r="J38" i="5"/>
  <c r="AW37" i="5"/>
  <c r="AV37" i="5"/>
  <c r="AT37" i="5"/>
  <c r="AS37" i="5"/>
  <c r="N37" i="5"/>
  <c r="AW36" i="5"/>
  <c r="AV36" i="5"/>
  <c r="AT36" i="5"/>
  <c r="AS36" i="5"/>
  <c r="AK36" i="5"/>
  <c r="AH36" i="5"/>
  <c r="AE36" i="5"/>
  <c r="AC36" i="5"/>
  <c r="AB36" i="5"/>
  <c r="N36" i="5"/>
  <c r="J36" i="5"/>
  <c r="AW35" i="5"/>
  <c r="AV35" i="5"/>
  <c r="AT35" i="5"/>
  <c r="AS35" i="5"/>
  <c r="N35" i="5"/>
  <c r="AW34" i="5"/>
  <c r="AV34" i="5"/>
  <c r="AT34" i="5"/>
  <c r="AS34" i="5"/>
  <c r="AK34" i="5"/>
  <c r="AH34" i="5"/>
  <c r="AE34" i="5"/>
  <c r="AC34" i="5"/>
  <c r="AB34" i="5"/>
  <c r="N34" i="5"/>
  <c r="J34" i="5"/>
  <c r="AW33" i="5"/>
  <c r="AV33" i="5"/>
  <c r="AT33" i="5"/>
  <c r="AS33" i="5"/>
  <c r="N33" i="5"/>
  <c r="AW32" i="5"/>
  <c r="AV32" i="5"/>
  <c r="AT32" i="5"/>
  <c r="AS32" i="5"/>
  <c r="AK32" i="5"/>
  <c r="AH32" i="5"/>
  <c r="AE32" i="5"/>
  <c r="AC32" i="5"/>
  <c r="AB32" i="5"/>
  <c r="N32" i="5"/>
  <c r="J32" i="5"/>
  <c r="AW31" i="5"/>
  <c r="AV31" i="5"/>
  <c r="AT31" i="5"/>
  <c r="AS31" i="5"/>
  <c r="N31" i="5"/>
  <c r="AW30" i="5"/>
  <c r="AV30" i="5"/>
  <c r="AT30" i="5"/>
  <c r="AS30" i="5"/>
  <c r="AK30" i="5"/>
  <c r="AH30" i="5"/>
  <c r="AE30" i="5"/>
  <c r="AC30" i="5"/>
  <c r="AB30" i="5"/>
  <c r="N30" i="5"/>
  <c r="J30" i="5"/>
  <c r="AW29" i="5"/>
  <c r="AV29" i="5"/>
  <c r="AY29" i="5" s="1"/>
  <c r="AT29" i="5"/>
  <c r="AS29" i="5"/>
  <c r="AW28" i="5"/>
  <c r="AV28" i="5"/>
  <c r="AT28" i="5"/>
  <c r="AS28" i="5"/>
  <c r="AK28" i="5"/>
  <c r="AH28" i="5"/>
  <c r="AE28" i="5"/>
  <c r="AC28" i="5"/>
  <c r="AB28" i="5"/>
  <c r="N28" i="5"/>
  <c r="J28" i="5"/>
  <c r="AW27" i="5"/>
  <c r="AV27" i="5"/>
  <c r="AT27" i="5"/>
  <c r="AS27" i="5"/>
  <c r="AW26" i="5"/>
  <c r="AV26" i="5"/>
  <c r="AT26" i="5"/>
  <c r="AS26" i="5"/>
  <c r="AS25" i="5"/>
  <c r="M25" i="5"/>
  <c r="AW25" i="5" s="1"/>
  <c r="L25" i="5"/>
  <c r="K25" i="5"/>
  <c r="AT25" i="5" s="1"/>
  <c r="AW24" i="5"/>
  <c r="AV24" i="5"/>
  <c r="AT24" i="5"/>
  <c r="AS24" i="5"/>
  <c r="AW23" i="5"/>
  <c r="AV23" i="5"/>
  <c r="AT23" i="5"/>
  <c r="AS23" i="5"/>
  <c r="AK23" i="5"/>
  <c r="AH23" i="5"/>
  <c r="AE23" i="5"/>
  <c r="AC23" i="5"/>
  <c r="AB23" i="5"/>
  <c r="N23" i="5"/>
  <c r="J23" i="5"/>
  <c r="AW22" i="5"/>
  <c r="AV22" i="5"/>
  <c r="AT22" i="5"/>
  <c r="AS22" i="5"/>
  <c r="AW21" i="5"/>
  <c r="AV21" i="5"/>
  <c r="AT21" i="5"/>
  <c r="AS21" i="5"/>
  <c r="AK21" i="5"/>
  <c r="AH21" i="5"/>
  <c r="AE21" i="5"/>
  <c r="AC21" i="5"/>
  <c r="AB21" i="5"/>
  <c r="N21" i="5"/>
  <c r="J21" i="5"/>
  <c r="AW20" i="5"/>
  <c r="AV20" i="5"/>
  <c r="AT20" i="5"/>
  <c r="AS20" i="5"/>
  <c r="AW19" i="5"/>
  <c r="AV19" i="5"/>
  <c r="AT19" i="5"/>
  <c r="AS19" i="5"/>
  <c r="AS18" i="5"/>
  <c r="M18" i="5"/>
  <c r="AW18" i="5" s="1"/>
  <c r="L18" i="5"/>
  <c r="AV18" i="5" s="1"/>
  <c r="K18" i="5"/>
  <c r="AT18" i="5" s="1"/>
  <c r="AW17" i="5"/>
  <c r="AV17" i="5"/>
  <c r="AT17" i="5"/>
  <c r="AS17" i="5"/>
  <c r="N17" i="5"/>
  <c r="AW16" i="5"/>
  <c r="AV16" i="5"/>
  <c r="AT16" i="5"/>
  <c r="AS16" i="5"/>
  <c r="AK16" i="5"/>
  <c r="AH16" i="5"/>
  <c r="AE16" i="5"/>
  <c r="AC16" i="5"/>
  <c r="AB16" i="5"/>
  <c r="N16" i="5"/>
  <c r="J16" i="5"/>
  <c r="AW15" i="5"/>
  <c r="AV15" i="5"/>
  <c r="AT15" i="5"/>
  <c r="AS15" i="5"/>
  <c r="AW14" i="5"/>
  <c r="AV14" i="5"/>
  <c r="AT14" i="5"/>
  <c r="AS14" i="5"/>
  <c r="AK14" i="5"/>
  <c r="AH14" i="5"/>
  <c r="I14" i="5" s="1"/>
  <c r="AE14" i="5"/>
  <c r="AC14" i="5"/>
  <c r="AB14" i="5"/>
  <c r="N14" i="5"/>
  <c r="J14" i="5"/>
  <c r="AW13" i="5"/>
  <c r="AV13" i="5"/>
  <c r="AT13" i="5"/>
  <c r="AS13" i="5"/>
  <c r="AW12" i="5"/>
  <c r="AV12" i="5"/>
  <c r="AT12" i="5"/>
  <c r="AS12" i="5"/>
  <c r="AK12" i="5"/>
  <c r="AH12" i="5"/>
  <c r="AE12" i="5"/>
  <c r="AC12" i="5"/>
  <c r="AB12" i="5"/>
  <c r="N12" i="5"/>
  <c r="J12" i="5"/>
  <c r="AW11" i="5"/>
  <c r="AV11" i="5"/>
  <c r="AY11" i="5" s="1"/>
  <c r="AT11" i="5"/>
  <c r="AS11" i="5"/>
  <c r="AW10" i="5"/>
  <c r="AV10" i="5"/>
  <c r="AT10" i="5"/>
  <c r="AS10" i="5"/>
  <c r="AK10" i="5"/>
  <c r="AH10" i="5"/>
  <c r="AE10" i="5"/>
  <c r="AC10" i="5"/>
  <c r="AB10" i="5"/>
  <c r="N10" i="5"/>
  <c r="J10" i="5"/>
  <c r="AW9" i="5"/>
  <c r="AV9" i="5"/>
  <c r="AT9" i="5"/>
  <c r="AS9" i="5"/>
  <c r="AA9" i="5"/>
  <c r="AW8" i="5"/>
  <c r="AV8" i="5"/>
  <c r="AT8" i="5"/>
  <c r="AS8" i="5"/>
  <c r="AK8" i="5"/>
  <c r="AH8" i="5"/>
  <c r="AE8" i="5"/>
  <c r="AC8" i="5"/>
  <c r="AB8" i="5"/>
  <c r="N8" i="5"/>
  <c r="J8" i="5"/>
  <c r="AW7" i="5"/>
  <c r="AV7" i="5"/>
  <c r="AT7" i="5"/>
  <c r="AS7" i="5"/>
  <c r="AA7" i="5"/>
  <c r="AW6" i="5"/>
  <c r="AV6" i="5"/>
  <c r="AT6" i="5"/>
  <c r="AS6" i="5"/>
  <c r="AK6" i="5"/>
  <c r="AH6" i="5"/>
  <c r="AE6" i="5"/>
  <c r="AC6" i="5"/>
  <c r="AB6" i="5"/>
  <c r="N6" i="5"/>
  <c r="J6" i="5"/>
  <c r="AW5" i="5"/>
  <c r="AV5" i="5"/>
  <c r="AT5" i="5"/>
  <c r="AS5" i="5"/>
  <c r="AY107" i="5" l="1"/>
  <c r="K755" i="5" s="1"/>
  <c r="AY157" i="5"/>
  <c r="AD36" i="5"/>
  <c r="AA6" i="5"/>
  <c r="I10" i="5"/>
  <c r="E496" i="5"/>
  <c r="G496" i="5" s="1"/>
  <c r="E986" i="5"/>
  <c r="G986" i="5" s="1"/>
  <c r="L1008" i="5"/>
  <c r="F633" i="5"/>
  <c r="G633" i="5" s="1"/>
  <c r="T1012" i="5"/>
  <c r="P1035" i="5"/>
  <c r="AN1025" i="5"/>
  <c r="P660" i="5"/>
  <c r="L680" i="5"/>
  <c r="F692" i="5"/>
  <c r="H692" i="5" s="1"/>
  <c r="Y703" i="5"/>
  <c r="Y706" i="5" s="1"/>
  <c r="S818" i="5"/>
  <c r="F855" i="5"/>
  <c r="X855" i="5" s="1"/>
  <c r="AO855" i="5" s="1"/>
  <c r="L863" i="5"/>
  <c r="F519" i="5"/>
  <c r="X519" i="5" s="1"/>
  <c r="E566" i="5"/>
  <c r="G566" i="5" s="1"/>
  <c r="AX24" i="5"/>
  <c r="F538" i="5"/>
  <c r="G538" i="5" s="1"/>
  <c r="I38" i="5"/>
  <c r="Q497" i="5" s="1"/>
  <c r="AA57" i="5"/>
  <c r="AY135" i="5"/>
  <c r="AX160" i="5"/>
  <c r="AX169" i="5"/>
  <c r="AZ169" i="5" s="1"/>
  <c r="L692" i="5"/>
  <c r="P715" i="5"/>
  <c r="E782" i="5"/>
  <c r="G782" i="5" s="1"/>
  <c r="L858" i="5"/>
  <c r="L907" i="5"/>
  <c r="Y1027" i="5"/>
  <c r="Y1030" i="5" s="1"/>
  <c r="L1023" i="5"/>
  <c r="M1038" i="5"/>
  <c r="E605" i="5"/>
  <c r="G605" i="5" s="1"/>
  <c r="E618" i="5"/>
  <c r="G618" i="5" s="1"/>
  <c r="E563" i="5"/>
  <c r="G563" i="5" s="1"/>
  <c r="AN1024" i="5"/>
  <c r="L905" i="5"/>
  <c r="P925" i="5"/>
  <c r="S927" i="5"/>
  <c r="E930" i="5"/>
  <c r="G930" i="5" s="1"/>
  <c r="L1012" i="5"/>
  <c r="K324" i="5"/>
  <c r="K323" i="5" s="1"/>
  <c r="I64" i="5"/>
  <c r="P587" i="5" s="1"/>
  <c r="F422" i="5"/>
  <c r="H422" i="5" s="1"/>
  <c r="P579" i="5"/>
  <c r="U579" i="5" s="1"/>
  <c r="AN1013" i="5"/>
  <c r="AY106" i="5"/>
  <c r="F353" i="5"/>
  <c r="X353" i="5" s="1"/>
  <c r="P496" i="5"/>
  <c r="E511" i="5"/>
  <c r="G511" i="5" s="1"/>
  <c r="L532" i="5"/>
  <c r="L539" i="5"/>
  <c r="F857" i="5"/>
  <c r="H857" i="5" s="1"/>
  <c r="AD8" i="5"/>
  <c r="Y376" i="5"/>
  <c r="Y379" i="5" s="1"/>
  <c r="E781" i="5"/>
  <c r="G781" i="5" s="1"/>
  <c r="T959" i="5"/>
  <c r="AA10" i="5"/>
  <c r="AD46" i="5"/>
  <c r="P416" i="5"/>
  <c r="Q646" i="5"/>
  <c r="V646" i="5" s="1"/>
  <c r="AD44" i="5"/>
  <c r="L801" i="5"/>
  <c r="S823" i="5"/>
  <c r="E929" i="5"/>
  <c r="G929" i="5" s="1"/>
  <c r="L953" i="5"/>
  <c r="L963" i="5"/>
  <c r="E980" i="5"/>
  <c r="G980" i="5" s="1"/>
  <c r="E988" i="5"/>
  <c r="G988" i="5" s="1"/>
  <c r="AY12" i="5"/>
  <c r="I66" i="5"/>
  <c r="P593" i="5" s="1"/>
  <c r="U593" i="5" s="1"/>
  <c r="AY71" i="5"/>
  <c r="K304" i="5"/>
  <c r="K303" i="5" s="1"/>
  <c r="AY147" i="5"/>
  <c r="AY181" i="5"/>
  <c r="F425" i="5"/>
  <c r="X425" i="5" s="1"/>
  <c r="E499" i="5"/>
  <c r="G499" i="5" s="1"/>
  <c r="F642" i="5"/>
  <c r="H642" i="5" s="1"/>
  <c r="AN757" i="5"/>
  <c r="AN760" i="5" s="1"/>
  <c r="L744" i="5"/>
  <c r="F809" i="5"/>
  <c r="X809" i="5" s="1"/>
  <c r="Z809" i="5" s="1"/>
  <c r="E943" i="5"/>
  <c r="G943" i="5" s="1"/>
  <c r="L951" i="5"/>
  <c r="L1004" i="5"/>
  <c r="M1034" i="5"/>
  <c r="E1039" i="5"/>
  <c r="G1039" i="5" s="1"/>
  <c r="AN1008" i="5"/>
  <c r="P659" i="5"/>
  <c r="E674" i="5"/>
  <c r="G674" i="5" s="1"/>
  <c r="L1021" i="5"/>
  <c r="E1037" i="5"/>
  <c r="G1037" i="5" s="1"/>
  <c r="AN1020" i="5"/>
  <c r="L582" i="5"/>
  <c r="E979" i="5"/>
  <c r="G979" i="5" s="1"/>
  <c r="Y865" i="5"/>
  <c r="Y868" i="5" s="1"/>
  <c r="AY52" i="5"/>
  <c r="AD53" i="5"/>
  <c r="AY70" i="5"/>
  <c r="AX88" i="5"/>
  <c r="AX146" i="5"/>
  <c r="AY213" i="5"/>
  <c r="E620" i="5"/>
  <c r="G620" i="5" s="1"/>
  <c r="E780" i="5"/>
  <c r="G780" i="5" s="1"/>
  <c r="S984" i="5"/>
  <c r="AN1014" i="5"/>
  <c r="AO1014" i="5" s="1"/>
  <c r="AN1017" i="5"/>
  <c r="AY143" i="5"/>
  <c r="K857" i="5" s="1"/>
  <c r="K864" i="5" s="1"/>
  <c r="AA62" i="5"/>
  <c r="AY62" i="5"/>
  <c r="K572" i="5" s="1"/>
  <c r="K578" i="5" s="1"/>
  <c r="AA79" i="5"/>
  <c r="AD107" i="5"/>
  <c r="AX178" i="5"/>
  <c r="AX202" i="5"/>
  <c r="AY211" i="5"/>
  <c r="F583" i="5"/>
  <c r="X583" i="5" s="1"/>
  <c r="Z583" i="5" s="1"/>
  <c r="L629" i="5"/>
  <c r="E660" i="5"/>
  <c r="G660" i="5" s="1"/>
  <c r="L742" i="5"/>
  <c r="L899" i="5"/>
  <c r="S930" i="5"/>
  <c r="F969" i="5"/>
  <c r="H969" i="5" s="1"/>
  <c r="E984" i="5"/>
  <c r="G984" i="5" s="1"/>
  <c r="P484" i="5"/>
  <c r="U484" i="5" s="1"/>
  <c r="W484" i="5" s="1"/>
  <c r="Y541" i="5"/>
  <c r="Y544" i="5" s="1"/>
  <c r="F951" i="5"/>
  <c r="AY30" i="5"/>
  <c r="AY42" i="5"/>
  <c r="AY154" i="5"/>
  <c r="AY179" i="5"/>
  <c r="AY183" i="5"/>
  <c r="T484" i="5"/>
  <c r="E501" i="5"/>
  <c r="G501" i="5" s="1"/>
  <c r="E551" i="5"/>
  <c r="G551" i="5" s="1"/>
  <c r="F903" i="5"/>
  <c r="X903" i="5" s="1"/>
  <c r="F909" i="5"/>
  <c r="X909" i="5" s="1"/>
  <c r="AO909" i="5" s="1"/>
  <c r="L915" i="5"/>
  <c r="S925" i="5"/>
  <c r="E928" i="5"/>
  <c r="G928" i="5" s="1"/>
  <c r="P982" i="5"/>
  <c r="E1041" i="5"/>
  <c r="G1041" i="5" s="1"/>
  <c r="AX74" i="5"/>
  <c r="S877" i="5"/>
  <c r="P903" i="5"/>
  <c r="R903" i="5" s="1"/>
  <c r="M928" i="5"/>
  <c r="AN1029" i="5"/>
  <c r="AX182" i="5"/>
  <c r="AZ182" i="5" s="1"/>
  <c r="AN1022" i="5"/>
  <c r="E555" i="5"/>
  <c r="G555" i="5" s="1"/>
  <c r="S607" i="5"/>
  <c r="T846" i="5"/>
  <c r="E878" i="5"/>
  <c r="G878" i="5" s="1"/>
  <c r="L900" i="5"/>
  <c r="T903" i="5"/>
  <c r="L913" i="5"/>
  <c r="S928" i="5"/>
  <c r="E996" i="5"/>
  <c r="G996" i="5" s="1"/>
  <c r="E1049" i="5"/>
  <c r="G1049" i="5" s="1"/>
  <c r="L463" i="5"/>
  <c r="E944" i="5"/>
  <c r="G944" i="5" s="1"/>
  <c r="M546" i="5"/>
  <c r="E552" i="5"/>
  <c r="G552" i="5" s="1"/>
  <c r="C945" i="5"/>
  <c r="S985" i="5"/>
  <c r="L1024" i="5"/>
  <c r="I943" i="5"/>
  <c r="L419" i="5"/>
  <c r="Y757" i="5"/>
  <c r="Y760" i="5" s="1"/>
  <c r="D891" i="5"/>
  <c r="AY38" i="5"/>
  <c r="AY180" i="5"/>
  <c r="AA8" i="5"/>
  <c r="AA38" i="5"/>
  <c r="P485" i="5" s="1"/>
  <c r="AA75" i="5"/>
  <c r="AA105" i="5"/>
  <c r="AY126" i="5"/>
  <c r="AY167" i="5"/>
  <c r="AX207" i="5"/>
  <c r="L481" i="5"/>
  <c r="P699" i="5"/>
  <c r="U699" i="5" s="1"/>
  <c r="L968" i="5"/>
  <c r="AD96" i="5"/>
  <c r="Q631" i="5"/>
  <c r="V631" i="5" s="1"/>
  <c r="M931" i="5"/>
  <c r="E997" i="5"/>
  <c r="G997" i="5" s="1"/>
  <c r="L1015" i="5"/>
  <c r="E1035" i="5"/>
  <c r="G1035" i="5" s="1"/>
  <c r="AA21" i="5"/>
  <c r="P409" i="5" s="1"/>
  <c r="AA46" i="5"/>
  <c r="AY84" i="5"/>
  <c r="AX124" i="5"/>
  <c r="J795" i="5" s="1"/>
  <c r="AX163" i="5"/>
  <c r="AX203" i="5"/>
  <c r="L523" i="5"/>
  <c r="Q575" i="5"/>
  <c r="V575" i="5" s="1"/>
  <c r="E890" i="5"/>
  <c r="G890" i="5" s="1"/>
  <c r="L901" i="5"/>
  <c r="E925" i="5"/>
  <c r="G925" i="5" s="1"/>
  <c r="AN1009" i="5"/>
  <c r="AA32" i="5"/>
  <c r="AA34" i="5"/>
  <c r="P472" i="5" s="1"/>
  <c r="I42" i="5"/>
  <c r="AD62" i="5"/>
  <c r="AY80" i="5"/>
  <c r="AD88" i="5"/>
  <c r="AX153" i="5"/>
  <c r="AY191" i="5"/>
  <c r="AX201" i="5"/>
  <c r="I457" i="5"/>
  <c r="F527" i="5"/>
  <c r="G527" i="5" s="1"/>
  <c r="F586" i="5"/>
  <c r="X586" i="5" s="1"/>
  <c r="Z586" i="5" s="1"/>
  <c r="E880" i="5"/>
  <c r="G880" i="5" s="1"/>
  <c r="L898" i="5"/>
  <c r="L914" i="5"/>
  <c r="S931" i="5"/>
  <c r="P959" i="5"/>
  <c r="U959" i="5" s="1"/>
  <c r="F966" i="5"/>
  <c r="X966" i="5" s="1"/>
  <c r="AO966" i="5" s="1"/>
  <c r="E987" i="5"/>
  <c r="G987" i="5" s="1"/>
  <c r="Q1012" i="5"/>
  <c r="V1012" i="5" s="1"/>
  <c r="W1012" i="5" s="1"/>
  <c r="L1025" i="5"/>
  <c r="Q635" i="5"/>
  <c r="V635" i="5" s="1"/>
  <c r="AX216" i="5"/>
  <c r="T790" i="5"/>
  <c r="P854" i="5"/>
  <c r="U854" i="5" s="1"/>
  <c r="W854" i="5" s="1"/>
  <c r="T859" i="5"/>
  <c r="AX219" i="5"/>
  <c r="AY219" i="5"/>
  <c r="AZ219" i="5" s="1"/>
  <c r="Q410" i="5"/>
  <c r="V410" i="5" s="1"/>
  <c r="AN1028" i="5"/>
  <c r="P857" i="5"/>
  <c r="U857" i="5" s="1"/>
  <c r="T857" i="5"/>
  <c r="E389" i="5"/>
  <c r="G389" i="5" s="1"/>
  <c r="L917" i="5"/>
  <c r="N1038" i="5"/>
  <c r="P1038" i="5" s="1"/>
  <c r="AA12" i="5"/>
  <c r="P372" i="5"/>
  <c r="U372" i="5" s="1"/>
  <c r="P520" i="5"/>
  <c r="U520" i="5" s="1"/>
  <c r="Q526" i="5"/>
  <c r="V526" i="5" s="1"/>
  <c r="AN1006" i="5"/>
  <c r="AX197" i="5"/>
  <c r="Q687" i="5"/>
  <c r="V687" i="5" s="1"/>
  <c r="T700" i="5"/>
  <c r="Q1015" i="5"/>
  <c r="V1015" i="5" s="1"/>
  <c r="AY149" i="5"/>
  <c r="AY153" i="5"/>
  <c r="AX159" i="5"/>
  <c r="AY159" i="5"/>
  <c r="T479" i="5"/>
  <c r="P644" i="5"/>
  <c r="L897" i="5"/>
  <c r="F753" i="5"/>
  <c r="X753" i="5" s="1"/>
  <c r="AO753" i="5" s="1"/>
  <c r="J85" i="5"/>
  <c r="P859" i="5"/>
  <c r="U859" i="5" s="1"/>
  <c r="W859" i="5" s="1"/>
  <c r="E1010" i="5"/>
  <c r="E983" i="5"/>
  <c r="G983" i="5" s="1"/>
  <c r="T743" i="5"/>
  <c r="T854" i="5"/>
  <c r="E931" i="5"/>
  <c r="G931" i="5" s="1"/>
  <c r="T1004" i="5"/>
  <c r="Q1004" i="5"/>
  <c r="V1004" i="5" s="1"/>
  <c r="P1004" i="5"/>
  <c r="U1004" i="5" s="1"/>
  <c r="Q911" i="5"/>
  <c r="V911" i="5" s="1"/>
  <c r="P914" i="5"/>
  <c r="U914" i="5" s="1"/>
  <c r="E1052" i="5"/>
  <c r="G1052" i="5" s="1"/>
  <c r="Q590" i="5"/>
  <c r="V590" i="5" s="1"/>
  <c r="Q914" i="5"/>
  <c r="V914" i="5" s="1"/>
  <c r="Q850" i="5"/>
  <c r="V850" i="5" s="1"/>
  <c r="AY169" i="5"/>
  <c r="Q697" i="5"/>
  <c r="V697" i="5" s="1"/>
  <c r="N1032" i="5"/>
  <c r="M1032" i="5"/>
  <c r="T1024" i="5"/>
  <c r="T476" i="5"/>
  <c r="M497" i="5"/>
  <c r="F585" i="5"/>
  <c r="G585" i="5" s="1"/>
  <c r="Q644" i="5"/>
  <c r="V644" i="5" s="1"/>
  <c r="E934" i="5"/>
  <c r="G934" i="5" s="1"/>
  <c r="I944" i="5"/>
  <c r="AX60" i="5"/>
  <c r="P573" i="5"/>
  <c r="U573" i="5" s="1"/>
  <c r="I16" i="5"/>
  <c r="AA16" i="5"/>
  <c r="Q538" i="5"/>
  <c r="V538" i="5" s="1"/>
  <c r="P911" i="5"/>
  <c r="U911" i="5" s="1"/>
  <c r="AY208" i="5"/>
  <c r="T538" i="5"/>
  <c r="E1034" i="5"/>
  <c r="G1034" i="5" s="1"/>
  <c r="L411" i="5"/>
  <c r="AY171" i="5"/>
  <c r="F588" i="5"/>
  <c r="L694" i="5"/>
  <c r="P687" i="5"/>
  <c r="U687" i="5" s="1"/>
  <c r="Q581" i="5"/>
  <c r="V581" i="5" s="1"/>
  <c r="AX161" i="5"/>
  <c r="AY161" i="5"/>
  <c r="P479" i="5"/>
  <c r="U479" i="5" s="1"/>
  <c r="AA23" i="5"/>
  <c r="P424" i="5" s="1"/>
  <c r="I23" i="5"/>
  <c r="AX66" i="5"/>
  <c r="AY74" i="5"/>
  <c r="AY125" i="5"/>
  <c r="AY220" i="5"/>
  <c r="M764" i="5"/>
  <c r="L790" i="5"/>
  <c r="E879" i="5"/>
  <c r="G879" i="5" s="1"/>
  <c r="T951" i="5"/>
  <c r="Q951" i="5"/>
  <c r="V951" i="5" s="1"/>
  <c r="P1009" i="5"/>
  <c r="U1009" i="5" s="1"/>
  <c r="L1013" i="5"/>
  <c r="L904" i="5"/>
  <c r="P747" i="5"/>
  <c r="E771" i="5"/>
  <c r="G771" i="5" s="1"/>
  <c r="Q845" i="5"/>
  <c r="V845" i="5" s="1"/>
  <c r="P430" i="5"/>
  <c r="U430" i="5" s="1"/>
  <c r="P636" i="5"/>
  <c r="U636" i="5" s="1"/>
  <c r="W636" i="5" s="1"/>
  <c r="E712" i="5"/>
  <c r="G712" i="5" s="1"/>
  <c r="T737" i="5"/>
  <c r="Y811" i="5"/>
  <c r="Y814" i="5" s="1"/>
  <c r="L1016" i="5"/>
  <c r="Q480" i="5"/>
  <c r="V480" i="5" s="1"/>
  <c r="T807" i="5"/>
  <c r="P853" i="5"/>
  <c r="T630" i="5"/>
  <c r="T636" i="5"/>
  <c r="T639" i="5"/>
  <c r="J68" i="5"/>
  <c r="T754" i="5"/>
  <c r="P791" i="5"/>
  <c r="T853" i="5"/>
  <c r="M870" i="5"/>
  <c r="AN919" i="5"/>
  <c r="AN922" i="5" s="1"/>
  <c r="AX205" i="5"/>
  <c r="P788" i="5"/>
  <c r="U788" i="5" s="1"/>
  <c r="E875" i="5"/>
  <c r="G875" i="5" s="1"/>
  <c r="E1050" i="5"/>
  <c r="AY203" i="5"/>
  <c r="AN1023" i="5"/>
  <c r="P905" i="5"/>
  <c r="U905" i="5" s="1"/>
  <c r="T950" i="5"/>
  <c r="AX126" i="5"/>
  <c r="AY177" i="5"/>
  <c r="AY190" i="5"/>
  <c r="P365" i="5"/>
  <c r="P371" i="5"/>
  <c r="F482" i="5"/>
  <c r="H482" i="5" s="1"/>
  <c r="E553" i="5"/>
  <c r="G553" i="5" s="1"/>
  <c r="Q583" i="5"/>
  <c r="V583" i="5" s="1"/>
  <c r="P586" i="5"/>
  <c r="U586" i="5" s="1"/>
  <c r="W586" i="5" s="1"/>
  <c r="Q589" i="5"/>
  <c r="V589" i="5" s="1"/>
  <c r="Q643" i="5"/>
  <c r="V643" i="5" s="1"/>
  <c r="F852" i="5"/>
  <c r="H852" i="5" s="1"/>
  <c r="M877" i="5"/>
  <c r="Q905" i="5"/>
  <c r="V905" i="5" s="1"/>
  <c r="E924" i="5"/>
  <c r="G924" i="5" s="1"/>
  <c r="P930" i="5"/>
  <c r="Q955" i="5"/>
  <c r="V955" i="5" s="1"/>
  <c r="W955" i="5" s="1"/>
  <c r="N978" i="5"/>
  <c r="P978" i="5" s="1"/>
  <c r="M982" i="5"/>
  <c r="L1020" i="5"/>
  <c r="S1035" i="5"/>
  <c r="E1040" i="5"/>
  <c r="G1040" i="5" s="1"/>
  <c r="D945" i="5"/>
  <c r="L960" i="5"/>
  <c r="L969" i="5"/>
  <c r="J48" i="5"/>
  <c r="AY195" i="5"/>
  <c r="AY200" i="5"/>
  <c r="P847" i="5"/>
  <c r="U847" i="5" s="1"/>
  <c r="F945" i="5"/>
  <c r="AY193" i="5"/>
  <c r="P588" i="5"/>
  <c r="U588" i="5" s="1"/>
  <c r="N931" i="5"/>
  <c r="P931" i="5" s="1"/>
  <c r="Q430" i="5"/>
  <c r="Q744" i="5"/>
  <c r="V744" i="5" s="1"/>
  <c r="AN811" i="5"/>
  <c r="AN814" i="5" s="1"/>
  <c r="P367" i="5"/>
  <c r="Q574" i="5"/>
  <c r="V574" i="5" s="1"/>
  <c r="C729" i="5"/>
  <c r="Y919" i="5"/>
  <c r="Y922" i="5" s="1"/>
  <c r="P907" i="5"/>
  <c r="U907" i="5" s="1"/>
  <c r="W907" i="5" s="1"/>
  <c r="H1053" i="5"/>
  <c r="AD28" i="5"/>
  <c r="AX196" i="5"/>
  <c r="AZ196" i="5" s="1"/>
  <c r="AX198" i="5"/>
  <c r="AZ198" i="5" s="1"/>
  <c r="AY201" i="5"/>
  <c r="AZ201" i="5" s="1"/>
  <c r="T915" i="5"/>
  <c r="L952" i="5"/>
  <c r="AX130" i="5"/>
  <c r="T367" i="5"/>
  <c r="Q577" i="5"/>
  <c r="V577" i="5" s="1"/>
  <c r="Q791" i="5"/>
  <c r="V791" i="5" s="1"/>
  <c r="P910" i="5"/>
  <c r="Q950" i="5"/>
  <c r="V950" i="5" s="1"/>
  <c r="W950" i="5" s="1"/>
  <c r="AN487" i="5"/>
  <c r="AN490" i="5" s="1"/>
  <c r="AN1005" i="5"/>
  <c r="AN1016" i="5"/>
  <c r="P583" i="5"/>
  <c r="F844" i="5"/>
  <c r="X844" i="5" s="1"/>
  <c r="AO844" i="5" s="1"/>
  <c r="T964" i="5"/>
  <c r="AX44" i="5"/>
  <c r="AY50" i="5"/>
  <c r="AD90" i="5"/>
  <c r="AY101" i="5"/>
  <c r="AY105" i="5"/>
  <c r="AY124" i="5"/>
  <c r="K795" i="5" s="1"/>
  <c r="Q365" i="5"/>
  <c r="V365" i="5" s="1"/>
  <c r="Q371" i="5"/>
  <c r="V371" i="5" s="1"/>
  <c r="C513" i="5"/>
  <c r="Q586" i="5"/>
  <c r="V586" i="5" s="1"/>
  <c r="T589" i="5"/>
  <c r="T696" i="5"/>
  <c r="L844" i="5"/>
  <c r="Q846" i="5"/>
  <c r="V846" i="5" s="1"/>
  <c r="E888" i="5"/>
  <c r="G888" i="5" s="1"/>
  <c r="T955" i="5"/>
  <c r="L971" i="5"/>
  <c r="I998" i="5"/>
  <c r="L737" i="5"/>
  <c r="T793" i="5"/>
  <c r="T862" i="5"/>
  <c r="AX152" i="5"/>
  <c r="F465" i="5"/>
  <c r="P744" i="5"/>
  <c r="U744" i="5" s="1"/>
  <c r="W744" i="5" s="1"/>
  <c r="E821" i="5"/>
  <c r="G821" i="5" s="1"/>
  <c r="T845" i="5"/>
  <c r="F910" i="5"/>
  <c r="H910" i="5" s="1"/>
  <c r="P960" i="5"/>
  <c r="U960" i="5" s="1"/>
  <c r="W960" i="5" s="1"/>
  <c r="P1007" i="5"/>
  <c r="U1007" i="5" s="1"/>
  <c r="T1013" i="5"/>
  <c r="AX81" i="5"/>
  <c r="Q630" i="5"/>
  <c r="F858" i="5"/>
  <c r="X858" i="5" s="1"/>
  <c r="K878" i="5"/>
  <c r="Q1007" i="5"/>
  <c r="V1007" i="5" s="1"/>
  <c r="T521" i="5"/>
  <c r="P537" i="5"/>
  <c r="T692" i="5"/>
  <c r="L788" i="5"/>
  <c r="L910" i="5"/>
  <c r="AY146" i="5"/>
  <c r="T373" i="5"/>
  <c r="Q418" i="5"/>
  <c r="V418" i="5" s="1"/>
  <c r="T537" i="5"/>
  <c r="P577" i="5"/>
  <c r="U577" i="5" s="1"/>
  <c r="P580" i="5"/>
  <c r="F628" i="5"/>
  <c r="G628" i="5" s="1"/>
  <c r="T907" i="5"/>
  <c r="Q580" i="5"/>
  <c r="V580" i="5" s="1"/>
  <c r="F1023" i="5"/>
  <c r="T428" i="5"/>
  <c r="D999" i="5"/>
  <c r="AD6" i="5"/>
  <c r="J18" i="5"/>
  <c r="AD14" i="5"/>
  <c r="AY28" i="5"/>
  <c r="AX34" i="5"/>
  <c r="AX40" i="5"/>
  <c r="J359" i="5" s="1"/>
  <c r="AD57" i="5"/>
  <c r="AY99" i="5"/>
  <c r="AX129" i="5"/>
  <c r="AY166" i="5"/>
  <c r="AY184" i="5"/>
  <c r="F366" i="5"/>
  <c r="X366" i="5" s="1"/>
  <c r="AO366" i="5" s="1"/>
  <c r="T416" i="5"/>
  <c r="T422" i="5"/>
  <c r="L531" i="5"/>
  <c r="AN1019" i="5"/>
  <c r="Q640" i="5"/>
  <c r="V640" i="5" s="1"/>
  <c r="E727" i="5"/>
  <c r="G727" i="5" s="1"/>
  <c r="L743" i="5"/>
  <c r="T856" i="5"/>
  <c r="F900" i="5"/>
  <c r="X900" i="5" s="1"/>
  <c r="Y973" i="5"/>
  <c r="Y976" i="5" s="1"/>
  <c r="L962" i="5"/>
  <c r="L965" i="5"/>
  <c r="S978" i="5"/>
  <c r="E985" i="5"/>
  <c r="G985" i="5" s="1"/>
  <c r="C999" i="5"/>
  <c r="L1006" i="5"/>
  <c r="E1036" i="5"/>
  <c r="G1036" i="5" s="1"/>
  <c r="AX174" i="5"/>
  <c r="AY174" i="5"/>
  <c r="T354" i="5"/>
  <c r="Q354" i="5"/>
  <c r="V354" i="5" s="1"/>
  <c r="Q698" i="5"/>
  <c r="V698" i="5" s="1"/>
  <c r="T698" i="5"/>
  <c r="AY40" i="5"/>
  <c r="K359" i="5" s="1"/>
  <c r="AY45" i="5"/>
  <c r="AY46" i="5"/>
  <c r="AX89" i="5"/>
  <c r="I109" i="5"/>
  <c r="AY118" i="5"/>
  <c r="AX128" i="5"/>
  <c r="J809" i="5" s="1"/>
  <c r="AY133" i="5"/>
  <c r="AX134" i="5"/>
  <c r="AX165" i="5"/>
  <c r="AX166" i="5"/>
  <c r="AZ166" i="5" s="1"/>
  <c r="AY188" i="5"/>
  <c r="AY223" i="5"/>
  <c r="F355" i="5"/>
  <c r="P535" i="5"/>
  <c r="U535" i="5" s="1"/>
  <c r="P591" i="5"/>
  <c r="U591" i="5" s="1"/>
  <c r="W591" i="5" s="1"/>
  <c r="F635" i="5"/>
  <c r="X635" i="5" s="1"/>
  <c r="Z635" i="5" s="1"/>
  <c r="H847" i="5"/>
  <c r="F954" i="5"/>
  <c r="X954" i="5" s="1"/>
  <c r="AO954" i="5" s="1"/>
  <c r="X1006" i="5"/>
  <c r="AO1006" i="5" s="1"/>
  <c r="G1006" i="5"/>
  <c r="T482" i="5"/>
  <c r="Q482" i="5"/>
  <c r="V482" i="5" s="1"/>
  <c r="O873" i="5"/>
  <c r="P873" i="5" s="1"/>
  <c r="M873" i="5"/>
  <c r="Q535" i="5"/>
  <c r="V535" i="5" s="1"/>
  <c r="T591" i="5"/>
  <c r="T808" i="5"/>
  <c r="P808" i="5"/>
  <c r="F860" i="5"/>
  <c r="T913" i="5"/>
  <c r="P913" i="5"/>
  <c r="U913" i="5" s="1"/>
  <c r="F935" i="5"/>
  <c r="P482" i="5"/>
  <c r="U482" i="5" s="1"/>
  <c r="G847" i="5"/>
  <c r="AY85" i="5"/>
  <c r="I21" i="5"/>
  <c r="Q443" i="5" s="1"/>
  <c r="AY128" i="5"/>
  <c r="K809" i="5" s="1"/>
  <c r="T645" i="5"/>
  <c r="P645" i="5"/>
  <c r="R645" i="5" s="1"/>
  <c r="Q808" i="5"/>
  <c r="V808" i="5" s="1"/>
  <c r="Q913" i="5"/>
  <c r="V913" i="5" s="1"/>
  <c r="T917" i="5"/>
  <c r="P917" i="5"/>
  <c r="U917" i="5" s="1"/>
  <c r="T1021" i="5"/>
  <c r="Q1021" i="5"/>
  <c r="V1021" i="5" s="1"/>
  <c r="N1104" i="5"/>
  <c r="AD1084" i="5"/>
  <c r="Q1016" i="5"/>
  <c r="V1016" i="5" s="1"/>
  <c r="T1016" i="5"/>
  <c r="AY141" i="5"/>
  <c r="K843" i="5" s="1"/>
  <c r="AY215" i="5"/>
  <c r="E619" i="5"/>
  <c r="G619" i="5" s="1"/>
  <c r="T638" i="5"/>
  <c r="Q638" i="5"/>
  <c r="V638" i="5" s="1"/>
  <c r="T958" i="5"/>
  <c r="Q958" i="5"/>
  <c r="V958" i="5" s="1"/>
  <c r="P958" i="5"/>
  <c r="U958" i="5" s="1"/>
  <c r="AD79" i="5"/>
  <c r="J98" i="5"/>
  <c r="AD40" i="5"/>
  <c r="AD64" i="5"/>
  <c r="AY115" i="5"/>
  <c r="AX189" i="5"/>
  <c r="AZ189" i="5" s="1"/>
  <c r="AX212" i="5"/>
  <c r="AZ212" i="5" s="1"/>
  <c r="AY217" i="5"/>
  <c r="E443" i="5"/>
  <c r="G443" i="5" s="1"/>
  <c r="P526" i="5"/>
  <c r="U526" i="5" s="1"/>
  <c r="P530" i="5"/>
  <c r="U530" i="5" s="1"/>
  <c r="T530" i="5"/>
  <c r="T858" i="5"/>
  <c r="P858" i="5"/>
  <c r="U858" i="5" s="1"/>
  <c r="P896" i="5"/>
  <c r="T896" i="5"/>
  <c r="Q896" i="5"/>
  <c r="V896" i="5" s="1"/>
  <c r="Q917" i="5"/>
  <c r="V917" i="5" s="1"/>
  <c r="T963" i="5"/>
  <c r="Q963" i="5"/>
  <c r="V963" i="5" s="1"/>
  <c r="P963" i="5"/>
  <c r="L970" i="5"/>
  <c r="AX192" i="5"/>
  <c r="P354" i="5"/>
  <c r="U354" i="5" s="1"/>
  <c r="AD12" i="5"/>
  <c r="AT174" i="5"/>
  <c r="AX183" i="5"/>
  <c r="I94" i="5"/>
  <c r="P681" i="5" s="1"/>
  <c r="U681" i="5" s="1"/>
  <c r="AX179" i="5"/>
  <c r="AX188" i="5"/>
  <c r="AY206" i="5"/>
  <c r="AZ206" i="5" s="1"/>
  <c r="AX211" i="5"/>
  <c r="AX14" i="5"/>
  <c r="J25" i="5"/>
  <c r="AD21" i="5"/>
  <c r="AA44" i="5"/>
  <c r="AY51" i="5"/>
  <c r="AA53" i="5"/>
  <c r="AA64" i="5"/>
  <c r="AX65" i="5"/>
  <c r="AD81" i="5"/>
  <c r="K338" i="5"/>
  <c r="K340" i="5" s="1"/>
  <c r="AT224" i="5"/>
  <c r="P355" i="5"/>
  <c r="U355" i="5" s="1"/>
  <c r="Q355" i="5"/>
  <c r="V355" i="5" s="1"/>
  <c r="S437" i="5"/>
  <c r="E455" i="5"/>
  <c r="G455" i="5" s="1"/>
  <c r="C783" i="5"/>
  <c r="X852" i="5"/>
  <c r="AA852" i="5" s="1"/>
  <c r="G852" i="5"/>
  <c r="T419" i="5"/>
  <c r="Q419" i="5"/>
  <c r="V419" i="5" s="1"/>
  <c r="P419" i="5"/>
  <c r="U419" i="5" s="1"/>
  <c r="T738" i="5"/>
  <c r="P738" i="5"/>
  <c r="U738" i="5" s="1"/>
  <c r="F953" i="5"/>
  <c r="F1020" i="5"/>
  <c r="H1020" i="5" s="1"/>
  <c r="AY160" i="5"/>
  <c r="AY9" i="5"/>
  <c r="AX10" i="5"/>
  <c r="I12" i="5"/>
  <c r="AA14" i="5"/>
  <c r="I40" i="5"/>
  <c r="Q496" i="5" s="1"/>
  <c r="AD42" i="5"/>
  <c r="AA73" i="5"/>
  <c r="AA90" i="5"/>
  <c r="AY108" i="5"/>
  <c r="AT113" i="5"/>
  <c r="AY152" i="5"/>
  <c r="AY155" i="5"/>
  <c r="AY175" i="5"/>
  <c r="AX190" i="5"/>
  <c r="AX214" i="5"/>
  <c r="Q415" i="5"/>
  <c r="V415" i="5" s="1"/>
  <c r="S499" i="5"/>
  <c r="E509" i="5"/>
  <c r="Q520" i="5"/>
  <c r="Y595" i="5"/>
  <c r="Y598" i="5" s="1"/>
  <c r="T633" i="5"/>
  <c r="Q633" i="5"/>
  <c r="V633" i="5" s="1"/>
  <c r="P633" i="5"/>
  <c r="U633" i="5" s="1"/>
  <c r="Q738" i="5"/>
  <c r="V738" i="5" s="1"/>
  <c r="T899" i="5"/>
  <c r="Q899" i="5"/>
  <c r="V899" i="5" s="1"/>
  <c r="P899" i="5"/>
  <c r="F916" i="5"/>
  <c r="H916" i="5" s="1"/>
  <c r="H1014" i="5"/>
  <c r="G1014" i="5"/>
  <c r="T425" i="5"/>
  <c r="Q425" i="5"/>
  <c r="V425" i="5" s="1"/>
  <c r="W425" i="5" s="1"/>
  <c r="AX176" i="5"/>
  <c r="AA42" i="5"/>
  <c r="P464" i="5" s="1"/>
  <c r="U464" i="5" s="1"/>
  <c r="J59" i="5"/>
  <c r="AD66" i="5"/>
  <c r="AD75" i="5"/>
  <c r="E494" i="5"/>
  <c r="G494" i="5" s="1"/>
  <c r="L576" i="5"/>
  <c r="AN595" i="5"/>
  <c r="AN598" i="5" s="1"/>
  <c r="T582" i="5"/>
  <c r="P582" i="5"/>
  <c r="U582" i="5" s="1"/>
  <c r="D729" i="5"/>
  <c r="G960" i="5"/>
  <c r="X960" i="5"/>
  <c r="AO960" i="5" s="1"/>
  <c r="AY163" i="5"/>
  <c r="AX222" i="5"/>
  <c r="AY222" i="5"/>
  <c r="T642" i="5"/>
  <c r="Q642" i="5"/>
  <c r="P642" i="5"/>
  <c r="U642" i="5" s="1"/>
  <c r="H681" i="5"/>
  <c r="X681" i="5"/>
  <c r="Z681" i="5" s="1"/>
  <c r="P876" i="5"/>
  <c r="H960" i="5"/>
  <c r="AD30" i="5"/>
  <c r="I46" i="5"/>
  <c r="AD51" i="5"/>
  <c r="J113" i="5"/>
  <c r="I8" i="5"/>
  <c r="AD10" i="5"/>
  <c r="AD16" i="5"/>
  <c r="AD23" i="5"/>
  <c r="AA36" i="5"/>
  <c r="P474" i="5" s="1"/>
  <c r="AD38" i="5"/>
  <c r="AY43" i="5"/>
  <c r="AD94" i="5"/>
  <c r="AA101" i="5"/>
  <c r="AX105" i="5"/>
  <c r="AX125" i="5"/>
  <c r="AY131" i="5"/>
  <c r="N155" i="5"/>
  <c r="K314" i="5" s="1"/>
  <c r="K313" i="5" s="1"/>
  <c r="AT155" i="5"/>
  <c r="AX170" i="5"/>
  <c r="AX177" i="5"/>
  <c r="AZ177" i="5" s="1"/>
  <c r="AY186" i="5"/>
  <c r="AX187" i="5"/>
  <c r="AZ187" i="5" s="1"/>
  <c r="AX193" i="5"/>
  <c r="AX200" i="5"/>
  <c r="AY216" i="5"/>
  <c r="AY224" i="5"/>
  <c r="T413" i="5"/>
  <c r="Q413" i="5"/>
  <c r="V413" i="5" s="1"/>
  <c r="W413" i="5" s="1"/>
  <c r="E565" i="5"/>
  <c r="G565" i="5" s="1"/>
  <c r="P574" i="5"/>
  <c r="T576" i="5"/>
  <c r="P576" i="5"/>
  <c r="U576" i="5" s="1"/>
  <c r="E609" i="5"/>
  <c r="G609" i="5" s="1"/>
  <c r="E864" i="5"/>
  <c r="P928" i="5"/>
  <c r="N981" i="5"/>
  <c r="M981" i="5"/>
  <c r="T1018" i="5"/>
  <c r="P1018" i="5"/>
  <c r="U1018" i="5" s="1"/>
  <c r="W1018" i="5" s="1"/>
  <c r="F644" i="5"/>
  <c r="X644" i="5" s="1"/>
  <c r="E661" i="5"/>
  <c r="G661" i="5" s="1"/>
  <c r="E664" i="5"/>
  <c r="G664" i="5" s="1"/>
  <c r="L685" i="5"/>
  <c r="F693" i="5"/>
  <c r="X693" i="5" s="1"/>
  <c r="Z693" i="5" s="1"/>
  <c r="E764" i="5"/>
  <c r="G764" i="5" s="1"/>
  <c r="E766" i="5"/>
  <c r="G766" i="5" s="1"/>
  <c r="E833" i="5"/>
  <c r="G833" i="5" s="1"/>
  <c r="D864" i="5"/>
  <c r="N878" i="5"/>
  <c r="P872" i="5"/>
  <c r="L896" i="5"/>
  <c r="F912" i="5"/>
  <c r="L958" i="5"/>
  <c r="L961" i="5"/>
  <c r="O986" i="5"/>
  <c r="S983" i="5"/>
  <c r="H999" i="5"/>
  <c r="S1034" i="5"/>
  <c r="S1038" i="5"/>
  <c r="L485" i="5"/>
  <c r="E510" i="5"/>
  <c r="G510" i="5" s="1"/>
  <c r="E607" i="5"/>
  <c r="G607" i="5" s="1"/>
  <c r="D848" i="5"/>
  <c r="D865" i="5" s="1"/>
  <c r="H863" i="5"/>
  <c r="M872" i="5"/>
  <c r="M876" i="5"/>
  <c r="F908" i="5"/>
  <c r="G908" i="5" s="1"/>
  <c r="L909" i="5"/>
  <c r="Q910" i="5"/>
  <c r="V910" i="5" s="1"/>
  <c r="M925" i="5"/>
  <c r="AN973" i="5"/>
  <c r="AN976" i="5" s="1"/>
  <c r="Q1009" i="5"/>
  <c r="V1009" i="5" s="1"/>
  <c r="F1017" i="5"/>
  <c r="H1017" i="5" s="1"/>
  <c r="E1032" i="5"/>
  <c r="G1032" i="5" s="1"/>
  <c r="I1052" i="5"/>
  <c r="AY130" i="5"/>
  <c r="AY150" i="5"/>
  <c r="AY158" i="5"/>
  <c r="AX162" i="5"/>
  <c r="AY168" i="5"/>
  <c r="AX173" i="5"/>
  <c r="AX185" i="5"/>
  <c r="AY204" i="5"/>
  <c r="AX209" i="5"/>
  <c r="AZ209" i="5" s="1"/>
  <c r="AX210" i="5"/>
  <c r="Q369" i="5"/>
  <c r="V369" i="5" s="1"/>
  <c r="W369" i="5" s="1"/>
  <c r="L416" i="5"/>
  <c r="F418" i="5"/>
  <c r="X418" i="5" s="1"/>
  <c r="Q421" i="5"/>
  <c r="V421" i="5" s="1"/>
  <c r="Q427" i="5"/>
  <c r="V427" i="5" s="1"/>
  <c r="E456" i="5"/>
  <c r="G456" i="5" s="1"/>
  <c r="Q468" i="5"/>
  <c r="V468" i="5" s="1"/>
  <c r="P473" i="5"/>
  <c r="U473" i="5" s="1"/>
  <c r="P494" i="5"/>
  <c r="AN1021" i="5"/>
  <c r="L590" i="5"/>
  <c r="P629" i="5"/>
  <c r="C675" i="5"/>
  <c r="L699" i="5"/>
  <c r="P712" i="5"/>
  <c r="T748" i="5"/>
  <c r="Q752" i="5"/>
  <c r="V752" i="5" s="1"/>
  <c r="P797" i="5"/>
  <c r="U797" i="5" s="1"/>
  <c r="T799" i="5"/>
  <c r="P803" i="5"/>
  <c r="U803" i="5" s="1"/>
  <c r="T805" i="5"/>
  <c r="AN848" i="5"/>
  <c r="P861" i="5"/>
  <c r="U861" i="5" s="1"/>
  <c r="E871" i="5"/>
  <c r="G871" i="5" s="1"/>
  <c r="S873" i="5"/>
  <c r="P875" i="5"/>
  <c r="J918" i="5"/>
  <c r="E927" i="5"/>
  <c r="G927" i="5" s="1"/>
  <c r="L1005" i="5"/>
  <c r="F1043" i="5"/>
  <c r="C1053" i="5"/>
  <c r="T369" i="5"/>
  <c r="Q473" i="5"/>
  <c r="F536" i="5"/>
  <c r="G536" i="5" s="1"/>
  <c r="E549" i="5"/>
  <c r="G549" i="5" s="1"/>
  <c r="F575" i="5"/>
  <c r="G575" i="5" s="1"/>
  <c r="Q584" i="5"/>
  <c r="V584" i="5" s="1"/>
  <c r="E602" i="5"/>
  <c r="G602" i="5" s="1"/>
  <c r="Q629" i="5"/>
  <c r="V629" i="5" s="1"/>
  <c r="P635" i="5"/>
  <c r="L637" i="5"/>
  <c r="S659" i="5"/>
  <c r="D675" i="5"/>
  <c r="P695" i="5"/>
  <c r="R695" i="5" s="1"/>
  <c r="E726" i="5"/>
  <c r="G726" i="5" s="1"/>
  <c r="Q797" i="5"/>
  <c r="V797" i="5" s="1"/>
  <c r="Q803" i="5"/>
  <c r="V803" i="5" s="1"/>
  <c r="P807" i="5"/>
  <c r="U807" i="5" s="1"/>
  <c r="W807" i="5" s="1"/>
  <c r="P906" i="5"/>
  <c r="U906" i="5" s="1"/>
  <c r="P909" i="5"/>
  <c r="U909" i="5" s="1"/>
  <c r="E942" i="5"/>
  <c r="G942" i="5" s="1"/>
  <c r="E972" i="5"/>
  <c r="K1010" i="5"/>
  <c r="K1040" i="5"/>
  <c r="S1037" i="5"/>
  <c r="I1050" i="5"/>
  <c r="Q373" i="5"/>
  <c r="V373" i="5" s="1"/>
  <c r="E388" i="5"/>
  <c r="G388" i="5" s="1"/>
  <c r="P410" i="5"/>
  <c r="U410" i="5" s="1"/>
  <c r="Y432" i="5"/>
  <c r="Y435" i="5" s="1"/>
  <c r="E447" i="5"/>
  <c r="G447" i="5" s="1"/>
  <c r="F472" i="5"/>
  <c r="G472" i="5" s="1"/>
  <c r="Q477" i="5"/>
  <c r="V477" i="5" s="1"/>
  <c r="L521" i="5"/>
  <c r="L527" i="5"/>
  <c r="L575" i="5"/>
  <c r="L581" i="5"/>
  <c r="F630" i="5"/>
  <c r="X630" i="5" s="1"/>
  <c r="L646" i="5"/>
  <c r="L687" i="5"/>
  <c r="Q695" i="5"/>
  <c r="V695" i="5" s="1"/>
  <c r="P697" i="5"/>
  <c r="L747" i="5"/>
  <c r="F755" i="5"/>
  <c r="X755" i="5" s="1"/>
  <c r="F842" i="5"/>
  <c r="G842" i="5" s="1"/>
  <c r="L854" i="5"/>
  <c r="E874" i="5"/>
  <c r="G874" i="5" s="1"/>
  <c r="Q898" i="5"/>
  <c r="Q909" i="5"/>
  <c r="V909" i="5" s="1"/>
  <c r="L911" i="5"/>
  <c r="F914" i="5"/>
  <c r="X914" i="5" s="1"/>
  <c r="AO914" i="5" s="1"/>
  <c r="J972" i="5"/>
  <c r="C989" i="5"/>
  <c r="D1026" i="5"/>
  <c r="E1042" i="5"/>
  <c r="G1042" i="5" s="1"/>
  <c r="AN1018" i="5"/>
  <c r="C881" i="5"/>
  <c r="P927" i="5"/>
  <c r="D956" i="5"/>
  <c r="K972" i="5"/>
  <c r="P965" i="5"/>
  <c r="U965" i="5" s="1"/>
  <c r="F971" i="5"/>
  <c r="X971" i="5" s="1"/>
  <c r="E978" i="5"/>
  <c r="P1005" i="5"/>
  <c r="U1005" i="5" s="1"/>
  <c r="T1008" i="5"/>
  <c r="E1026" i="5"/>
  <c r="P1020" i="5"/>
  <c r="U1020" i="5" s="1"/>
  <c r="T1025" i="5"/>
  <c r="AX221" i="5"/>
  <c r="F368" i="5"/>
  <c r="G368" i="5" s="1"/>
  <c r="Q412" i="5"/>
  <c r="V412" i="5" s="1"/>
  <c r="L426" i="5"/>
  <c r="L428" i="5"/>
  <c r="P467" i="5"/>
  <c r="U467" i="5" s="1"/>
  <c r="P481" i="5"/>
  <c r="U481" i="5" s="1"/>
  <c r="F533" i="5"/>
  <c r="G533" i="5" s="1"/>
  <c r="S547" i="5"/>
  <c r="F574" i="5"/>
  <c r="X574" i="5" s="1"/>
  <c r="F580" i="5"/>
  <c r="G580" i="5" s="1"/>
  <c r="L585" i="5"/>
  <c r="Q592" i="5"/>
  <c r="V592" i="5" s="1"/>
  <c r="Y649" i="5"/>
  <c r="Y652" i="5" s="1"/>
  <c r="Q637" i="5"/>
  <c r="V637" i="5" s="1"/>
  <c r="F645" i="5"/>
  <c r="L682" i="5"/>
  <c r="Q689" i="5"/>
  <c r="V689" i="5" s="1"/>
  <c r="Q699" i="5"/>
  <c r="V699" i="5" s="1"/>
  <c r="L749" i="5"/>
  <c r="L753" i="5"/>
  <c r="Q788" i="5"/>
  <c r="V788" i="5" s="1"/>
  <c r="L804" i="5"/>
  <c r="L806" i="5"/>
  <c r="F808" i="5"/>
  <c r="G808" i="5" s="1"/>
  <c r="L845" i="5"/>
  <c r="Q847" i="5"/>
  <c r="V847" i="5" s="1"/>
  <c r="Q851" i="5"/>
  <c r="V851" i="5" s="1"/>
  <c r="P860" i="5"/>
  <c r="U860" i="5" s="1"/>
  <c r="W860" i="5" s="1"/>
  <c r="Q863" i="5"/>
  <c r="V863" i="5" s="1"/>
  <c r="D881" i="5"/>
  <c r="P901" i="5"/>
  <c r="U901" i="5" s="1"/>
  <c r="F907" i="5"/>
  <c r="X907" i="5" s="1"/>
  <c r="AO907" i="5" s="1"/>
  <c r="L908" i="5"/>
  <c r="E933" i="5"/>
  <c r="G933" i="5" s="1"/>
  <c r="I942" i="5"/>
  <c r="E956" i="5"/>
  <c r="P952" i="5"/>
  <c r="P953" i="5"/>
  <c r="U953" i="5" s="1"/>
  <c r="L955" i="5"/>
  <c r="L957" i="5"/>
  <c r="L959" i="5"/>
  <c r="Q965" i="5"/>
  <c r="V965" i="5" s="1"/>
  <c r="P969" i="5"/>
  <c r="U969" i="5" s="1"/>
  <c r="Q1005" i="5"/>
  <c r="V1005" i="5" s="1"/>
  <c r="L1007" i="5"/>
  <c r="F1009" i="5"/>
  <c r="H1009" i="5" s="1"/>
  <c r="L1022" i="5"/>
  <c r="E1038" i="5"/>
  <c r="G1038" i="5" s="1"/>
  <c r="S1039" i="5"/>
  <c r="Q467" i="5"/>
  <c r="V467" i="5" s="1"/>
  <c r="T592" i="5"/>
  <c r="AN649" i="5"/>
  <c r="AN652" i="5" s="1"/>
  <c r="T851" i="5"/>
  <c r="T860" i="5"/>
  <c r="T863" i="5"/>
  <c r="E870" i="5"/>
  <c r="G870" i="5" s="1"/>
  <c r="S871" i="5"/>
  <c r="Q901" i="5"/>
  <c r="V901" i="5" s="1"/>
  <c r="J956" i="5"/>
  <c r="Q952" i="5"/>
  <c r="V952" i="5" s="1"/>
  <c r="Q953" i="5"/>
  <c r="V953" i="5" s="1"/>
  <c r="L964" i="5"/>
  <c r="Q969" i="5"/>
  <c r="V969" i="5" s="1"/>
  <c r="S980" i="5"/>
  <c r="E982" i="5"/>
  <c r="G982" i="5" s="1"/>
  <c r="M984" i="5"/>
  <c r="K1026" i="5"/>
  <c r="L1014" i="5"/>
  <c r="F1016" i="5"/>
  <c r="G1016" i="5" s="1"/>
  <c r="M1035" i="5"/>
  <c r="K334" i="5"/>
  <c r="K333" i="5" s="1"/>
  <c r="AY202" i="5"/>
  <c r="AY218" i="5"/>
  <c r="AN376" i="5"/>
  <c r="AN379" i="5" s="1"/>
  <c r="Q370" i="5"/>
  <c r="V370" i="5" s="1"/>
  <c r="W370" i="5" s="1"/>
  <c r="P422" i="5"/>
  <c r="U422" i="5" s="1"/>
  <c r="W422" i="5" s="1"/>
  <c r="P428" i="5"/>
  <c r="U428" i="5" s="1"/>
  <c r="W428" i="5" s="1"/>
  <c r="P476" i="5"/>
  <c r="U476" i="5" s="1"/>
  <c r="E512" i="5"/>
  <c r="G512" i="5" s="1"/>
  <c r="AN1007" i="5"/>
  <c r="P523" i="5"/>
  <c r="U523" i="5" s="1"/>
  <c r="W523" i="5" s="1"/>
  <c r="L526" i="5"/>
  <c r="P531" i="5"/>
  <c r="U531" i="5" s="1"/>
  <c r="L533" i="5"/>
  <c r="L535" i="5"/>
  <c r="Q628" i="5"/>
  <c r="V628" i="5" s="1"/>
  <c r="P639" i="5"/>
  <c r="L643" i="5"/>
  <c r="I727" i="5"/>
  <c r="L738" i="5"/>
  <c r="Q747" i="5"/>
  <c r="V747" i="5" s="1"/>
  <c r="P749" i="5"/>
  <c r="U749" i="5" s="1"/>
  <c r="T751" i="5"/>
  <c r="Q753" i="5"/>
  <c r="E779" i="5"/>
  <c r="D783" i="5"/>
  <c r="T796" i="5"/>
  <c r="P800" i="5"/>
  <c r="U800" i="5" s="1"/>
  <c r="T802" i="5"/>
  <c r="P806" i="5"/>
  <c r="U806" i="5" s="1"/>
  <c r="P842" i="5"/>
  <c r="U842" i="5" s="1"/>
  <c r="I888" i="5"/>
  <c r="P897" i="5"/>
  <c r="U897" i="5" s="1"/>
  <c r="F899" i="5"/>
  <c r="X899" i="5" s="1"/>
  <c r="P908" i="5"/>
  <c r="P915" i="5"/>
  <c r="U915" i="5" s="1"/>
  <c r="W915" i="5" s="1"/>
  <c r="K956" i="5"/>
  <c r="M979" i="5"/>
  <c r="E995" i="5"/>
  <c r="G995" i="5" s="1"/>
  <c r="L1018" i="5"/>
  <c r="T1019" i="5"/>
  <c r="T1022" i="5"/>
  <c r="P1024" i="5"/>
  <c r="U1024" i="5" s="1"/>
  <c r="W1024" i="5" s="1"/>
  <c r="R1042" i="5"/>
  <c r="T370" i="5"/>
  <c r="L413" i="5"/>
  <c r="L425" i="5"/>
  <c r="I454" i="5"/>
  <c r="L466" i="5"/>
  <c r="L482" i="5"/>
  <c r="T523" i="5"/>
  <c r="Q531" i="5"/>
  <c r="V531" i="5" s="1"/>
  <c r="E554" i="5"/>
  <c r="G554" i="5" s="1"/>
  <c r="P585" i="5"/>
  <c r="U585" i="5" s="1"/>
  <c r="Q634" i="5"/>
  <c r="V634" i="5" s="1"/>
  <c r="T694" i="5"/>
  <c r="L698" i="5"/>
  <c r="L700" i="5"/>
  <c r="E728" i="5"/>
  <c r="G728" i="5" s="1"/>
  <c r="Q749" i="5"/>
  <c r="V749" i="5" s="1"/>
  <c r="F752" i="5"/>
  <c r="G752" i="5" s="1"/>
  <c r="T753" i="5"/>
  <c r="S765" i="5"/>
  <c r="Q800" i="5"/>
  <c r="V800" i="5" s="1"/>
  <c r="Q806" i="5"/>
  <c r="V806" i="5" s="1"/>
  <c r="Q856" i="5"/>
  <c r="F861" i="5"/>
  <c r="Q862" i="5"/>
  <c r="L878" i="5"/>
  <c r="E872" i="5"/>
  <c r="G872" i="5" s="1"/>
  <c r="S874" i="5"/>
  <c r="F896" i="5"/>
  <c r="H896" i="5" s="1"/>
  <c r="Q897" i="5"/>
  <c r="V897" i="5" s="1"/>
  <c r="F906" i="5"/>
  <c r="Q908" i="5"/>
  <c r="V908" i="5" s="1"/>
  <c r="E981" i="5"/>
  <c r="G981" i="5" s="1"/>
  <c r="H1006" i="5"/>
  <c r="L1009" i="5"/>
  <c r="P1014" i="5"/>
  <c r="U1014" i="5" s="1"/>
  <c r="E1033" i="5"/>
  <c r="G1033" i="5" s="1"/>
  <c r="F1053" i="5"/>
  <c r="M818" i="5"/>
  <c r="N818" i="5"/>
  <c r="P820" i="5"/>
  <c r="E385" i="5"/>
  <c r="G385" i="5" s="1"/>
  <c r="F804" i="5"/>
  <c r="X804" i="5" s="1"/>
  <c r="Z804" i="5" s="1"/>
  <c r="E817" i="5"/>
  <c r="G817" i="5" s="1"/>
  <c r="S820" i="5"/>
  <c r="L366" i="5"/>
  <c r="L798" i="5"/>
  <c r="E825" i="5"/>
  <c r="G825" i="5" s="1"/>
  <c r="L356" i="5"/>
  <c r="S817" i="5"/>
  <c r="M819" i="5"/>
  <c r="L371" i="5"/>
  <c r="M386" i="5"/>
  <c r="L799" i="5"/>
  <c r="S819" i="5"/>
  <c r="I44" i="5"/>
  <c r="AY13" i="5"/>
  <c r="AY17" i="5"/>
  <c r="AX20" i="5"/>
  <c r="AX27" i="5"/>
  <c r="AD32" i="5"/>
  <c r="AY44" i="5"/>
  <c r="AX50" i="5"/>
  <c r="AY60" i="5"/>
  <c r="AY72" i="5"/>
  <c r="AY73" i="5"/>
  <c r="K626" i="5" s="1"/>
  <c r="AY87" i="5"/>
  <c r="AX94" i="5"/>
  <c r="J681" i="5" s="1"/>
  <c r="AY103" i="5"/>
  <c r="K741" i="5" s="1"/>
  <c r="I105" i="5"/>
  <c r="AX142" i="5"/>
  <c r="AZ142" i="5" s="1"/>
  <c r="L362" i="5"/>
  <c r="F365" i="5"/>
  <c r="H365" i="5" s="1"/>
  <c r="F367" i="5"/>
  <c r="X367" i="5" s="1"/>
  <c r="AO367" i="5" s="1"/>
  <c r="F412" i="5"/>
  <c r="H412" i="5" s="1"/>
  <c r="F466" i="5"/>
  <c r="X466" i="5" s="1"/>
  <c r="AO466" i="5" s="1"/>
  <c r="L484" i="5"/>
  <c r="D503" i="5"/>
  <c r="F526" i="5"/>
  <c r="X526" i="5" s="1"/>
  <c r="W538" i="5"/>
  <c r="N546" i="5"/>
  <c r="P546" i="5" s="1"/>
  <c r="L592" i="5"/>
  <c r="M603" i="5"/>
  <c r="E655" i="5"/>
  <c r="G655" i="5" s="1"/>
  <c r="E657" i="5"/>
  <c r="G657" i="5" s="1"/>
  <c r="F742" i="5"/>
  <c r="M767" i="5"/>
  <c r="L791" i="5"/>
  <c r="Q826" i="5"/>
  <c r="S821" i="5"/>
  <c r="S875" i="5"/>
  <c r="I887" i="5"/>
  <c r="F503" i="5"/>
  <c r="S710" i="5"/>
  <c r="L752" i="5"/>
  <c r="AD83" i="5"/>
  <c r="AX100" i="5"/>
  <c r="AZ100" i="5" s="1"/>
  <c r="L367" i="5"/>
  <c r="E414" i="5"/>
  <c r="L474" i="5"/>
  <c r="F573" i="5"/>
  <c r="L574" i="5"/>
  <c r="E716" i="5"/>
  <c r="G716" i="5" s="1"/>
  <c r="I725" i="5"/>
  <c r="O767" i="5"/>
  <c r="P767" i="5" s="1"/>
  <c r="F803" i="5"/>
  <c r="G803" i="5" s="1"/>
  <c r="I73" i="5"/>
  <c r="AX102" i="5"/>
  <c r="AX5" i="5"/>
  <c r="AY14" i="5"/>
  <c r="AA40" i="5"/>
  <c r="P470" i="5" s="1"/>
  <c r="U470" i="5" s="1"/>
  <c r="AX46" i="5"/>
  <c r="AZ46" i="5" s="1"/>
  <c r="AX52" i="5"/>
  <c r="AY53" i="5"/>
  <c r="K529" i="5" s="1"/>
  <c r="K540" i="5" s="1"/>
  <c r="AX69" i="5"/>
  <c r="I92" i="5"/>
  <c r="AY96" i="5"/>
  <c r="K688" i="5" s="1"/>
  <c r="AX108" i="5"/>
  <c r="AY109" i="5"/>
  <c r="AX133" i="5"/>
  <c r="AY134" i="5"/>
  <c r="AX138" i="5"/>
  <c r="AZ138" i="5" s="1"/>
  <c r="L480" i="5"/>
  <c r="F576" i="5"/>
  <c r="H576" i="5" s="1"/>
  <c r="E604" i="5"/>
  <c r="G604" i="5" s="1"/>
  <c r="P605" i="5"/>
  <c r="P607" i="5"/>
  <c r="L631" i="5"/>
  <c r="L638" i="5"/>
  <c r="M657" i="5"/>
  <c r="M712" i="5"/>
  <c r="L739" i="5"/>
  <c r="D773" i="5"/>
  <c r="E768" i="5"/>
  <c r="G768" i="5" s="1"/>
  <c r="F801" i="5"/>
  <c r="X801" i="5" s="1"/>
  <c r="Z801" i="5" s="1"/>
  <c r="E822" i="5"/>
  <c r="G822" i="5" s="1"/>
  <c r="AY66" i="5"/>
  <c r="AX139" i="5"/>
  <c r="AZ139" i="5" s="1"/>
  <c r="F872" i="5" s="1"/>
  <c r="P383" i="5"/>
  <c r="P388" i="5"/>
  <c r="E398" i="5"/>
  <c r="G398" i="5" s="1"/>
  <c r="L408" i="5"/>
  <c r="E438" i="5"/>
  <c r="G438" i="5" s="1"/>
  <c r="S441" i="5"/>
  <c r="M494" i="5"/>
  <c r="F582" i="5"/>
  <c r="X582" i="5" s="1"/>
  <c r="M655" i="5"/>
  <c r="F695" i="5"/>
  <c r="G695" i="5" s="1"/>
  <c r="P709" i="5"/>
  <c r="F751" i="5"/>
  <c r="G751" i="5" s="1"/>
  <c r="E770" i="5"/>
  <c r="G770" i="5" s="1"/>
  <c r="P817" i="5"/>
  <c r="AY10" i="5"/>
  <c r="AX82" i="5"/>
  <c r="AY113" i="5"/>
  <c r="F415" i="5"/>
  <c r="X415" i="5" s="1"/>
  <c r="L422" i="5"/>
  <c r="F424" i="5"/>
  <c r="X424" i="5" s="1"/>
  <c r="E446" i="5"/>
  <c r="G446" i="5" s="1"/>
  <c r="R484" i="5"/>
  <c r="L642" i="5"/>
  <c r="D794" i="5"/>
  <c r="L797" i="5"/>
  <c r="L803" i="5"/>
  <c r="E819" i="5"/>
  <c r="G819" i="5" s="1"/>
  <c r="AY36" i="5"/>
  <c r="K363" i="5" s="1"/>
  <c r="AD73" i="5"/>
  <c r="AY77" i="5"/>
  <c r="K357" i="5" s="1"/>
  <c r="AY15" i="5"/>
  <c r="AY16" i="5"/>
  <c r="AY22" i="5"/>
  <c r="AA28" i="5"/>
  <c r="P475" i="5" s="1"/>
  <c r="AX31" i="5"/>
  <c r="AY37" i="5"/>
  <c r="AY49" i="5"/>
  <c r="AA51" i="5"/>
  <c r="AY61" i="5"/>
  <c r="AA66" i="5"/>
  <c r="AX111" i="5"/>
  <c r="AX119" i="5"/>
  <c r="AY122" i="5"/>
  <c r="L355" i="5"/>
  <c r="E400" i="5"/>
  <c r="G400" i="5" s="1"/>
  <c r="F409" i="5"/>
  <c r="G409" i="5" s="1"/>
  <c r="F413" i="5"/>
  <c r="H413" i="5" s="1"/>
  <c r="P440" i="5"/>
  <c r="E442" i="5"/>
  <c r="G442" i="5" s="1"/>
  <c r="E444" i="5"/>
  <c r="G444" i="5" s="1"/>
  <c r="M496" i="5"/>
  <c r="M498" i="5"/>
  <c r="F539" i="5"/>
  <c r="H539" i="5" s="1"/>
  <c r="M549" i="5"/>
  <c r="L591" i="5"/>
  <c r="F593" i="5"/>
  <c r="L608" i="5"/>
  <c r="P604" i="5"/>
  <c r="E606" i="5"/>
  <c r="G606" i="5" s="1"/>
  <c r="I620" i="5"/>
  <c r="E656" i="5"/>
  <c r="G656" i="5" s="1"/>
  <c r="M709" i="5"/>
  <c r="M762" i="5"/>
  <c r="P768" i="5"/>
  <c r="L792" i="5"/>
  <c r="AY54" i="5"/>
  <c r="AX67" i="5"/>
  <c r="I88" i="5"/>
  <c r="AY91" i="5"/>
  <c r="AY92" i="5"/>
  <c r="AA94" i="5"/>
  <c r="AY110" i="5"/>
  <c r="AY121" i="5"/>
  <c r="F419" i="5"/>
  <c r="X419" i="5" s="1"/>
  <c r="J486" i="5"/>
  <c r="P493" i="5"/>
  <c r="L525" i="5"/>
  <c r="I566" i="5"/>
  <c r="E608" i="5"/>
  <c r="G608" i="5" s="1"/>
  <c r="L640" i="5"/>
  <c r="M659" i="5"/>
  <c r="F689" i="5"/>
  <c r="H689" i="5" s="1"/>
  <c r="L695" i="5"/>
  <c r="E715" i="5"/>
  <c r="G715" i="5" s="1"/>
  <c r="F736" i="5"/>
  <c r="X736" i="5" s="1"/>
  <c r="S762" i="5"/>
  <c r="M768" i="5"/>
  <c r="I889" i="5"/>
  <c r="S981" i="5"/>
  <c r="AX8" i="5"/>
  <c r="AA30" i="5"/>
  <c r="P471" i="5" s="1"/>
  <c r="AY47" i="5"/>
  <c r="AX54" i="5"/>
  <c r="AY64" i="5"/>
  <c r="K587" i="5" s="1"/>
  <c r="AX76" i="5"/>
  <c r="AY78" i="5"/>
  <c r="AY79" i="5"/>
  <c r="K647" i="5" s="1"/>
  <c r="AY86" i="5"/>
  <c r="AX91" i="5"/>
  <c r="AY97" i="5"/>
  <c r="AX132" i="5"/>
  <c r="I400" i="5"/>
  <c r="F410" i="5"/>
  <c r="X410" i="5" s="1"/>
  <c r="F421" i="5"/>
  <c r="G421" i="5" s="1"/>
  <c r="F427" i="5"/>
  <c r="G427" i="5" s="1"/>
  <c r="E437" i="5"/>
  <c r="G437" i="5" s="1"/>
  <c r="S440" i="5"/>
  <c r="P442" i="5"/>
  <c r="L465" i="5"/>
  <c r="E495" i="5"/>
  <c r="G495" i="5" s="1"/>
  <c r="E497" i="5"/>
  <c r="G497" i="5" s="1"/>
  <c r="F531" i="5"/>
  <c r="H531" i="5" s="1"/>
  <c r="L588" i="5"/>
  <c r="F629" i="5"/>
  <c r="X629" i="5" s="1"/>
  <c r="Z629" i="5" s="1"/>
  <c r="F636" i="5"/>
  <c r="H636" i="5" s="1"/>
  <c r="F639" i="5"/>
  <c r="H639" i="5" s="1"/>
  <c r="E658" i="5"/>
  <c r="G658" i="5" s="1"/>
  <c r="L689" i="5"/>
  <c r="L697" i="5"/>
  <c r="F701" i="5"/>
  <c r="G701" i="5" s="1"/>
  <c r="E718" i="5"/>
  <c r="G718" i="5" s="1"/>
  <c r="L736" i="5"/>
  <c r="E763" i="5"/>
  <c r="G763" i="5" s="1"/>
  <c r="F798" i="5"/>
  <c r="E818" i="5"/>
  <c r="G818" i="5" s="1"/>
  <c r="N819" i="5"/>
  <c r="P819" i="5" s="1"/>
  <c r="E823" i="5"/>
  <c r="G823" i="5" s="1"/>
  <c r="Q1042" i="5"/>
  <c r="I456" i="5"/>
  <c r="I511" i="5"/>
  <c r="E648" i="5"/>
  <c r="AX70" i="5"/>
  <c r="AX57" i="5"/>
  <c r="AX64" i="5"/>
  <c r="J587" i="5" s="1"/>
  <c r="L410" i="5"/>
  <c r="F416" i="5"/>
  <c r="H416" i="5" s="1"/>
  <c r="L421" i="5"/>
  <c r="S442" i="5"/>
  <c r="D486" i="5"/>
  <c r="F485" i="5"/>
  <c r="G485" i="5" s="1"/>
  <c r="E502" i="5"/>
  <c r="G502" i="5" s="1"/>
  <c r="E578" i="5"/>
  <c r="L577" i="5"/>
  <c r="L639" i="5"/>
  <c r="S713" i="5"/>
  <c r="F891" i="5"/>
  <c r="H945" i="5"/>
  <c r="I997" i="5"/>
  <c r="J593" i="5"/>
  <c r="AX86" i="5"/>
  <c r="AY94" i="5"/>
  <c r="K681" i="5" s="1"/>
  <c r="K686" i="5" s="1"/>
  <c r="AD105" i="5"/>
  <c r="AX110" i="5"/>
  <c r="AX115" i="5"/>
  <c r="AX118" i="5"/>
  <c r="AX143" i="5"/>
  <c r="F363" i="5"/>
  <c r="P818" i="5"/>
  <c r="I75" i="5"/>
  <c r="AY8" i="5"/>
  <c r="AX12" i="5"/>
  <c r="AX16" i="5"/>
  <c r="AX47" i="5"/>
  <c r="AY111" i="5"/>
  <c r="AX148" i="5"/>
  <c r="AY148" i="5"/>
  <c r="AX149" i="5"/>
  <c r="N48" i="5"/>
  <c r="K244" i="5" s="1"/>
  <c r="K243" i="5" s="1"/>
  <c r="AX42" i="5"/>
  <c r="AY67" i="5"/>
  <c r="AX103" i="5"/>
  <c r="J741" i="5" s="1"/>
  <c r="AX22" i="5"/>
  <c r="AX29" i="5"/>
  <c r="AZ29" i="5" s="1"/>
  <c r="AX45" i="5"/>
  <c r="AX61" i="5"/>
  <c r="AY82" i="5"/>
  <c r="AY83" i="5"/>
  <c r="AY98" i="5"/>
  <c r="AD103" i="5"/>
  <c r="AX107" i="5"/>
  <c r="AZ107" i="5" s="1"/>
  <c r="Q755" i="5" s="1"/>
  <c r="V755" i="5" s="1"/>
  <c r="AA109" i="5"/>
  <c r="F354" i="5"/>
  <c r="G354" i="5" s="1"/>
  <c r="I96" i="5"/>
  <c r="P688" i="5" s="1"/>
  <c r="AA96" i="5"/>
  <c r="AA103" i="5"/>
  <c r="K745" i="5"/>
  <c r="J745" i="5"/>
  <c r="AX131" i="5"/>
  <c r="AY19" i="5"/>
  <c r="AY23" i="5"/>
  <c r="K424" i="5" s="1"/>
  <c r="K431" i="5" s="1"/>
  <c r="AX32" i="5"/>
  <c r="AD34" i="5"/>
  <c r="AY35" i="5"/>
  <c r="AY39" i="5"/>
  <c r="AY88" i="5"/>
  <c r="I101" i="5"/>
  <c r="Q763" i="5" s="1"/>
  <c r="L354" i="5"/>
  <c r="I51" i="5"/>
  <c r="AX62" i="5"/>
  <c r="J572" i="5" s="1"/>
  <c r="L572" i="5" s="1"/>
  <c r="AY65" i="5"/>
  <c r="I71" i="5"/>
  <c r="Q655" i="5" s="1"/>
  <c r="AX87" i="5"/>
  <c r="AX92" i="5"/>
  <c r="AX96" i="5"/>
  <c r="AX101" i="5"/>
  <c r="AX140" i="5"/>
  <c r="AX141" i="5"/>
  <c r="AY144" i="5"/>
  <c r="AY6" i="5"/>
  <c r="AX17" i="5"/>
  <c r="AY26" i="5"/>
  <c r="AY32" i="5"/>
  <c r="AX43" i="5"/>
  <c r="I53" i="5"/>
  <c r="P529" i="5" s="1"/>
  <c r="AY56" i="5"/>
  <c r="AY57" i="5"/>
  <c r="AA81" i="5"/>
  <c r="AX85" i="5"/>
  <c r="N98" i="5"/>
  <c r="K284" i="5" s="1"/>
  <c r="K283" i="5" s="1"/>
  <c r="AX114" i="5"/>
  <c r="AX122" i="5"/>
  <c r="D375" i="5"/>
  <c r="N85" i="5"/>
  <c r="K268" i="5" s="1"/>
  <c r="K270" i="5" s="1"/>
  <c r="AA92" i="5"/>
  <c r="AA107" i="5"/>
  <c r="N384" i="5"/>
  <c r="P384" i="5" s="1"/>
  <c r="M384" i="5"/>
  <c r="P765" i="5"/>
  <c r="AX121" i="5"/>
  <c r="AX63" i="5"/>
  <c r="AY63" i="5"/>
  <c r="AX72" i="5"/>
  <c r="AX84" i="5"/>
  <c r="AX99" i="5"/>
  <c r="AY7" i="5"/>
  <c r="AY20" i="5"/>
  <c r="AX21" i="5"/>
  <c r="J409" i="5" s="1"/>
  <c r="J414" i="5" s="1"/>
  <c r="AY24" i="5"/>
  <c r="AY27" i="5"/>
  <c r="AY33" i="5"/>
  <c r="AY34" i="5"/>
  <c r="AX38" i="5"/>
  <c r="AY41" i="5"/>
  <c r="AA83" i="5"/>
  <c r="AY89" i="5"/>
  <c r="AY90" i="5"/>
  <c r="K701" i="5" s="1"/>
  <c r="AY93" i="5"/>
  <c r="AX97" i="5"/>
  <c r="AY102" i="5"/>
  <c r="M383" i="5"/>
  <c r="E386" i="5"/>
  <c r="G386" i="5" s="1"/>
  <c r="D414" i="5"/>
  <c r="E431" i="5"/>
  <c r="L423" i="5"/>
  <c r="L464" i="5"/>
  <c r="L468" i="5"/>
  <c r="C503" i="5"/>
  <c r="S493" i="5"/>
  <c r="S494" i="5"/>
  <c r="E500" i="5"/>
  <c r="G500" i="5" s="1"/>
  <c r="D578" i="5"/>
  <c r="L580" i="5"/>
  <c r="D611" i="5"/>
  <c r="E603" i="5"/>
  <c r="G603" i="5" s="1"/>
  <c r="L635" i="5"/>
  <c r="E663" i="5"/>
  <c r="G663" i="5" s="1"/>
  <c r="E686" i="5"/>
  <c r="L684" i="5"/>
  <c r="P711" i="5"/>
  <c r="L754" i="5"/>
  <c r="S764" i="5"/>
  <c r="D810" i="5"/>
  <c r="E826" i="5"/>
  <c r="G826" i="5" s="1"/>
  <c r="E835" i="5"/>
  <c r="G835" i="5" s="1"/>
  <c r="S876" i="5"/>
  <c r="Q934" i="5"/>
  <c r="S929" i="5"/>
  <c r="I941" i="5"/>
  <c r="K445" i="5"/>
  <c r="P441" i="5"/>
  <c r="D594" i="5"/>
  <c r="F640" i="5"/>
  <c r="G640" i="5" s="1"/>
  <c r="F646" i="5"/>
  <c r="G646" i="5" s="1"/>
  <c r="E816" i="5"/>
  <c r="G816" i="5" s="1"/>
  <c r="L855" i="5"/>
  <c r="L372" i="5"/>
  <c r="F408" i="5"/>
  <c r="G408" i="5" s="1"/>
  <c r="L472" i="5"/>
  <c r="L475" i="5"/>
  <c r="F477" i="5"/>
  <c r="X477" i="5" s="1"/>
  <c r="AO477" i="5" s="1"/>
  <c r="L478" i="5"/>
  <c r="H481" i="5"/>
  <c r="E492" i="5"/>
  <c r="G492" i="5" s="1"/>
  <c r="F572" i="5"/>
  <c r="G572" i="5" s="1"/>
  <c r="F577" i="5"/>
  <c r="X577" i="5" s="1"/>
  <c r="F579" i="5"/>
  <c r="X579" i="5" s="1"/>
  <c r="M606" i="5"/>
  <c r="D648" i="5"/>
  <c r="L645" i="5"/>
  <c r="F691" i="5"/>
  <c r="X691" i="5" s="1"/>
  <c r="AO691" i="5" s="1"/>
  <c r="E713" i="5"/>
  <c r="G713" i="5" s="1"/>
  <c r="S714" i="5"/>
  <c r="E765" i="5"/>
  <c r="G765" i="5" s="1"/>
  <c r="E772" i="5"/>
  <c r="G772" i="5" s="1"/>
  <c r="I781" i="5"/>
  <c r="F791" i="5"/>
  <c r="F795" i="5"/>
  <c r="H795" i="5" s="1"/>
  <c r="L851" i="5"/>
  <c r="Q1040" i="5"/>
  <c r="AY58" i="5"/>
  <c r="I62" i="5"/>
  <c r="AY104" i="5"/>
  <c r="AY112" i="5"/>
  <c r="AY119" i="5"/>
  <c r="AX145" i="5"/>
  <c r="L369" i="5"/>
  <c r="F371" i="5"/>
  <c r="X371" i="5" s="1"/>
  <c r="E384" i="5"/>
  <c r="G384" i="5" s="1"/>
  <c r="P386" i="5"/>
  <c r="X411" i="5"/>
  <c r="L420" i="5"/>
  <c r="N437" i="5"/>
  <c r="P437" i="5" s="1"/>
  <c r="M441" i="5"/>
  <c r="F471" i="5"/>
  <c r="X471" i="5" s="1"/>
  <c r="Z471" i="5" s="1"/>
  <c r="F474" i="5"/>
  <c r="X474" i="5" s="1"/>
  <c r="Z474" i="5" s="1"/>
  <c r="F480" i="5"/>
  <c r="X480" i="5" s="1"/>
  <c r="AO480" i="5" s="1"/>
  <c r="F534" i="5"/>
  <c r="H534" i="5" s="1"/>
  <c r="S551" i="5"/>
  <c r="F589" i="5"/>
  <c r="X589" i="5" s="1"/>
  <c r="Z589" i="5" s="1"/>
  <c r="M604" i="5"/>
  <c r="M605" i="5"/>
  <c r="F634" i="5"/>
  <c r="X634" i="5" s="1"/>
  <c r="AO634" i="5" s="1"/>
  <c r="F638" i="5"/>
  <c r="X638" i="5" s="1"/>
  <c r="F643" i="5"/>
  <c r="X643" i="5" s="1"/>
  <c r="AO643" i="5" s="1"/>
  <c r="S711" i="5"/>
  <c r="D740" i="5"/>
  <c r="L746" i="5"/>
  <c r="S769" i="5"/>
  <c r="M822" i="5"/>
  <c r="L846" i="5"/>
  <c r="R878" i="5"/>
  <c r="F428" i="5"/>
  <c r="H428" i="5" s="1"/>
  <c r="E439" i="5"/>
  <c r="G439" i="5" s="1"/>
  <c r="M440" i="5"/>
  <c r="K500" i="5"/>
  <c r="N498" i="5"/>
  <c r="P498" i="5" s="1"/>
  <c r="L522" i="5"/>
  <c r="I673" i="5"/>
  <c r="F683" i="5"/>
  <c r="X683" i="5" s="1"/>
  <c r="AO683" i="5" s="1"/>
  <c r="S766" i="5"/>
  <c r="O824" i="5"/>
  <c r="L861" i="5"/>
  <c r="L500" i="5"/>
  <c r="M548" i="5"/>
  <c r="S549" i="5"/>
  <c r="I565" i="5"/>
  <c r="L589" i="5"/>
  <c r="C611" i="5"/>
  <c r="E632" i="5"/>
  <c r="L628" i="5"/>
  <c r="F631" i="5"/>
  <c r="X631" i="5" s="1"/>
  <c r="L634" i="5"/>
  <c r="M765" i="5"/>
  <c r="F789" i="5"/>
  <c r="X789" i="5" s="1"/>
  <c r="AO789" i="5" s="1"/>
  <c r="D837" i="5"/>
  <c r="L853" i="5"/>
  <c r="Q986" i="5"/>
  <c r="P382" i="5"/>
  <c r="L417" i="5"/>
  <c r="L429" i="5"/>
  <c r="L477" i="5"/>
  <c r="N492" i="5"/>
  <c r="N500" i="5" s="1"/>
  <c r="F525" i="5"/>
  <c r="G525" i="5" s="1"/>
  <c r="L534" i="5"/>
  <c r="P548" i="5"/>
  <c r="E556" i="5"/>
  <c r="G556" i="5" s="1"/>
  <c r="L584" i="5"/>
  <c r="O603" i="5"/>
  <c r="P603" i="5" s="1"/>
  <c r="S605" i="5"/>
  <c r="E654" i="5"/>
  <c r="P655" i="5"/>
  <c r="P661" i="5"/>
  <c r="G685" i="5"/>
  <c r="L693" i="5"/>
  <c r="L696" i="5"/>
  <c r="E767" i="5"/>
  <c r="G767" i="5" s="1"/>
  <c r="L793" i="5"/>
  <c r="L796" i="5"/>
  <c r="F800" i="5"/>
  <c r="X800" i="5" s="1"/>
  <c r="L805" i="5"/>
  <c r="R826" i="5"/>
  <c r="P821" i="5"/>
  <c r="E836" i="5"/>
  <c r="G836" i="5" s="1"/>
  <c r="L856" i="5"/>
  <c r="L859" i="5"/>
  <c r="Q880" i="5"/>
  <c r="E387" i="5"/>
  <c r="G387" i="5" s="1"/>
  <c r="E390" i="5"/>
  <c r="G390" i="5" s="1"/>
  <c r="L473" i="5"/>
  <c r="L479" i="5"/>
  <c r="E493" i="5"/>
  <c r="G493" i="5" s="1"/>
  <c r="L530" i="5"/>
  <c r="S548" i="5"/>
  <c r="M602" i="5"/>
  <c r="S603" i="5"/>
  <c r="S604" i="5"/>
  <c r="D665" i="5"/>
  <c r="L683" i="5"/>
  <c r="H685" i="5"/>
  <c r="E717" i="5"/>
  <c r="G717" i="5" s="1"/>
  <c r="D756" i="5"/>
  <c r="F747" i="5"/>
  <c r="X747" i="5" s="1"/>
  <c r="F807" i="5"/>
  <c r="X807" i="5" s="1"/>
  <c r="H891" i="5"/>
  <c r="F373" i="5"/>
  <c r="X373" i="5" s="1"/>
  <c r="M439" i="5"/>
  <c r="F468" i="5"/>
  <c r="H468" i="5" s="1"/>
  <c r="L630" i="5"/>
  <c r="F637" i="5"/>
  <c r="X637" i="5" s="1"/>
  <c r="AO637" i="5" s="1"/>
  <c r="E756" i="5"/>
  <c r="I836" i="5"/>
  <c r="S870" i="5"/>
  <c r="S926" i="5"/>
  <c r="S1032" i="5"/>
  <c r="G411" i="5"/>
  <c r="I411" i="5" s="1"/>
  <c r="O439" i="5"/>
  <c r="O445" i="5" s="1"/>
  <c r="P443" i="5"/>
  <c r="S444" i="5"/>
  <c r="L528" i="5"/>
  <c r="E594" i="5"/>
  <c r="L586" i="5"/>
  <c r="N602" i="5"/>
  <c r="N608" i="5" s="1"/>
  <c r="I619" i="5"/>
  <c r="H641" i="5"/>
  <c r="L662" i="5"/>
  <c r="I674" i="5"/>
  <c r="F697" i="5"/>
  <c r="G697" i="5" s="1"/>
  <c r="E711" i="5"/>
  <c r="G711" i="5" s="1"/>
  <c r="E714" i="5"/>
  <c r="G714" i="5" s="1"/>
  <c r="F749" i="5"/>
  <c r="G749" i="5" s="1"/>
  <c r="F754" i="5"/>
  <c r="H754" i="5" s="1"/>
  <c r="F788" i="5"/>
  <c r="H788" i="5" s="1"/>
  <c r="L800" i="5"/>
  <c r="I1051" i="5"/>
  <c r="L365" i="5"/>
  <c r="L370" i="5"/>
  <c r="L373" i="5"/>
  <c r="E383" i="5"/>
  <c r="G383" i="5" s="1"/>
  <c r="L418" i="5"/>
  <c r="L430" i="5"/>
  <c r="P438" i="5"/>
  <c r="E441" i="5"/>
  <c r="G441" i="5" s="1"/>
  <c r="M442" i="5"/>
  <c r="L467" i="5"/>
  <c r="F475" i="5"/>
  <c r="H475" i="5" s="1"/>
  <c r="F478" i="5"/>
  <c r="H478" i="5" s="1"/>
  <c r="L536" i="5"/>
  <c r="M552" i="5"/>
  <c r="L583" i="5"/>
  <c r="U589" i="5"/>
  <c r="S600" i="5"/>
  <c r="S602" i="5"/>
  <c r="L636" i="5"/>
  <c r="V639" i="5"/>
  <c r="M654" i="5"/>
  <c r="E702" i="5"/>
  <c r="E708" i="5"/>
  <c r="G708" i="5" s="1"/>
  <c r="M715" i="5"/>
  <c r="F739" i="5"/>
  <c r="E769" i="5"/>
  <c r="G769" i="5" s="1"/>
  <c r="F792" i="5"/>
  <c r="X792" i="5" s="1"/>
  <c r="Z792" i="5" s="1"/>
  <c r="F797" i="5"/>
  <c r="G797" i="5" s="1"/>
  <c r="L802" i="5"/>
  <c r="F806" i="5"/>
  <c r="G806" i="5" s="1"/>
  <c r="L807" i="5"/>
  <c r="L852" i="5"/>
  <c r="L862" i="5"/>
  <c r="S872" i="5"/>
  <c r="M443" i="5"/>
  <c r="L520" i="5"/>
  <c r="E548" i="5"/>
  <c r="G548" i="5" s="1"/>
  <c r="G642" i="5"/>
  <c r="D719" i="5"/>
  <c r="AT136" i="5"/>
  <c r="Q310" i="5"/>
  <c r="K312" i="5"/>
  <c r="AY18" i="5"/>
  <c r="AX18" i="5"/>
  <c r="J641" i="5"/>
  <c r="Q300" i="5"/>
  <c r="K302" i="5"/>
  <c r="AY68" i="5"/>
  <c r="AX68" i="5"/>
  <c r="Q290" i="5"/>
  <c r="K292" i="5"/>
  <c r="AY48" i="5"/>
  <c r="AX48" i="5"/>
  <c r="AX19" i="5"/>
  <c r="AX33" i="5"/>
  <c r="AX56" i="5"/>
  <c r="N68" i="5"/>
  <c r="AY151" i="5"/>
  <c r="AX151" i="5"/>
  <c r="AX180" i="5"/>
  <c r="AX199" i="5"/>
  <c r="AX224" i="5"/>
  <c r="H357" i="5"/>
  <c r="U362" i="5"/>
  <c r="N18" i="5"/>
  <c r="AY31" i="5"/>
  <c r="I28" i="5"/>
  <c r="AX35" i="5"/>
  <c r="AX51" i="5"/>
  <c r="AX58" i="5"/>
  <c r="AY69" i="5"/>
  <c r="AX71" i="5"/>
  <c r="AX73" i="5"/>
  <c r="AX80" i="5"/>
  <c r="AX90" i="5"/>
  <c r="AX109" i="5"/>
  <c r="AY136" i="5"/>
  <c r="AX136" i="5"/>
  <c r="AY140" i="5"/>
  <c r="AX147" i="5"/>
  <c r="AZ147" i="5" s="1"/>
  <c r="AX150" i="5"/>
  <c r="AX220" i="5"/>
  <c r="AO813" i="5"/>
  <c r="Z813" i="5"/>
  <c r="AO357" i="5"/>
  <c r="Z357" i="5"/>
  <c r="AX49" i="5"/>
  <c r="AY5" i="5"/>
  <c r="M226" i="5"/>
  <c r="I32" i="5"/>
  <c r="AX37" i="5"/>
  <c r="AX53" i="5"/>
  <c r="C564" i="5"/>
  <c r="C567" i="5" s="1"/>
  <c r="K550" i="5"/>
  <c r="K554" i="5" s="1"/>
  <c r="C547" i="5"/>
  <c r="C557" i="5" s="1"/>
  <c r="D518" i="5"/>
  <c r="C399" i="5"/>
  <c r="C402" i="5" s="1"/>
  <c r="C382" i="5"/>
  <c r="C392" i="5" s="1"/>
  <c r="K385" i="5"/>
  <c r="K389" i="5" s="1"/>
  <c r="D352" i="5"/>
  <c r="AV55" i="5"/>
  <c r="AX75" i="5"/>
  <c r="AZ75" i="5" s="1"/>
  <c r="AX78" i="5"/>
  <c r="I83" i="5"/>
  <c r="AX106" i="5"/>
  <c r="AY120" i="5"/>
  <c r="K789" i="5" s="1"/>
  <c r="K794" i="5" s="1"/>
  <c r="AX120" i="5"/>
  <c r="AX144" i="5"/>
  <c r="AX155" i="5"/>
  <c r="AZ155" i="5" s="1"/>
  <c r="AX157" i="5"/>
  <c r="AZ157" i="5" s="1"/>
  <c r="AX167" i="5"/>
  <c r="AX181" i="5"/>
  <c r="T359" i="5"/>
  <c r="Z366" i="5"/>
  <c r="AX23" i="5"/>
  <c r="I30" i="5"/>
  <c r="P360" i="5" s="1"/>
  <c r="AX7" i="5"/>
  <c r="AX13" i="5"/>
  <c r="AX15" i="5"/>
  <c r="AX30" i="5"/>
  <c r="I57" i="5"/>
  <c r="AD92" i="5"/>
  <c r="AX98" i="5"/>
  <c r="H782" i="5"/>
  <c r="P741" i="5"/>
  <c r="AX104" i="5"/>
  <c r="AX112" i="5"/>
  <c r="AY114" i="5"/>
  <c r="AX154" i="5"/>
  <c r="AX158" i="5"/>
  <c r="AY172" i="5"/>
  <c r="AX172" i="5"/>
  <c r="AX191" i="5"/>
  <c r="AY194" i="5"/>
  <c r="AZ194" i="5" s="1"/>
  <c r="AX204" i="5"/>
  <c r="AY207" i="5"/>
  <c r="AX213" i="5"/>
  <c r="AY214" i="5"/>
  <c r="AX217" i="5"/>
  <c r="AO867" i="5"/>
  <c r="AA867" i="5"/>
  <c r="Z867" i="5"/>
  <c r="AY21" i="5"/>
  <c r="AX9" i="5"/>
  <c r="AX11" i="5"/>
  <c r="AZ11" i="5" s="1"/>
  <c r="N25" i="5"/>
  <c r="AX26" i="5"/>
  <c r="AX28" i="5"/>
  <c r="I34" i="5"/>
  <c r="AX39" i="5"/>
  <c r="AX41" i="5"/>
  <c r="D564" i="5"/>
  <c r="D567" i="5" s="1"/>
  <c r="D547" i="5"/>
  <c r="D557" i="5" s="1"/>
  <c r="L550" i="5"/>
  <c r="O550" i="5" s="1"/>
  <c r="E518" i="5"/>
  <c r="D399" i="5"/>
  <c r="D402" i="5" s="1"/>
  <c r="D382" i="5"/>
  <c r="D392" i="5" s="1"/>
  <c r="L385" i="5"/>
  <c r="O385" i="5" s="1"/>
  <c r="O389" i="5" s="1"/>
  <c r="E352" i="5"/>
  <c r="AW55" i="5"/>
  <c r="AX83" i="5"/>
  <c r="I6" i="5"/>
  <c r="I36" i="5"/>
  <c r="N55" i="5"/>
  <c r="I81" i="5"/>
  <c r="AY81" i="5"/>
  <c r="K641" i="5" s="1"/>
  <c r="AA88" i="5"/>
  <c r="AY95" i="5"/>
  <c r="AX95" i="5"/>
  <c r="I107" i="5"/>
  <c r="AY129" i="5"/>
  <c r="AX135" i="5"/>
  <c r="AY145" i="5"/>
  <c r="AY165" i="5"/>
  <c r="AX168" i="5"/>
  <c r="AX171" i="5"/>
  <c r="AX195" i="5"/>
  <c r="AX208" i="5"/>
  <c r="Z921" i="5"/>
  <c r="AO921" i="5"/>
  <c r="AA921" i="5"/>
  <c r="AD71" i="5"/>
  <c r="AX175" i="5"/>
  <c r="AY178" i="5"/>
  <c r="AX184" i="5"/>
  <c r="AY185" i="5"/>
  <c r="AY199" i="5"/>
  <c r="AX218" i="5"/>
  <c r="E449" i="5"/>
  <c r="G449" i="5" s="1"/>
  <c r="X434" i="5" s="1"/>
  <c r="W245" i="5"/>
  <c r="W255" i="5" s="1"/>
  <c r="W265" i="5" s="1"/>
  <c r="W275" i="5" s="1"/>
  <c r="W285" i="5" s="1"/>
  <c r="W295" i="5" s="1"/>
  <c r="W305" i="5" s="1"/>
  <c r="W315" i="5" s="1"/>
  <c r="W325" i="5" s="1"/>
  <c r="W335" i="5" s="1"/>
  <c r="W345" i="5" s="1"/>
  <c r="E393" i="5" s="1"/>
  <c r="Q439" i="5"/>
  <c r="Q447" i="5" s="1"/>
  <c r="Q383" i="5"/>
  <c r="I55" i="5"/>
  <c r="I79" i="5"/>
  <c r="AX6" i="5"/>
  <c r="AV25" i="5"/>
  <c r="AX36" i="5"/>
  <c r="AX77" i="5"/>
  <c r="AY137" i="5"/>
  <c r="AZ137" i="5" s="1"/>
  <c r="AY162" i="5"/>
  <c r="AX215" i="5"/>
  <c r="AY221" i="5"/>
  <c r="F360" i="5"/>
  <c r="X360" i="5" s="1"/>
  <c r="L59" i="5"/>
  <c r="AV59" i="5" s="1"/>
  <c r="AY76" i="5"/>
  <c r="AX79" i="5"/>
  <c r="I90" i="5"/>
  <c r="AX93" i="5"/>
  <c r="AY156" i="5"/>
  <c r="AX156" i="5"/>
  <c r="AX113" i="5"/>
  <c r="AY173" i="5"/>
  <c r="AX186" i="5"/>
  <c r="AY192" i="5"/>
  <c r="AY205" i="5"/>
  <c r="K328" i="5"/>
  <c r="K330" i="5" s="1"/>
  <c r="K344" i="5"/>
  <c r="K343" i="5" s="1"/>
  <c r="AO1029" i="5"/>
  <c r="AA1029" i="5"/>
  <c r="Z1029" i="5"/>
  <c r="AD101" i="5"/>
  <c r="N113" i="5"/>
  <c r="K294" i="5" s="1"/>
  <c r="K293" i="5" s="1"/>
  <c r="AY127" i="5"/>
  <c r="AX127" i="5"/>
  <c r="AY170" i="5"/>
  <c r="AY176" i="5"/>
  <c r="AY197" i="5"/>
  <c r="AY210" i="5"/>
  <c r="AO705" i="5"/>
  <c r="Z705" i="5"/>
  <c r="Q320" i="5"/>
  <c r="T356" i="5"/>
  <c r="Q356" i="5"/>
  <c r="V356" i="5" s="1"/>
  <c r="P356" i="5"/>
  <c r="H367" i="5"/>
  <c r="AY132" i="5"/>
  <c r="AY164" i="5"/>
  <c r="AX164" i="5"/>
  <c r="AX223" i="5"/>
  <c r="AO651" i="5"/>
  <c r="Z651" i="5"/>
  <c r="G357" i="5"/>
  <c r="T362" i="5"/>
  <c r="Q362" i="5"/>
  <c r="V362" i="5" s="1"/>
  <c r="N381" i="5"/>
  <c r="AO543" i="5"/>
  <c r="Z543" i="5"/>
  <c r="F364" i="5"/>
  <c r="H364" i="5" s="1"/>
  <c r="M381" i="5"/>
  <c r="E375" i="5"/>
  <c r="U423" i="5"/>
  <c r="F359" i="5"/>
  <c r="G359" i="5" s="1"/>
  <c r="F362" i="5"/>
  <c r="G362" i="5" s="1"/>
  <c r="H371" i="5"/>
  <c r="U411" i="5"/>
  <c r="Z759" i="5"/>
  <c r="AO759" i="5"/>
  <c r="F356" i="5"/>
  <c r="G356" i="5" s="1"/>
  <c r="Q366" i="5"/>
  <c r="V366" i="5" s="1"/>
  <c r="W366" i="5" s="1"/>
  <c r="F369" i="5"/>
  <c r="H369" i="5" s="1"/>
  <c r="X370" i="5"/>
  <c r="G370" i="5"/>
  <c r="F372" i="5"/>
  <c r="G372" i="5" s="1"/>
  <c r="Z489" i="5"/>
  <c r="AO489" i="5"/>
  <c r="T366" i="5"/>
  <c r="H370" i="5"/>
  <c r="U420" i="5"/>
  <c r="U373" i="5"/>
  <c r="U408" i="5"/>
  <c r="AO597" i="5"/>
  <c r="Z597" i="5"/>
  <c r="P357" i="5"/>
  <c r="F361" i="5"/>
  <c r="H361" i="5" s="1"/>
  <c r="AO975" i="5"/>
  <c r="AA975" i="5"/>
  <c r="Z975" i="5"/>
  <c r="U417" i="5"/>
  <c r="N387" i="5"/>
  <c r="P387" i="5" s="1"/>
  <c r="M387" i="5"/>
  <c r="M391" i="5" s="1"/>
  <c r="U426" i="5"/>
  <c r="F374" i="5"/>
  <c r="G374" i="5" s="1"/>
  <c r="M382" i="5"/>
  <c r="M388" i="5"/>
  <c r="Q408" i="5"/>
  <c r="R408" i="5" s="1"/>
  <c r="Q411" i="5"/>
  <c r="V411" i="5" s="1"/>
  <c r="Q417" i="5"/>
  <c r="V417" i="5" s="1"/>
  <c r="Q420" i="5"/>
  <c r="V420" i="5" s="1"/>
  <c r="Q423" i="5"/>
  <c r="V423" i="5" s="1"/>
  <c r="Q426" i="5"/>
  <c r="V426" i="5" s="1"/>
  <c r="Q429" i="5"/>
  <c r="V429" i="5" s="1"/>
  <c r="M437" i="5"/>
  <c r="D458" i="5"/>
  <c r="F467" i="5"/>
  <c r="H467" i="5" s="1"/>
  <c r="E486" i="5"/>
  <c r="V479" i="5"/>
  <c r="U525" i="5"/>
  <c r="T408" i="5"/>
  <c r="T411" i="5"/>
  <c r="T417" i="5"/>
  <c r="T420" i="5"/>
  <c r="T423" i="5"/>
  <c r="T426" i="5"/>
  <c r="D431" i="5"/>
  <c r="L470" i="5"/>
  <c r="F476" i="5"/>
  <c r="H476" i="5" s="1"/>
  <c r="E381" i="5"/>
  <c r="F417" i="5"/>
  <c r="G417" i="5" s="1"/>
  <c r="F420" i="5"/>
  <c r="G420" i="5" s="1"/>
  <c r="F423" i="5"/>
  <c r="G423" i="5" s="1"/>
  <c r="F426" i="5"/>
  <c r="G426" i="5" s="1"/>
  <c r="F429" i="5"/>
  <c r="G429" i="5" s="1"/>
  <c r="M438" i="5"/>
  <c r="E445" i="5"/>
  <c r="G445" i="5" s="1"/>
  <c r="K469" i="5"/>
  <c r="T472" i="5"/>
  <c r="C448" i="5"/>
  <c r="D469" i="5"/>
  <c r="F463" i="5"/>
  <c r="H463" i="5" s="1"/>
  <c r="L471" i="5"/>
  <c r="K486" i="5"/>
  <c r="L476" i="5"/>
  <c r="Q478" i="5"/>
  <c r="V478" i="5" s="1"/>
  <c r="P478" i="5"/>
  <c r="T478" i="5"/>
  <c r="AO481" i="5"/>
  <c r="Z481" i="5"/>
  <c r="L483" i="5"/>
  <c r="Q372" i="5"/>
  <c r="L415" i="5"/>
  <c r="R416" i="5"/>
  <c r="E469" i="5"/>
  <c r="F464" i="5"/>
  <c r="G464" i="5" s="1"/>
  <c r="T465" i="5"/>
  <c r="P465" i="5"/>
  <c r="U483" i="5"/>
  <c r="P412" i="5"/>
  <c r="P415" i="5"/>
  <c r="P418" i="5"/>
  <c r="P421" i="5"/>
  <c r="P427" i="5"/>
  <c r="D448" i="5"/>
  <c r="J469" i="5"/>
  <c r="Q465" i="5"/>
  <c r="V465" i="5" s="1"/>
  <c r="P466" i="5"/>
  <c r="T466" i="5"/>
  <c r="F473" i="5"/>
  <c r="F479" i="5"/>
  <c r="V476" i="5"/>
  <c r="M444" i="5"/>
  <c r="F430" i="5"/>
  <c r="X430" i="5" s="1"/>
  <c r="P444" i="5"/>
  <c r="P495" i="5"/>
  <c r="P429" i="5"/>
  <c r="L445" i="5"/>
  <c r="C458" i="5"/>
  <c r="E454" i="5"/>
  <c r="T475" i="5"/>
  <c r="G482" i="5"/>
  <c r="I482" i="5" s="1"/>
  <c r="P499" i="5"/>
  <c r="Q483" i="5"/>
  <c r="V483" i="5" s="1"/>
  <c r="T519" i="5"/>
  <c r="P522" i="5"/>
  <c r="F523" i="5"/>
  <c r="G523" i="5" s="1"/>
  <c r="AN524" i="5"/>
  <c r="Q525" i="5"/>
  <c r="R525" i="5" s="1"/>
  <c r="E546" i="5"/>
  <c r="N549" i="5"/>
  <c r="P549" i="5" s="1"/>
  <c r="P468" i="5"/>
  <c r="P477" i="5"/>
  <c r="P480" i="5"/>
  <c r="G481" i="5"/>
  <c r="M492" i="5"/>
  <c r="O497" i="5"/>
  <c r="P497" i="5" s="1"/>
  <c r="Q522" i="5"/>
  <c r="V522" i="5" s="1"/>
  <c r="H526" i="5"/>
  <c r="P527" i="5"/>
  <c r="F528" i="5"/>
  <c r="H528" i="5" s="1"/>
  <c r="T536" i="5"/>
  <c r="Q536" i="5"/>
  <c r="V536" i="5" s="1"/>
  <c r="P536" i="5"/>
  <c r="M547" i="5"/>
  <c r="M553" i="5"/>
  <c r="T483" i="5"/>
  <c r="T525" i="5"/>
  <c r="Q527" i="5"/>
  <c r="V527" i="5" s="1"/>
  <c r="V530" i="5"/>
  <c r="T533" i="5"/>
  <c r="P533" i="5"/>
  <c r="D540" i="5"/>
  <c r="O547" i="5"/>
  <c r="F483" i="5"/>
  <c r="G483" i="5" s="1"/>
  <c r="O492" i="5"/>
  <c r="M493" i="5"/>
  <c r="M499" i="5"/>
  <c r="P521" i="5"/>
  <c r="E540" i="5"/>
  <c r="F530" i="5"/>
  <c r="X530" i="5" s="1"/>
  <c r="F532" i="5"/>
  <c r="X532" i="5" s="1"/>
  <c r="Q533" i="5"/>
  <c r="V533" i="5" s="1"/>
  <c r="F535" i="5"/>
  <c r="G535" i="5" s="1"/>
  <c r="N553" i="5"/>
  <c r="P553" i="5" s="1"/>
  <c r="I563" i="5"/>
  <c r="F522" i="5"/>
  <c r="G522" i="5" s="1"/>
  <c r="E550" i="5"/>
  <c r="G550" i="5" s="1"/>
  <c r="N551" i="5"/>
  <c r="P551" i="5" s="1"/>
  <c r="M551" i="5"/>
  <c r="P552" i="5"/>
  <c r="S553" i="5"/>
  <c r="P534" i="5"/>
  <c r="T534" i="5"/>
  <c r="M495" i="5"/>
  <c r="D513" i="5"/>
  <c r="F521" i="5"/>
  <c r="H521" i="5" s="1"/>
  <c r="AN1011" i="5"/>
  <c r="AN702" i="5"/>
  <c r="F529" i="5"/>
  <c r="X529" i="5" s="1"/>
  <c r="Q534" i="5"/>
  <c r="V534" i="5" s="1"/>
  <c r="F537" i="5"/>
  <c r="H537" i="5" s="1"/>
  <c r="T539" i="5"/>
  <c r="Q539" i="5"/>
  <c r="V539" i="5" s="1"/>
  <c r="P539" i="5"/>
  <c r="S546" i="5"/>
  <c r="F470" i="5"/>
  <c r="H470" i="5" s="1"/>
  <c r="Q481" i="5"/>
  <c r="V481" i="5" s="1"/>
  <c r="AN1004" i="5"/>
  <c r="AN686" i="5"/>
  <c r="P528" i="5"/>
  <c r="Q532" i="5"/>
  <c r="V532" i="5" s="1"/>
  <c r="P532" i="5"/>
  <c r="L537" i="5"/>
  <c r="F484" i="5"/>
  <c r="H484" i="5" s="1"/>
  <c r="F520" i="5"/>
  <c r="G520" i="5" s="1"/>
  <c r="W592" i="5"/>
  <c r="T528" i="5"/>
  <c r="AN540" i="5"/>
  <c r="L579" i="5"/>
  <c r="K608" i="5"/>
  <c r="D621" i="5"/>
  <c r="D632" i="5"/>
  <c r="F626" i="5"/>
  <c r="AO627" i="5"/>
  <c r="Q573" i="5"/>
  <c r="V573" i="5" s="1"/>
  <c r="Q576" i="5"/>
  <c r="V576" i="5" s="1"/>
  <c r="Q579" i="5"/>
  <c r="Q582" i="5"/>
  <c r="V582" i="5" s="1"/>
  <c r="Q585" i="5"/>
  <c r="V585" i="5" s="1"/>
  <c r="Q588" i="5"/>
  <c r="V588" i="5" s="1"/>
  <c r="E600" i="5"/>
  <c r="E601" i="5"/>
  <c r="G601" i="5" s="1"/>
  <c r="M607" i="5"/>
  <c r="I617" i="5"/>
  <c r="G627" i="5"/>
  <c r="F591" i="5"/>
  <c r="G591" i="5" s="1"/>
  <c r="H627" i="5"/>
  <c r="X628" i="5"/>
  <c r="P575" i="5"/>
  <c r="P581" i="5"/>
  <c r="P584" i="5"/>
  <c r="P590" i="5"/>
  <c r="P606" i="5"/>
  <c r="AO638" i="5"/>
  <c r="Z638" i="5"/>
  <c r="L633" i="5"/>
  <c r="Z685" i="5"/>
  <c r="AO685" i="5"/>
  <c r="M600" i="5"/>
  <c r="M601" i="5"/>
  <c r="F592" i="5"/>
  <c r="X592" i="5" s="1"/>
  <c r="F581" i="5"/>
  <c r="X581" i="5" s="1"/>
  <c r="F584" i="5"/>
  <c r="F587" i="5"/>
  <c r="G587" i="5" s="1"/>
  <c r="F590" i="5"/>
  <c r="G590" i="5" s="1"/>
  <c r="O600" i="5"/>
  <c r="P658" i="5"/>
  <c r="C621" i="5"/>
  <c r="E617" i="5"/>
  <c r="X641" i="5"/>
  <c r="G641" i="5"/>
  <c r="P654" i="5"/>
  <c r="P628" i="5"/>
  <c r="P631" i="5"/>
  <c r="P634" i="5"/>
  <c r="P637" i="5"/>
  <c r="U638" i="5"/>
  <c r="P640" i="5"/>
  <c r="P643" i="5"/>
  <c r="P646" i="5"/>
  <c r="F647" i="5"/>
  <c r="X647" i="5" s="1"/>
  <c r="N656" i="5"/>
  <c r="P656" i="5" s="1"/>
  <c r="N657" i="5"/>
  <c r="P657" i="5" s="1"/>
  <c r="M658" i="5"/>
  <c r="M660" i="5"/>
  <c r="P680" i="5"/>
  <c r="Q680" i="5"/>
  <c r="U682" i="5"/>
  <c r="P689" i="5"/>
  <c r="Q693" i="5"/>
  <c r="V693" i="5" s="1"/>
  <c r="C665" i="5"/>
  <c r="D702" i="5"/>
  <c r="F687" i="5"/>
  <c r="G687" i="5" s="1"/>
  <c r="S654" i="5"/>
  <c r="M661" i="5"/>
  <c r="K662" i="5"/>
  <c r="P683" i="5"/>
  <c r="D686" i="5"/>
  <c r="P710" i="5"/>
  <c r="S657" i="5"/>
  <c r="F682" i="5"/>
  <c r="X682" i="5" s="1"/>
  <c r="Q683" i="5"/>
  <c r="V683" i="5" s="1"/>
  <c r="H699" i="5"/>
  <c r="I699" i="5" s="1"/>
  <c r="O713" i="5"/>
  <c r="O716" i="5" s="1"/>
  <c r="M713" i="5"/>
  <c r="P684" i="5"/>
  <c r="Q684" i="5"/>
  <c r="V684" i="5" s="1"/>
  <c r="F698" i="5"/>
  <c r="X698" i="5" s="1"/>
  <c r="F688" i="5"/>
  <c r="H688" i="5" s="1"/>
  <c r="F694" i="5"/>
  <c r="X694" i="5" s="1"/>
  <c r="H696" i="5"/>
  <c r="F680" i="5"/>
  <c r="H680" i="5" s="1"/>
  <c r="X696" i="5"/>
  <c r="G696" i="5"/>
  <c r="F690" i="5"/>
  <c r="X690" i="5" s="1"/>
  <c r="T685" i="5"/>
  <c r="Q685" i="5"/>
  <c r="V685" i="5" s="1"/>
  <c r="E673" i="5"/>
  <c r="G673" i="5" s="1"/>
  <c r="Q682" i="5"/>
  <c r="V682" i="5" s="1"/>
  <c r="P685" i="5"/>
  <c r="N716" i="5"/>
  <c r="P708" i="5"/>
  <c r="O662" i="5"/>
  <c r="E710" i="5"/>
  <c r="G710" i="5" s="1"/>
  <c r="C719" i="5"/>
  <c r="P714" i="5"/>
  <c r="E671" i="5"/>
  <c r="G681" i="5"/>
  <c r="T682" i="5"/>
  <c r="F684" i="5"/>
  <c r="X684" i="5" s="1"/>
  <c r="Q690" i="5"/>
  <c r="V690" i="5" s="1"/>
  <c r="P690" i="5"/>
  <c r="P693" i="5"/>
  <c r="X699" i="5"/>
  <c r="K716" i="5"/>
  <c r="L751" i="5"/>
  <c r="C773" i="5"/>
  <c r="H797" i="5"/>
  <c r="L716" i="5"/>
  <c r="E740" i="5"/>
  <c r="N763" i="5"/>
  <c r="P763" i="5" s="1"/>
  <c r="M763" i="5"/>
  <c r="X806" i="5"/>
  <c r="F700" i="5"/>
  <c r="M710" i="5"/>
  <c r="E725" i="5"/>
  <c r="F734" i="5"/>
  <c r="P736" i="5"/>
  <c r="F737" i="5"/>
  <c r="H737" i="5" s="1"/>
  <c r="P739" i="5"/>
  <c r="P742" i="5"/>
  <c r="F743" i="5"/>
  <c r="H743" i="5" s="1"/>
  <c r="F748" i="5"/>
  <c r="H748" i="5" s="1"/>
  <c r="Q750" i="5"/>
  <c r="V750" i="5" s="1"/>
  <c r="W750" i="5" s="1"/>
  <c r="E762" i="5"/>
  <c r="Q736" i="5"/>
  <c r="V736" i="5" s="1"/>
  <c r="Q739" i="5"/>
  <c r="V739" i="5" s="1"/>
  <c r="Q742" i="5"/>
  <c r="V742" i="5" s="1"/>
  <c r="K770" i="5"/>
  <c r="U802" i="5"/>
  <c r="P694" i="5"/>
  <c r="P698" i="5"/>
  <c r="S708" i="5"/>
  <c r="M711" i="5"/>
  <c r="F745" i="5"/>
  <c r="X745" i="5" s="1"/>
  <c r="P746" i="5"/>
  <c r="T750" i="5"/>
  <c r="L770" i="5"/>
  <c r="O762" i="5"/>
  <c r="Q746" i="5"/>
  <c r="V746" i="5" s="1"/>
  <c r="U790" i="5"/>
  <c r="L748" i="5"/>
  <c r="P752" i="5"/>
  <c r="N766" i="5"/>
  <c r="P766" i="5" s="1"/>
  <c r="M766" i="5"/>
  <c r="N769" i="5"/>
  <c r="P769" i="5" s="1"/>
  <c r="M769" i="5"/>
  <c r="U793" i="5"/>
  <c r="P816" i="5"/>
  <c r="U799" i="5"/>
  <c r="F746" i="5"/>
  <c r="G746" i="5" s="1"/>
  <c r="F750" i="5"/>
  <c r="X750" i="5" s="1"/>
  <c r="U753" i="5"/>
  <c r="G789" i="5"/>
  <c r="U796" i="5"/>
  <c r="P692" i="5"/>
  <c r="P696" i="5"/>
  <c r="P700" i="5"/>
  <c r="M708" i="5"/>
  <c r="M714" i="5"/>
  <c r="F735" i="5"/>
  <c r="X735" i="5" s="1"/>
  <c r="P737" i="5"/>
  <c r="F738" i="5"/>
  <c r="X738" i="5" s="1"/>
  <c r="F741" i="5"/>
  <c r="P743" i="5"/>
  <c r="F744" i="5"/>
  <c r="X744" i="5" s="1"/>
  <c r="P745" i="5"/>
  <c r="Q745" i="5"/>
  <c r="V745" i="5" s="1"/>
  <c r="U805" i="5"/>
  <c r="Q748" i="5"/>
  <c r="V748" i="5" s="1"/>
  <c r="W748" i="5" s="1"/>
  <c r="Q751" i="5"/>
  <c r="V751" i="5" s="1"/>
  <c r="W751" i="5" s="1"/>
  <c r="Q754" i="5"/>
  <c r="V754" i="5" s="1"/>
  <c r="W754" i="5" s="1"/>
  <c r="N764" i="5"/>
  <c r="P764" i="5" s="1"/>
  <c r="Q790" i="5"/>
  <c r="V790" i="5" s="1"/>
  <c r="Q793" i="5"/>
  <c r="V793" i="5" s="1"/>
  <c r="Q796" i="5"/>
  <c r="V796" i="5" s="1"/>
  <c r="Q799" i="5"/>
  <c r="V799" i="5" s="1"/>
  <c r="Q802" i="5"/>
  <c r="V802" i="5" s="1"/>
  <c r="Q805" i="5"/>
  <c r="V805" i="5" s="1"/>
  <c r="M823" i="5"/>
  <c r="P843" i="5"/>
  <c r="AO847" i="5"/>
  <c r="Z847" i="5"/>
  <c r="F853" i="5"/>
  <c r="X853" i="5" s="1"/>
  <c r="P822" i="5"/>
  <c r="X846" i="5"/>
  <c r="G846" i="5"/>
  <c r="F850" i="5"/>
  <c r="X850" i="5" s="1"/>
  <c r="H851" i="5"/>
  <c r="AA855" i="5"/>
  <c r="Z855" i="5"/>
  <c r="F856" i="5"/>
  <c r="X856" i="5" s="1"/>
  <c r="U863" i="5"/>
  <c r="E810" i="5"/>
  <c r="Q824" i="5"/>
  <c r="H846" i="5"/>
  <c r="X851" i="5"/>
  <c r="G851" i="5"/>
  <c r="P789" i="5"/>
  <c r="F790" i="5"/>
  <c r="X790" i="5" s="1"/>
  <c r="P792" i="5"/>
  <c r="F793" i="5"/>
  <c r="X793" i="5" s="1"/>
  <c r="P795" i="5"/>
  <c r="F796" i="5"/>
  <c r="X796" i="5" s="1"/>
  <c r="P798" i="5"/>
  <c r="F799" i="5"/>
  <c r="X799" i="5" s="1"/>
  <c r="P801" i="5"/>
  <c r="F802" i="5"/>
  <c r="X802" i="5" s="1"/>
  <c r="P804" i="5"/>
  <c r="F805" i="5"/>
  <c r="X805" i="5" s="1"/>
  <c r="S816" i="5"/>
  <c r="H837" i="5"/>
  <c r="I835" i="5"/>
  <c r="T844" i="5"/>
  <c r="P844" i="5"/>
  <c r="F854" i="5"/>
  <c r="X854" i="5" s="1"/>
  <c r="G855" i="5"/>
  <c r="X857" i="5"/>
  <c r="G857" i="5"/>
  <c r="U862" i="5"/>
  <c r="Q792" i="5"/>
  <c r="V792" i="5" s="1"/>
  <c r="Q798" i="5"/>
  <c r="V798" i="5" s="1"/>
  <c r="Q801" i="5"/>
  <c r="V801" i="5" s="1"/>
  <c r="Q804" i="5"/>
  <c r="V804" i="5" s="1"/>
  <c r="P809" i="5"/>
  <c r="D827" i="5"/>
  <c r="C827" i="5"/>
  <c r="E848" i="5"/>
  <c r="L850" i="5"/>
  <c r="H855" i="5"/>
  <c r="G861" i="5"/>
  <c r="U845" i="5"/>
  <c r="E820" i="5"/>
  <c r="G820" i="5" s="1"/>
  <c r="L847" i="5"/>
  <c r="T852" i="5"/>
  <c r="Q852" i="5"/>
  <c r="V852" i="5" s="1"/>
  <c r="F859" i="5"/>
  <c r="X859" i="5" s="1"/>
  <c r="P874" i="5"/>
  <c r="F843" i="5"/>
  <c r="X843" i="5" s="1"/>
  <c r="T849" i="5"/>
  <c r="Q849" i="5"/>
  <c r="U852" i="5"/>
  <c r="T855" i="5"/>
  <c r="Q855" i="5"/>
  <c r="V855" i="5" s="1"/>
  <c r="P849" i="5"/>
  <c r="P855" i="5"/>
  <c r="L824" i="5"/>
  <c r="M821" i="5"/>
  <c r="C837" i="5"/>
  <c r="U846" i="5"/>
  <c r="W846" i="5" s="1"/>
  <c r="U851" i="5"/>
  <c r="AO863" i="5"/>
  <c r="AA863" i="5"/>
  <c r="Z863" i="5"/>
  <c r="E794" i="5"/>
  <c r="M816" i="5"/>
  <c r="M817" i="5"/>
  <c r="P823" i="5"/>
  <c r="K824" i="5"/>
  <c r="M820" i="5"/>
  <c r="AN864" i="5"/>
  <c r="L849" i="5"/>
  <c r="P850" i="5"/>
  <c r="R880" i="5"/>
  <c r="U899" i="5"/>
  <c r="T900" i="5"/>
  <c r="Q900" i="5"/>
  <c r="E918" i="5"/>
  <c r="Q912" i="5"/>
  <c r="V912" i="5" s="1"/>
  <c r="R934" i="5"/>
  <c r="Q878" i="5"/>
  <c r="F904" i="5"/>
  <c r="H904" i="5" s="1"/>
  <c r="L906" i="5"/>
  <c r="V957" i="5"/>
  <c r="C891" i="5"/>
  <c r="E926" i="5"/>
  <c r="G926" i="5" s="1"/>
  <c r="C935" i="5"/>
  <c r="Q861" i="5"/>
  <c r="V861" i="5" s="1"/>
  <c r="G863" i="5"/>
  <c r="M874" i="5"/>
  <c r="E889" i="5"/>
  <c r="G889" i="5" s="1"/>
  <c r="I890" i="5"/>
  <c r="J902" i="5"/>
  <c r="K902" i="5"/>
  <c r="K918" i="5"/>
  <c r="F911" i="5"/>
  <c r="X911" i="5" s="1"/>
  <c r="R932" i="5"/>
  <c r="AO971" i="5"/>
  <c r="AA971" i="5"/>
  <c r="Z971" i="5"/>
  <c r="F862" i="5"/>
  <c r="X862" i="5" s="1"/>
  <c r="F897" i="5"/>
  <c r="G897" i="5" s="1"/>
  <c r="L903" i="5"/>
  <c r="P916" i="5"/>
  <c r="D935" i="5"/>
  <c r="Z954" i="5"/>
  <c r="V959" i="5"/>
  <c r="W959" i="5" s="1"/>
  <c r="F845" i="5"/>
  <c r="X845" i="5" s="1"/>
  <c r="M875" i="5"/>
  <c r="T898" i="5"/>
  <c r="F905" i="5"/>
  <c r="X905" i="5" s="1"/>
  <c r="Q906" i="5"/>
  <c r="V906" i="5" s="1"/>
  <c r="F913" i="5"/>
  <c r="X913" i="5" s="1"/>
  <c r="Q916" i="5"/>
  <c r="V916" i="5" s="1"/>
  <c r="F849" i="5"/>
  <c r="U898" i="5"/>
  <c r="U908" i="5"/>
  <c r="O926" i="5"/>
  <c r="M926" i="5"/>
  <c r="L932" i="5"/>
  <c r="U910" i="5"/>
  <c r="F915" i="5"/>
  <c r="X915" i="5" s="1"/>
  <c r="Q858" i="5"/>
  <c r="V858" i="5" s="1"/>
  <c r="O870" i="5"/>
  <c r="M871" i="5"/>
  <c r="F898" i="5"/>
  <c r="H898" i="5" s="1"/>
  <c r="F901" i="5"/>
  <c r="X901" i="5" s="1"/>
  <c r="P904" i="5"/>
  <c r="F917" i="5"/>
  <c r="X917" i="5" s="1"/>
  <c r="D902" i="5"/>
  <c r="Q904" i="5"/>
  <c r="V904" i="5" s="1"/>
  <c r="E902" i="5"/>
  <c r="D918" i="5"/>
  <c r="G903" i="5"/>
  <c r="H909" i="5"/>
  <c r="P912" i="5"/>
  <c r="P924" i="5"/>
  <c r="O929" i="5"/>
  <c r="P929" i="5" s="1"/>
  <c r="M929" i="5"/>
  <c r="K932" i="5"/>
  <c r="T954" i="5"/>
  <c r="F957" i="5"/>
  <c r="T957" i="5"/>
  <c r="T962" i="5"/>
  <c r="P964" i="5"/>
  <c r="T967" i="5"/>
  <c r="T971" i="5"/>
  <c r="P984" i="5"/>
  <c r="E998" i="5"/>
  <c r="G998" i="5" s="1"/>
  <c r="C1043" i="5"/>
  <c r="F989" i="5"/>
  <c r="T1011" i="5"/>
  <c r="Q1011" i="5"/>
  <c r="P1011" i="5"/>
  <c r="E941" i="5"/>
  <c r="F950" i="5"/>
  <c r="P961" i="5"/>
  <c r="F962" i="5"/>
  <c r="P966" i="5"/>
  <c r="F967" i="5"/>
  <c r="X967" i="5" s="1"/>
  <c r="Q988" i="5"/>
  <c r="H957" i="5"/>
  <c r="Q961" i="5"/>
  <c r="V961" i="5" s="1"/>
  <c r="Q966" i="5"/>
  <c r="V966" i="5" s="1"/>
  <c r="Q968" i="5"/>
  <c r="V968" i="5" s="1"/>
  <c r="P968" i="5"/>
  <c r="G969" i="5"/>
  <c r="I969" i="5" s="1"/>
  <c r="X969" i="5"/>
  <c r="P970" i="5"/>
  <c r="K986" i="5"/>
  <c r="J1010" i="5"/>
  <c r="S924" i="5"/>
  <c r="M927" i="5"/>
  <c r="F959" i="5"/>
  <c r="F964" i="5"/>
  <c r="G964" i="5" s="1"/>
  <c r="Q970" i="5"/>
  <c r="V970" i="5" s="1"/>
  <c r="L986" i="5"/>
  <c r="P979" i="5"/>
  <c r="P981" i="5"/>
  <c r="S982" i="5"/>
  <c r="I996" i="5"/>
  <c r="L1040" i="5"/>
  <c r="P1036" i="5"/>
  <c r="F961" i="5"/>
  <c r="G1022" i="5"/>
  <c r="Q932" i="5"/>
  <c r="D972" i="5"/>
  <c r="H1022" i="5"/>
  <c r="S1036" i="5"/>
  <c r="N985" i="5"/>
  <c r="P985" i="5" s="1"/>
  <c r="M985" i="5"/>
  <c r="X1004" i="5"/>
  <c r="G1004" i="5"/>
  <c r="F1015" i="5"/>
  <c r="AO1022" i="5"/>
  <c r="AA1022" i="5"/>
  <c r="Z1022" i="5"/>
  <c r="P1039" i="5"/>
  <c r="L950" i="5"/>
  <c r="F952" i="5"/>
  <c r="F968" i="5"/>
  <c r="X968" i="5" s="1"/>
  <c r="F999" i="5"/>
  <c r="N1081" i="5"/>
  <c r="AD1061" i="5"/>
  <c r="P954" i="5"/>
  <c r="F955" i="5"/>
  <c r="X955" i="5" s="1"/>
  <c r="P957" i="5"/>
  <c r="F958" i="5"/>
  <c r="X958" i="5" s="1"/>
  <c r="T960" i="5"/>
  <c r="P962" i="5"/>
  <c r="F963" i="5"/>
  <c r="X963" i="5" s="1"/>
  <c r="P967" i="5"/>
  <c r="F970" i="5"/>
  <c r="X970" i="5" s="1"/>
  <c r="P971" i="5"/>
  <c r="R988" i="5"/>
  <c r="S979" i="5"/>
  <c r="H1004" i="5"/>
  <c r="M924" i="5"/>
  <c r="M930" i="5"/>
  <c r="F965" i="5"/>
  <c r="F1008" i="5"/>
  <c r="H1008" i="5" s="1"/>
  <c r="J1026" i="5"/>
  <c r="F1021" i="5"/>
  <c r="G1021" i="5" s="1"/>
  <c r="D989" i="5"/>
  <c r="N983" i="5"/>
  <c r="P983" i="5" s="1"/>
  <c r="M983" i="5"/>
  <c r="N980" i="5"/>
  <c r="P980" i="5" s="1"/>
  <c r="N1034" i="5"/>
  <c r="P1034" i="5" s="1"/>
  <c r="D1043" i="5"/>
  <c r="F1013" i="5"/>
  <c r="H1013" i="5" s="1"/>
  <c r="P1017" i="5"/>
  <c r="F1019" i="5"/>
  <c r="H1019" i="5" s="1"/>
  <c r="P1023" i="5"/>
  <c r="F1025" i="5"/>
  <c r="H1025" i="5" s="1"/>
  <c r="D1053" i="5"/>
  <c r="I995" i="5"/>
  <c r="P1006" i="5"/>
  <c r="Q1017" i="5"/>
  <c r="V1017" i="5" s="1"/>
  <c r="Q1023" i="5"/>
  <c r="V1023" i="5" s="1"/>
  <c r="S1033" i="5"/>
  <c r="M1036" i="5"/>
  <c r="I1049" i="5"/>
  <c r="R986" i="5"/>
  <c r="Q1006" i="5"/>
  <c r="V1006" i="5" s="1"/>
  <c r="F1012" i="5"/>
  <c r="X1012" i="5" s="1"/>
  <c r="Z1014" i="5"/>
  <c r="P1016" i="5"/>
  <c r="F1018" i="5"/>
  <c r="X1018" i="5" s="1"/>
  <c r="P1022" i="5"/>
  <c r="F1024" i="5"/>
  <c r="X1024" i="5" s="1"/>
  <c r="R1040" i="5"/>
  <c r="F1007" i="5"/>
  <c r="M1037" i="5"/>
  <c r="F1011" i="5"/>
  <c r="P1015" i="5"/>
  <c r="P1021" i="5"/>
  <c r="D1010" i="5"/>
  <c r="F1005" i="5"/>
  <c r="X1005" i="5" s="1"/>
  <c r="Q1014" i="5"/>
  <c r="V1014" i="5" s="1"/>
  <c r="Q1020" i="5"/>
  <c r="V1020" i="5" s="1"/>
  <c r="O1032" i="5"/>
  <c r="O1040" i="5" s="1"/>
  <c r="M1033" i="5"/>
  <c r="M1039" i="5"/>
  <c r="P1008" i="5"/>
  <c r="P1013" i="5"/>
  <c r="P1019" i="5"/>
  <c r="P1025" i="5"/>
  <c r="AZ181" i="5" l="1"/>
  <c r="G753" i="5"/>
  <c r="I753" i="5" s="1"/>
  <c r="Z753" i="5"/>
  <c r="G422" i="5"/>
  <c r="I422" i="5" s="1"/>
  <c r="R1012" i="5"/>
  <c r="X908" i="5"/>
  <c r="Z908" i="5" s="1"/>
  <c r="H753" i="5"/>
  <c r="AZ45" i="5"/>
  <c r="X576" i="5"/>
  <c r="H425" i="5"/>
  <c r="Q601" i="5"/>
  <c r="R530" i="5"/>
  <c r="AZ143" i="5"/>
  <c r="Q857" i="5" s="1"/>
  <c r="V857" i="5" s="1"/>
  <c r="W857" i="5" s="1"/>
  <c r="P734" i="5"/>
  <c r="U734" i="5" s="1"/>
  <c r="AZ14" i="5"/>
  <c r="R950" i="5"/>
  <c r="R863" i="5"/>
  <c r="G574" i="5"/>
  <c r="R476" i="5"/>
  <c r="G418" i="5"/>
  <c r="R636" i="5"/>
  <c r="W958" i="5"/>
  <c r="AZ203" i="5"/>
  <c r="G692" i="5"/>
  <c r="I692" i="5" s="1"/>
  <c r="X692" i="5"/>
  <c r="L359" i="5"/>
  <c r="K627" i="5"/>
  <c r="K632" i="5" s="1"/>
  <c r="K649" i="5" s="1"/>
  <c r="AZ217" i="5"/>
  <c r="W1005" i="5"/>
  <c r="S1040" i="5"/>
  <c r="S1041" i="5" s="1"/>
  <c r="H633" i="5"/>
  <c r="I633" i="5" s="1"/>
  <c r="AZ88" i="5"/>
  <c r="X633" i="5"/>
  <c r="G576" i="5"/>
  <c r="R635" i="5"/>
  <c r="R574" i="5"/>
  <c r="U695" i="5"/>
  <c r="H574" i="5"/>
  <c r="I574" i="5" s="1"/>
  <c r="J857" i="5"/>
  <c r="AZ160" i="5"/>
  <c r="X422" i="5"/>
  <c r="AZ180" i="5"/>
  <c r="R538" i="5"/>
  <c r="AZ129" i="5"/>
  <c r="AZ80" i="5"/>
  <c r="AZ205" i="5"/>
  <c r="R907" i="5"/>
  <c r="R591" i="5"/>
  <c r="W476" i="5"/>
  <c r="R859" i="5"/>
  <c r="AZ99" i="5"/>
  <c r="AZ85" i="5"/>
  <c r="R697" i="5"/>
  <c r="R960" i="5"/>
  <c r="H903" i="5"/>
  <c r="I903" i="5" s="1"/>
  <c r="H806" i="5"/>
  <c r="I806" i="5" s="1"/>
  <c r="AZ170" i="5"/>
  <c r="AZ113" i="5"/>
  <c r="W482" i="5"/>
  <c r="R583" i="5"/>
  <c r="W526" i="5"/>
  <c r="W910" i="5"/>
  <c r="AO474" i="5"/>
  <c r="H538" i="5"/>
  <c r="I538" i="5" s="1"/>
  <c r="AZ122" i="5"/>
  <c r="AA960" i="5"/>
  <c r="G899" i="5"/>
  <c r="G367" i="5"/>
  <c r="H618" i="5"/>
  <c r="P463" i="5"/>
  <c r="U463" i="5" s="1"/>
  <c r="K734" i="5"/>
  <c r="AZ126" i="5"/>
  <c r="AZ153" i="5"/>
  <c r="W738" i="5"/>
  <c r="X695" i="5"/>
  <c r="AO695" i="5" s="1"/>
  <c r="AZ197" i="5"/>
  <c r="L795" i="5"/>
  <c r="L810" i="5" s="1"/>
  <c r="X803" i="5"/>
  <c r="AO803" i="5" s="1"/>
  <c r="AZ106" i="5"/>
  <c r="G635" i="5"/>
  <c r="S1042" i="5"/>
  <c r="L809" i="5"/>
  <c r="AZ135" i="5"/>
  <c r="AZ175" i="5"/>
  <c r="W437" i="5"/>
  <c r="H527" i="5"/>
  <c r="E649" i="5"/>
  <c r="L663" i="5" s="1"/>
  <c r="W803" i="5"/>
  <c r="H803" i="5"/>
  <c r="I803" i="5" s="1"/>
  <c r="AZ192" i="5"/>
  <c r="K278" i="5"/>
  <c r="K280" i="5" s="1"/>
  <c r="K282" i="5" s="1"/>
  <c r="X428" i="5"/>
  <c r="Z428" i="5" s="1"/>
  <c r="R592" i="5"/>
  <c r="G353" i="5"/>
  <c r="I353" i="5" s="1"/>
  <c r="D757" i="5"/>
  <c r="D758" i="5" s="1"/>
  <c r="X527" i="5"/>
  <c r="AO527" i="5" s="1"/>
  <c r="AZ67" i="5"/>
  <c r="E783" i="5"/>
  <c r="W901" i="5"/>
  <c r="AO635" i="5"/>
  <c r="H635" i="5"/>
  <c r="Z909" i="5"/>
  <c r="R860" i="5"/>
  <c r="H519" i="5"/>
  <c r="G428" i="5"/>
  <c r="I428" i="5" s="1"/>
  <c r="P602" i="5"/>
  <c r="AO471" i="5"/>
  <c r="G519" i="5"/>
  <c r="I519" i="5" s="1"/>
  <c r="R370" i="5"/>
  <c r="Z367" i="5"/>
  <c r="AZ24" i="5"/>
  <c r="AZ12" i="5"/>
  <c r="H485" i="5"/>
  <c r="R422" i="5"/>
  <c r="AZ40" i="5"/>
  <c r="Q359" i="5" s="1"/>
  <c r="R914" i="5"/>
  <c r="U903" i="5"/>
  <c r="H366" i="5"/>
  <c r="AZ211" i="5"/>
  <c r="W530" i="5"/>
  <c r="AZ148" i="5"/>
  <c r="J734" i="5"/>
  <c r="AZ70" i="5"/>
  <c r="AZ52" i="5"/>
  <c r="R586" i="5"/>
  <c r="AZ163" i="5"/>
  <c r="AZ108" i="5"/>
  <c r="AZ8" i="5"/>
  <c r="W909" i="5"/>
  <c r="AZ216" i="5"/>
  <c r="AZ74" i="5"/>
  <c r="X701" i="5"/>
  <c r="Z701" i="5" s="1"/>
  <c r="AZ208" i="5"/>
  <c r="H354" i="5"/>
  <c r="I354" i="5" s="1"/>
  <c r="AZ62" i="5"/>
  <c r="AZ140" i="5"/>
  <c r="E595" i="5"/>
  <c r="L609" i="5" s="1"/>
  <c r="E1027" i="5"/>
  <c r="E1028" i="5" s="1"/>
  <c r="AZ191" i="5"/>
  <c r="U583" i="5"/>
  <c r="W583" i="5" s="1"/>
  <c r="R965" i="5"/>
  <c r="G809" i="5"/>
  <c r="G425" i="5"/>
  <c r="I425" i="5" s="1"/>
  <c r="H353" i="5"/>
  <c r="R846" i="5"/>
  <c r="AZ84" i="5"/>
  <c r="H638" i="5"/>
  <c r="H701" i="5"/>
  <c r="I701" i="5" s="1"/>
  <c r="U416" i="5"/>
  <c r="W416" i="5" s="1"/>
  <c r="X354" i="5"/>
  <c r="Z354" i="5" s="1"/>
  <c r="H808" i="5"/>
  <c r="I808" i="5" s="1"/>
  <c r="X525" i="5"/>
  <c r="Z525" i="5" s="1"/>
  <c r="I25" i="5"/>
  <c r="H755" i="5"/>
  <c r="K238" i="5"/>
  <c r="K240" i="5" s="1"/>
  <c r="K242" i="5" s="1"/>
  <c r="R579" i="5"/>
  <c r="AO809" i="5"/>
  <c r="J919" i="5"/>
  <c r="X572" i="5"/>
  <c r="AO572" i="5" s="1"/>
  <c r="W863" i="5"/>
  <c r="X808" i="5"/>
  <c r="H628" i="5"/>
  <c r="I628" i="5" s="1"/>
  <c r="X412" i="5"/>
  <c r="AO412" i="5" s="1"/>
  <c r="AZ154" i="5"/>
  <c r="S878" i="5"/>
  <c r="AA844" i="5"/>
  <c r="R806" i="5"/>
  <c r="R687" i="5"/>
  <c r="G415" i="5"/>
  <c r="G366" i="5"/>
  <c r="AZ220" i="5"/>
  <c r="G583" i="5"/>
  <c r="D595" i="5"/>
  <c r="D596" i="5" s="1"/>
  <c r="AZ102" i="5"/>
  <c r="R901" i="5"/>
  <c r="Z844" i="5"/>
  <c r="G412" i="5"/>
  <c r="I412" i="5" s="1"/>
  <c r="P735" i="5"/>
  <c r="AZ184" i="5"/>
  <c r="AZ150" i="5"/>
  <c r="L745" i="5"/>
  <c r="AZ66" i="5"/>
  <c r="F601" i="5" s="1"/>
  <c r="AZ200" i="5"/>
  <c r="D649" i="5"/>
  <c r="D650" i="5" s="1"/>
  <c r="K1027" i="5"/>
  <c r="AZ179" i="5"/>
  <c r="AZ178" i="5"/>
  <c r="K756" i="5"/>
  <c r="R482" i="5"/>
  <c r="X910" i="5"/>
  <c r="AA910" i="5" s="1"/>
  <c r="I846" i="5"/>
  <c r="E757" i="5"/>
  <c r="L771" i="5" s="1"/>
  <c r="G531" i="5"/>
  <c r="I531" i="5" s="1"/>
  <c r="AZ167" i="5"/>
  <c r="H583" i="5"/>
  <c r="D811" i="5"/>
  <c r="K825" i="5" s="1"/>
  <c r="AZ42" i="5"/>
  <c r="Q464" i="5" s="1"/>
  <c r="V464" i="5" s="1"/>
  <c r="W464" i="5" s="1"/>
  <c r="E973" i="5"/>
  <c r="L987" i="5" s="1"/>
  <c r="X534" i="5"/>
  <c r="Z534" i="5" s="1"/>
  <c r="R800" i="5"/>
  <c r="AO681" i="5"/>
  <c r="K274" i="5"/>
  <c r="K273" i="5" s="1"/>
  <c r="S986" i="5"/>
  <c r="S987" i="5" s="1"/>
  <c r="AZ146" i="5"/>
  <c r="AZ38" i="5"/>
  <c r="R497" i="5" s="1"/>
  <c r="S497" i="5" s="1"/>
  <c r="I68" i="5"/>
  <c r="U635" i="5"/>
  <c r="W635" i="5" s="1"/>
  <c r="AZ87" i="5"/>
  <c r="G910" i="5"/>
  <c r="I910" i="5" s="1"/>
  <c r="AZ26" i="5"/>
  <c r="K691" i="5"/>
  <c r="K702" i="5" s="1"/>
  <c r="K703" i="5" s="1"/>
  <c r="W695" i="5"/>
  <c r="U574" i="5"/>
  <c r="W574" i="5" s="1"/>
  <c r="Q712" i="5"/>
  <c r="AZ158" i="5"/>
  <c r="AZ61" i="5"/>
  <c r="W699" i="5"/>
  <c r="L1010" i="5"/>
  <c r="R1024" i="5"/>
  <c r="G534" i="5"/>
  <c r="I534" i="5" s="1"/>
  <c r="AZ35" i="5"/>
  <c r="R589" i="5"/>
  <c r="R1009" i="5"/>
  <c r="G891" i="5"/>
  <c r="G804" i="5"/>
  <c r="X531" i="5"/>
  <c r="AO531" i="5" s="1"/>
  <c r="AZ98" i="5"/>
  <c r="R908" i="5"/>
  <c r="AZ6" i="5"/>
  <c r="W908" i="5"/>
  <c r="H809" i="5"/>
  <c r="Z637" i="5"/>
  <c r="Z643" i="5"/>
  <c r="R523" i="5"/>
  <c r="Q445" i="5"/>
  <c r="J578" i="5"/>
  <c r="AZ213" i="5"/>
  <c r="R531" i="5"/>
  <c r="X642" i="5"/>
  <c r="W577" i="5"/>
  <c r="H843" i="5"/>
  <c r="E703" i="5"/>
  <c r="L717" i="5" s="1"/>
  <c r="Q606" i="5"/>
  <c r="G526" i="5"/>
  <c r="I526" i="5" s="1"/>
  <c r="P572" i="5"/>
  <c r="P578" i="5" s="1"/>
  <c r="I367" i="5"/>
  <c r="AO583" i="5"/>
  <c r="J755" i="5"/>
  <c r="L755" i="5" s="1"/>
  <c r="G586" i="5"/>
  <c r="G954" i="5"/>
  <c r="K648" i="5"/>
  <c r="AZ39" i="5"/>
  <c r="AZ207" i="5"/>
  <c r="AO586" i="5"/>
  <c r="R428" i="5"/>
  <c r="I1053" i="5"/>
  <c r="AZ202" i="5"/>
  <c r="R629" i="5"/>
  <c r="W354" i="5"/>
  <c r="K810" i="5"/>
  <c r="K811" i="5" s="1"/>
  <c r="R479" i="5"/>
  <c r="AZ103" i="5"/>
  <c r="F782" i="5" s="1"/>
  <c r="I782" i="5" s="1"/>
  <c r="R808" i="5"/>
  <c r="I863" i="5"/>
  <c r="R803" i="5"/>
  <c r="I857" i="5"/>
  <c r="P626" i="5"/>
  <c r="U626" i="5" s="1"/>
  <c r="W633" i="5"/>
  <c r="I852" i="5"/>
  <c r="AZ105" i="5"/>
  <c r="F764" i="5" s="1"/>
  <c r="AZ130" i="5"/>
  <c r="AZ161" i="5"/>
  <c r="H915" i="5"/>
  <c r="AZ176" i="5"/>
  <c r="H586" i="5"/>
  <c r="R535" i="5"/>
  <c r="AZ115" i="5"/>
  <c r="W1009" i="5"/>
  <c r="I999" i="5"/>
  <c r="Z691" i="5"/>
  <c r="X585" i="5"/>
  <c r="S880" i="5"/>
  <c r="G896" i="5"/>
  <c r="I896" i="5" s="1"/>
  <c r="G788" i="5"/>
  <c r="I788" i="5" s="1"/>
  <c r="Z789" i="5"/>
  <c r="G689" i="5"/>
  <c r="I689" i="5" s="1"/>
  <c r="U697" i="5"/>
  <c r="W697" i="5" s="1"/>
  <c r="H466" i="5"/>
  <c r="AZ41" i="5"/>
  <c r="S826" i="5"/>
  <c r="G638" i="5"/>
  <c r="I638" i="5" s="1"/>
  <c r="H966" i="5"/>
  <c r="R473" i="5"/>
  <c r="W535" i="5"/>
  <c r="Z966" i="5"/>
  <c r="G909" i="5"/>
  <c r="I909" i="5" s="1"/>
  <c r="X896" i="5"/>
  <c r="Z896" i="5" s="1"/>
  <c r="R788" i="5"/>
  <c r="R699" i="5"/>
  <c r="X689" i="5"/>
  <c r="AO689" i="5" s="1"/>
  <c r="AN1026" i="5"/>
  <c r="R410" i="5"/>
  <c r="G691" i="5"/>
  <c r="X485" i="5"/>
  <c r="N824" i="5"/>
  <c r="AZ193" i="5"/>
  <c r="AZ183" i="5"/>
  <c r="AO629" i="5"/>
  <c r="H726" i="5"/>
  <c r="W858" i="5"/>
  <c r="L956" i="5"/>
  <c r="V918" i="5"/>
  <c r="AO804" i="5"/>
  <c r="H858" i="5"/>
  <c r="W969" i="5"/>
  <c r="L1026" i="5"/>
  <c r="N445" i="5"/>
  <c r="P691" i="5"/>
  <c r="U691" i="5" s="1"/>
  <c r="G371" i="5"/>
  <c r="I371" i="5" s="1"/>
  <c r="E513" i="5"/>
  <c r="I1022" i="5"/>
  <c r="G755" i="5"/>
  <c r="AA966" i="5"/>
  <c r="G915" i="5"/>
  <c r="AA909" i="5"/>
  <c r="R738" i="5"/>
  <c r="O770" i="5"/>
  <c r="H634" i="5"/>
  <c r="I641" i="5"/>
  <c r="X409" i="5"/>
  <c r="AO409" i="5" s="1"/>
  <c r="AZ13" i="5"/>
  <c r="AZ94" i="5"/>
  <c r="Q681" i="5" s="1"/>
  <c r="V681" i="5" s="1"/>
  <c r="W681" i="5" s="1"/>
  <c r="AZ20" i="5"/>
  <c r="L972" i="5"/>
  <c r="I960" i="5"/>
  <c r="H951" i="5"/>
  <c r="X951" i="5"/>
  <c r="G935" i="5"/>
  <c r="G937" i="5" s="1"/>
  <c r="H937" i="5" s="1"/>
  <c r="E999" i="5"/>
  <c r="H585" i="5"/>
  <c r="I585" i="5" s="1"/>
  <c r="R419" i="5"/>
  <c r="G901" i="5"/>
  <c r="R959" i="5"/>
  <c r="H575" i="5"/>
  <c r="Z477" i="5"/>
  <c r="G413" i="5"/>
  <c r="I413" i="5" s="1"/>
  <c r="AZ173" i="5"/>
  <c r="P627" i="5"/>
  <c r="U627" i="5" s="1"/>
  <c r="AZ5" i="5"/>
  <c r="H804" i="5"/>
  <c r="X539" i="5"/>
  <c r="Z539" i="5" s="1"/>
  <c r="W806" i="5"/>
  <c r="E989" i="5"/>
  <c r="E991" i="5" s="1"/>
  <c r="R467" i="5"/>
  <c r="R905" i="5"/>
  <c r="G539" i="5"/>
  <c r="I539" i="5" s="1"/>
  <c r="W800" i="5"/>
  <c r="G966" i="5"/>
  <c r="X413" i="5"/>
  <c r="Z413" i="5" s="1"/>
  <c r="AZ78" i="5"/>
  <c r="AZ49" i="5"/>
  <c r="I891" i="5"/>
  <c r="Z466" i="5"/>
  <c r="H368" i="5"/>
  <c r="I368" i="5" s="1"/>
  <c r="I945" i="5"/>
  <c r="J361" i="5"/>
  <c r="R910" i="5"/>
  <c r="H455" i="5"/>
  <c r="H458" i="5" s="1"/>
  <c r="G951" i="5"/>
  <c r="H900" i="5"/>
  <c r="G900" i="5"/>
  <c r="I900" i="5" s="1"/>
  <c r="W914" i="5"/>
  <c r="H525" i="5"/>
  <c r="I525" i="5" s="1"/>
  <c r="X639" i="5"/>
  <c r="G639" i="5"/>
  <c r="I639" i="5" s="1"/>
  <c r="U365" i="5"/>
  <c r="W365" i="5" s="1"/>
  <c r="R365" i="5"/>
  <c r="Z747" i="5"/>
  <c r="AO747" i="5"/>
  <c r="X465" i="5"/>
  <c r="H465" i="5"/>
  <c r="G465" i="5"/>
  <c r="X575" i="5"/>
  <c r="AO575" i="5" s="1"/>
  <c r="X645" i="5"/>
  <c r="H645" i="5"/>
  <c r="G645" i="5"/>
  <c r="G1043" i="5"/>
  <c r="G1045" i="5" s="1"/>
  <c r="H1045" i="5" s="1"/>
  <c r="Q1010" i="5"/>
  <c r="F414" i="5"/>
  <c r="H414" i="5" s="1"/>
  <c r="V520" i="5"/>
  <c r="W520" i="5" s="1"/>
  <c r="R520" i="5"/>
  <c r="G856" i="5"/>
  <c r="R1004" i="5"/>
  <c r="X1009" i="5"/>
  <c r="AO1009" i="5" s="1"/>
  <c r="H907" i="5"/>
  <c r="G509" i="5"/>
  <c r="G513" i="5" s="1"/>
  <c r="R896" i="5"/>
  <c r="U808" i="5"/>
  <c r="W808" i="5" s="1"/>
  <c r="AZ114" i="5"/>
  <c r="R425" i="5"/>
  <c r="AZ43" i="5"/>
  <c r="X1023" i="5"/>
  <c r="Z1023" i="5" s="1"/>
  <c r="H1023" i="5"/>
  <c r="G1023" i="5"/>
  <c r="U853" i="5"/>
  <c r="W853" i="5" s="1"/>
  <c r="R853" i="5"/>
  <c r="M986" i="5"/>
  <c r="X788" i="5"/>
  <c r="AO788" i="5" s="1"/>
  <c r="Z683" i="5"/>
  <c r="P359" i="5"/>
  <c r="U359" i="5" s="1"/>
  <c r="X588" i="5"/>
  <c r="Z588" i="5" s="1"/>
  <c r="H588" i="5"/>
  <c r="AO852" i="5"/>
  <c r="H424" i="5"/>
  <c r="AZ132" i="5"/>
  <c r="Z574" i="5"/>
  <c r="AO574" i="5"/>
  <c r="H854" i="5"/>
  <c r="H693" i="5"/>
  <c r="W851" i="5"/>
  <c r="R897" i="5"/>
  <c r="W410" i="5"/>
  <c r="R580" i="5"/>
  <c r="W588" i="5"/>
  <c r="G588" i="5"/>
  <c r="H418" i="5"/>
  <c r="I418" i="5" s="1"/>
  <c r="K360" i="5"/>
  <c r="X416" i="5"/>
  <c r="Z416" i="5" s="1"/>
  <c r="G416" i="5"/>
  <c r="I416" i="5" s="1"/>
  <c r="R958" i="5"/>
  <c r="AZ50" i="5"/>
  <c r="H752" i="5"/>
  <c r="I752" i="5" s="1"/>
  <c r="X752" i="5"/>
  <c r="Z752" i="5" s="1"/>
  <c r="X1016" i="5"/>
  <c r="H1016" i="5"/>
  <c r="I1016" i="5" s="1"/>
  <c r="W953" i="5"/>
  <c r="K973" i="5"/>
  <c r="Z755" i="5"/>
  <c r="AO755" i="5"/>
  <c r="J843" i="5"/>
  <c r="L843" i="5" s="1"/>
  <c r="AZ141" i="5"/>
  <c r="Q843" i="5" s="1"/>
  <c r="V843" i="5" s="1"/>
  <c r="U367" i="5"/>
  <c r="W367" i="5" s="1"/>
  <c r="R367" i="5"/>
  <c r="U791" i="5"/>
  <c r="W791" i="5" s="1"/>
  <c r="R791" i="5"/>
  <c r="W479" i="5"/>
  <c r="X636" i="5"/>
  <c r="G636" i="5"/>
  <c r="I636" i="5" s="1"/>
  <c r="U644" i="5"/>
  <c r="W644" i="5" s="1"/>
  <c r="R644" i="5"/>
  <c r="H742" i="5"/>
  <c r="X742" i="5"/>
  <c r="AO742" i="5" s="1"/>
  <c r="G742" i="5"/>
  <c r="I742" i="5" s="1"/>
  <c r="R642" i="5"/>
  <c r="W917" i="5"/>
  <c r="V430" i="5"/>
  <c r="W430" i="5" s="1"/>
  <c r="R430" i="5"/>
  <c r="U537" i="5"/>
  <c r="W537" i="5" s="1"/>
  <c r="R537" i="5"/>
  <c r="G1009" i="5"/>
  <c r="I1009" i="5" s="1"/>
  <c r="AZ223" i="5"/>
  <c r="W911" i="5"/>
  <c r="Q768" i="5"/>
  <c r="H780" i="5"/>
  <c r="X861" i="5"/>
  <c r="AO861" i="5" s="1"/>
  <c r="H861" i="5"/>
  <c r="AZ124" i="5"/>
  <c r="P902" i="5"/>
  <c r="G503" i="5"/>
  <c r="G505" i="5" s="1"/>
  <c r="E432" i="5"/>
  <c r="L446" i="5" s="1"/>
  <c r="R633" i="5"/>
  <c r="J973" i="5"/>
  <c r="AZ222" i="5"/>
  <c r="D1027" i="5"/>
  <c r="D1028" i="5" s="1"/>
  <c r="R951" i="5"/>
  <c r="AZ188" i="5"/>
  <c r="X962" i="5"/>
  <c r="AO962" i="5" s="1"/>
  <c r="G962" i="5"/>
  <c r="R969" i="5"/>
  <c r="U896" i="5"/>
  <c r="U902" i="5" s="1"/>
  <c r="Z907" i="5"/>
  <c r="Z852" i="5"/>
  <c r="AO693" i="5"/>
  <c r="AZ56" i="5"/>
  <c r="X580" i="5"/>
  <c r="H580" i="5"/>
  <c r="I580" i="5" s="1"/>
  <c r="H856" i="5"/>
  <c r="I113" i="5"/>
  <c r="X798" i="5"/>
  <c r="Z798" i="5" s="1"/>
  <c r="G798" i="5"/>
  <c r="I798" i="5" s="1"/>
  <c r="Z634" i="5"/>
  <c r="R1005" i="5"/>
  <c r="AZ149" i="5"/>
  <c r="G1050" i="5"/>
  <c r="G1053" i="5" s="1"/>
  <c r="E1053" i="5"/>
  <c r="S934" i="5"/>
  <c r="G844" i="5"/>
  <c r="AZ186" i="5"/>
  <c r="I98" i="5"/>
  <c r="AZ64" i="5"/>
  <c r="R601" i="5" s="1"/>
  <c r="AZ31" i="5"/>
  <c r="U645" i="5"/>
  <c r="W645" i="5" s="1"/>
  <c r="H533" i="5"/>
  <c r="I533" i="5" s="1"/>
  <c r="X533" i="5"/>
  <c r="AO533" i="5" s="1"/>
  <c r="R1007" i="5"/>
  <c r="G978" i="5"/>
  <c r="G989" i="5" s="1"/>
  <c r="G991" i="5" s="1"/>
  <c r="H991" i="5" s="1"/>
  <c r="G858" i="5"/>
  <c r="R845" i="5"/>
  <c r="AO792" i="5"/>
  <c r="W585" i="5"/>
  <c r="G424" i="5"/>
  <c r="AZ128" i="5"/>
  <c r="AZ214" i="5"/>
  <c r="H798" i="5"/>
  <c r="AZ97" i="5"/>
  <c r="K735" i="5"/>
  <c r="X427" i="5"/>
  <c r="Z427" i="5" s="1"/>
  <c r="H427" i="5"/>
  <c r="I427" i="5" s="1"/>
  <c r="AZ44" i="5"/>
  <c r="AZ65" i="5"/>
  <c r="L857" i="5"/>
  <c r="L864" i="5" s="1"/>
  <c r="J864" i="5"/>
  <c r="M1040" i="5"/>
  <c r="R371" i="5"/>
  <c r="U371" i="5"/>
  <c r="W371" i="5" s="1"/>
  <c r="H593" i="5"/>
  <c r="G593" i="5"/>
  <c r="X860" i="5"/>
  <c r="H860" i="5"/>
  <c r="X355" i="5"/>
  <c r="Z355" i="5" s="1"/>
  <c r="G355" i="5"/>
  <c r="H355" i="5"/>
  <c r="U747" i="5"/>
  <c r="W747" i="5" s="1"/>
  <c r="R747" i="5"/>
  <c r="AZ92" i="5"/>
  <c r="F709" i="5" s="1"/>
  <c r="AZ91" i="5"/>
  <c r="X573" i="5"/>
  <c r="AO573" i="5" s="1"/>
  <c r="H573" i="5"/>
  <c r="F578" i="5"/>
  <c r="G578" i="5" s="1"/>
  <c r="V753" i="5"/>
  <c r="W753" i="5" s="1"/>
  <c r="R753" i="5"/>
  <c r="V862" i="5"/>
  <c r="W862" i="5" s="1"/>
  <c r="R862" i="5"/>
  <c r="AZ174" i="5"/>
  <c r="H1018" i="5"/>
  <c r="R744" i="5"/>
  <c r="AZ159" i="5"/>
  <c r="R577" i="5"/>
  <c r="W1004" i="5"/>
  <c r="G410" i="5"/>
  <c r="L681" i="5"/>
  <c r="L686" i="5" s="1"/>
  <c r="J686" i="5"/>
  <c r="H410" i="5"/>
  <c r="L578" i="5"/>
  <c r="R911" i="5"/>
  <c r="W905" i="5"/>
  <c r="H747" i="5"/>
  <c r="H792" i="5"/>
  <c r="G791" i="5"/>
  <c r="X791" i="5"/>
  <c r="H791" i="5"/>
  <c r="V898" i="5"/>
  <c r="W898" i="5" s="1"/>
  <c r="R898" i="5"/>
  <c r="X472" i="5"/>
  <c r="H472" i="5"/>
  <c r="I472" i="5" s="1"/>
  <c r="AA907" i="5"/>
  <c r="AO899" i="5"/>
  <c r="Z899" i="5"/>
  <c r="W355" i="5"/>
  <c r="V630" i="5"/>
  <c r="W630" i="5" s="1"/>
  <c r="R630" i="5"/>
  <c r="Z960" i="5"/>
  <c r="AN865" i="5"/>
  <c r="AN868" i="5" s="1"/>
  <c r="R807" i="5"/>
  <c r="R909" i="5"/>
  <c r="U639" i="5"/>
  <c r="W639" i="5" s="1"/>
  <c r="R639" i="5"/>
  <c r="X916" i="5"/>
  <c r="AO916" i="5" s="1"/>
  <c r="G916" i="5"/>
  <c r="I916" i="5" s="1"/>
  <c r="AZ190" i="5"/>
  <c r="I1006" i="5"/>
  <c r="X593" i="5"/>
  <c r="Z593" i="5" s="1"/>
  <c r="K593" i="5"/>
  <c r="K594" i="5" s="1"/>
  <c r="K595" i="5" s="1"/>
  <c r="K374" i="5"/>
  <c r="AZ60" i="5"/>
  <c r="N932" i="5"/>
  <c r="AZ185" i="5"/>
  <c r="L902" i="5"/>
  <c r="H908" i="5"/>
  <c r="I908" i="5" s="1"/>
  <c r="Q340" i="5"/>
  <c r="K342" i="5"/>
  <c r="Z1006" i="5"/>
  <c r="H950" i="5"/>
  <c r="G950" i="5"/>
  <c r="X952" i="5"/>
  <c r="AO952" i="5" s="1"/>
  <c r="H952" i="5"/>
  <c r="W1007" i="5"/>
  <c r="G907" i="5"/>
  <c r="H844" i="5"/>
  <c r="I844" i="5" s="1"/>
  <c r="W845" i="5"/>
  <c r="G693" i="5"/>
  <c r="O608" i="5"/>
  <c r="W582" i="5"/>
  <c r="H409" i="5"/>
  <c r="I409" i="5" s="1"/>
  <c r="P641" i="5"/>
  <c r="P368" i="5"/>
  <c r="U368" i="5" s="1"/>
  <c r="J691" i="5"/>
  <c r="J842" i="5"/>
  <c r="R955" i="5"/>
  <c r="AZ82" i="5"/>
  <c r="AZ47" i="5"/>
  <c r="H421" i="5"/>
  <c r="I421" i="5" s="1"/>
  <c r="X421" i="5"/>
  <c r="Z421" i="5" s="1"/>
  <c r="X751" i="5"/>
  <c r="H751" i="5"/>
  <c r="I751" i="5" s="1"/>
  <c r="I681" i="5"/>
  <c r="J487" i="5"/>
  <c r="AZ134" i="5"/>
  <c r="AZ144" i="5"/>
  <c r="AZ63" i="5"/>
  <c r="AZ133" i="5"/>
  <c r="AZ27" i="5"/>
  <c r="H1024" i="5"/>
  <c r="R854" i="5"/>
  <c r="AZ162" i="5"/>
  <c r="AZ171" i="5"/>
  <c r="AZ83" i="5"/>
  <c r="AZ15" i="5"/>
  <c r="U580" i="5"/>
  <c r="W580" i="5" s="1"/>
  <c r="AZ89" i="5"/>
  <c r="AZ17" i="5"/>
  <c r="AZ54" i="5"/>
  <c r="K879" i="5"/>
  <c r="AZ221" i="5"/>
  <c r="AZ204" i="5"/>
  <c r="O878" i="5"/>
  <c r="AZ195" i="5"/>
  <c r="G629" i="5"/>
  <c r="P353" i="5"/>
  <c r="U353" i="5" s="1"/>
  <c r="AZ152" i="5"/>
  <c r="H970" i="5"/>
  <c r="O554" i="5"/>
  <c r="G466" i="5"/>
  <c r="AZ218" i="5"/>
  <c r="AZ168" i="5"/>
  <c r="AZ9" i="5"/>
  <c r="AZ37" i="5"/>
  <c r="AZ224" i="5"/>
  <c r="AZ118" i="5"/>
  <c r="F818" i="5" s="1"/>
  <c r="W467" i="5"/>
  <c r="AZ125" i="5"/>
  <c r="W419" i="5"/>
  <c r="W913" i="5"/>
  <c r="W531" i="5"/>
  <c r="AZ215" i="5"/>
  <c r="AN1010" i="5"/>
  <c r="AZ165" i="5"/>
  <c r="AZ21" i="5"/>
  <c r="F437" i="5" s="1"/>
  <c r="AZ172" i="5"/>
  <c r="P352" i="5"/>
  <c r="U352" i="5" s="1"/>
  <c r="W589" i="5"/>
  <c r="H629" i="5"/>
  <c r="E665" i="5"/>
  <c r="E667" i="5" s="1"/>
  <c r="AO736" i="5"/>
  <c r="Z736" i="5"/>
  <c r="W899" i="5"/>
  <c r="G859" i="5"/>
  <c r="G967" i="5"/>
  <c r="G630" i="5"/>
  <c r="AO589" i="5"/>
  <c r="G592" i="5"/>
  <c r="AZ93" i="5"/>
  <c r="I18" i="5"/>
  <c r="I642" i="5"/>
  <c r="AZ57" i="5"/>
  <c r="L587" i="5"/>
  <c r="Q552" i="5"/>
  <c r="R952" i="5"/>
  <c r="S932" i="5"/>
  <c r="E1043" i="5"/>
  <c r="E1045" i="5" s="1"/>
  <c r="H962" i="5"/>
  <c r="P870" i="5"/>
  <c r="P878" i="5" s="1"/>
  <c r="R847" i="5"/>
  <c r="F848" i="5"/>
  <c r="G848" i="5" s="1"/>
  <c r="I855" i="5"/>
  <c r="G719" i="5"/>
  <c r="G721" i="5" s="1"/>
  <c r="H721" i="5" s="1"/>
  <c r="H694" i="5"/>
  <c r="H572" i="5"/>
  <c r="I572" i="5" s="1"/>
  <c r="I481" i="5"/>
  <c r="R413" i="5"/>
  <c r="G365" i="5"/>
  <c r="I365" i="5" s="1"/>
  <c r="X368" i="5"/>
  <c r="AO368" i="5" s="1"/>
  <c r="AZ145" i="5"/>
  <c r="Q842" i="5" s="1"/>
  <c r="G736" i="5"/>
  <c r="G914" i="5"/>
  <c r="G860" i="5"/>
  <c r="H954" i="5"/>
  <c r="P1010" i="5"/>
  <c r="G999" i="5"/>
  <c r="AA1006" i="5"/>
  <c r="O932" i="5"/>
  <c r="W847" i="5"/>
  <c r="O500" i="5"/>
  <c r="V473" i="5"/>
  <c r="W473" i="5" s="1"/>
  <c r="R369" i="5"/>
  <c r="I357" i="5"/>
  <c r="H419" i="5"/>
  <c r="AZ72" i="5"/>
  <c r="H736" i="5"/>
  <c r="K364" i="5"/>
  <c r="R851" i="5"/>
  <c r="H899" i="5"/>
  <c r="I899" i="5" s="1"/>
  <c r="G1017" i="5"/>
  <c r="I1017" i="5" s="1"/>
  <c r="Z914" i="5"/>
  <c r="R526" i="5"/>
  <c r="H530" i="5"/>
  <c r="G448" i="5"/>
  <c r="G450" i="5" s="1"/>
  <c r="R355" i="5"/>
  <c r="AZ76" i="5"/>
  <c r="AZ7" i="5"/>
  <c r="AZ109" i="5"/>
  <c r="R767" i="5" s="1"/>
  <c r="I797" i="5"/>
  <c r="R913" i="5"/>
  <c r="AZ22" i="5"/>
  <c r="AZ10" i="5"/>
  <c r="W897" i="5"/>
  <c r="G971" i="5"/>
  <c r="X1020" i="5"/>
  <c r="G1020" i="5"/>
  <c r="I1020" i="5" s="1"/>
  <c r="H914" i="5"/>
  <c r="M878" i="5"/>
  <c r="H644" i="5"/>
  <c r="X1017" i="5"/>
  <c r="AA1017" i="5" s="1"/>
  <c r="S988" i="5"/>
  <c r="AA914" i="5"/>
  <c r="G845" i="5"/>
  <c r="R797" i="5"/>
  <c r="H690" i="5"/>
  <c r="G654" i="5"/>
  <c r="G665" i="5" s="1"/>
  <c r="G667" i="5" s="1"/>
  <c r="AZ112" i="5"/>
  <c r="H399" i="5"/>
  <c r="AZ33" i="5"/>
  <c r="R917" i="5"/>
  <c r="AZ111" i="5"/>
  <c r="V856" i="5"/>
  <c r="W856" i="5" s="1"/>
  <c r="R856" i="5"/>
  <c r="H842" i="5"/>
  <c r="I842" i="5" s="1"/>
  <c r="X842" i="5"/>
  <c r="X848" i="5" s="1"/>
  <c r="I1014" i="5"/>
  <c r="W797" i="5"/>
  <c r="G644" i="5"/>
  <c r="G419" i="5"/>
  <c r="AZ104" i="5"/>
  <c r="AZ19" i="5"/>
  <c r="H589" i="5"/>
  <c r="K361" i="5"/>
  <c r="R354" i="5"/>
  <c r="H963" i="5"/>
  <c r="R749" i="5"/>
  <c r="G750" i="5"/>
  <c r="U629" i="5"/>
  <c r="W629" i="5" s="1"/>
  <c r="G582" i="5"/>
  <c r="T552" i="5"/>
  <c r="D487" i="5"/>
  <c r="K501" i="5" s="1"/>
  <c r="R373" i="5"/>
  <c r="H415" i="5"/>
  <c r="H564" i="5"/>
  <c r="H567" i="5" s="1"/>
  <c r="AZ16" i="5"/>
  <c r="U952" i="5"/>
  <c r="W952" i="5" s="1"/>
  <c r="X953" i="5"/>
  <c r="G953" i="5"/>
  <c r="G912" i="5"/>
  <c r="X912" i="5"/>
  <c r="L918" i="5"/>
  <c r="G913" i="5"/>
  <c r="W861" i="5"/>
  <c r="G843" i="5"/>
  <c r="W749" i="5"/>
  <c r="H631" i="5"/>
  <c r="H630" i="5"/>
  <c r="P519" i="5"/>
  <c r="U519" i="5" s="1"/>
  <c r="J594" i="5"/>
  <c r="H582" i="5"/>
  <c r="P518" i="5"/>
  <c r="U518" i="5" s="1"/>
  <c r="W373" i="5"/>
  <c r="H536" i="5"/>
  <c r="I536" i="5" s="1"/>
  <c r="R915" i="5"/>
  <c r="I527" i="5"/>
  <c r="X906" i="5"/>
  <c r="H906" i="5"/>
  <c r="G906" i="5"/>
  <c r="I906" i="5" s="1"/>
  <c r="H953" i="5"/>
  <c r="I847" i="5"/>
  <c r="H912" i="5"/>
  <c r="P1032" i="5"/>
  <c r="P1040" i="5" s="1"/>
  <c r="R953" i="5"/>
  <c r="E881" i="5"/>
  <c r="E883" i="5" s="1"/>
  <c r="G779" i="5"/>
  <c r="G783" i="5" s="1"/>
  <c r="X365" i="5"/>
  <c r="AO365" i="5" s="1"/>
  <c r="AZ69" i="5"/>
  <c r="AZ121" i="5"/>
  <c r="H971" i="5"/>
  <c r="H859" i="5"/>
  <c r="W638" i="5"/>
  <c r="R1018" i="5"/>
  <c r="R1020" i="5"/>
  <c r="V956" i="5"/>
  <c r="G881" i="5"/>
  <c r="G883" i="5" s="1"/>
  <c r="H883" i="5" s="1"/>
  <c r="G905" i="5"/>
  <c r="Q956" i="5"/>
  <c r="Q902" i="5"/>
  <c r="E503" i="5"/>
  <c r="E505" i="5" s="1"/>
  <c r="L554" i="5"/>
  <c r="AZ210" i="5"/>
  <c r="AZ131" i="5"/>
  <c r="V642" i="5"/>
  <c r="W642" i="5" s="1"/>
  <c r="W965" i="5"/>
  <c r="R899" i="5"/>
  <c r="R963" i="5"/>
  <c r="U963" i="5"/>
  <c r="W963" i="5" s="1"/>
  <c r="R638" i="5"/>
  <c r="G801" i="5"/>
  <c r="E837" i="5"/>
  <c r="X797" i="5"/>
  <c r="Z797" i="5" s="1"/>
  <c r="AO801" i="5"/>
  <c r="H801" i="5"/>
  <c r="G837" i="5"/>
  <c r="G738" i="5"/>
  <c r="N770" i="5"/>
  <c r="H691" i="5"/>
  <c r="R576" i="5"/>
  <c r="K519" i="5"/>
  <c r="M662" i="5"/>
  <c r="W576" i="5"/>
  <c r="R573" i="5"/>
  <c r="AZ32" i="5"/>
  <c r="AZ110" i="5"/>
  <c r="H802" i="5"/>
  <c r="H532" i="5"/>
  <c r="W483" i="5"/>
  <c r="AZ58" i="5"/>
  <c r="I685" i="5"/>
  <c r="G790" i="5"/>
  <c r="J353" i="5"/>
  <c r="H477" i="5"/>
  <c r="M716" i="5"/>
  <c r="P713" i="5"/>
  <c r="P716" i="5" s="1"/>
  <c r="K842" i="5"/>
  <c r="K848" i="5" s="1"/>
  <c r="K865" i="5" s="1"/>
  <c r="AZ119" i="5"/>
  <c r="H471" i="5"/>
  <c r="H474" i="5"/>
  <c r="AZ86" i="5"/>
  <c r="H695" i="5"/>
  <c r="I695" i="5" s="1"/>
  <c r="G745" i="5"/>
  <c r="H637" i="5"/>
  <c r="P794" i="5"/>
  <c r="G698" i="5"/>
  <c r="R790" i="5"/>
  <c r="L469" i="5"/>
  <c r="I485" i="5"/>
  <c r="G573" i="5"/>
  <c r="AO373" i="5"/>
  <c r="Z373" i="5"/>
  <c r="P439" i="5"/>
  <c r="P445" i="5" s="1"/>
  <c r="R852" i="5"/>
  <c r="R754" i="5"/>
  <c r="R682" i="5"/>
  <c r="E448" i="5"/>
  <c r="E450" i="5" s="1"/>
  <c r="Z480" i="5"/>
  <c r="M445" i="5"/>
  <c r="H359" i="5"/>
  <c r="I359" i="5" s="1"/>
  <c r="L389" i="5"/>
  <c r="Z577" i="5"/>
  <c r="AO577" i="5"/>
  <c r="G577" i="5"/>
  <c r="G480" i="5"/>
  <c r="X363" i="5"/>
  <c r="H363" i="5"/>
  <c r="M824" i="5"/>
  <c r="G795" i="5"/>
  <c r="I795" i="5" s="1"/>
  <c r="AO807" i="5"/>
  <c r="Z807" i="5"/>
  <c r="G373" i="5"/>
  <c r="AO631" i="5"/>
  <c r="Z631" i="5"/>
  <c r="G807" i="5"/>
  <c r="G747" i="5"/>
  <c r="G363" i="5"/>
  <c r="G800" i="5"/>
  <c r="H796" i="5"/>
  <c r="X795" i="5"/>
  <c r="Z795" i="5" s="1"/>
  <c r="G537" i="5"/>
  <c r="R366" i="5"/>
  <c r="P374" i="5"/>
  <c r="U374" i="5" s="1"/>
  <c r="G754" i="5"/>
  <c r="I754" i="5" s="1"/>
  <c r="X754" i="5"/>
  <c r="G683" i="5"/>
  <c r="X739" i="5"/>
  <c r="H739" i="5"/>
  <c r="X749" i="5"/>
  <c r="H749" i="5"/>
  <c r="I749" i="5" s="1"/>
  <c r="J735" i="5"/>
  <c r="J740" i="5" s="1"/>
  <c r="AZ101" i="5"/>
  <c r="G477" i="5"/>
  <c r="R805" i="5"/>
  <c r="G579" i="5"/>
  <c r="J688" i="5"/>
  <c r="L688" i="5" s="1"/>
  <c r="AZ96" i="5"/>
  <c r="G471" i="5"/>
  <c r="H683" i="5"/>
  <c r="H643" i="5"/>
  <c r="X646" i="5"/>
  <c r="H646" i="5"/>
  <c r="I646" i="5" s="1"/>
  <c r="G792" i="5"/>
  <c r="W805" i="5"/>
  <c r="G802" i="5"/>
  <c r="H800" i="5"/>
  <c r="G805" i="5"/>
  <c r="G690" i="5"/>
  <c r="W682" i="5"/>
  <c r="H483" i="5"/>
  <c r="I483" i="5" s="1"/>
  <c r="H697" i="5"/>
  <c r="I697" i="5" s="1"/>
  <c r="X697" i="5"/>
  <c r="X640" i="5"/>
  <c r="H640" i="5"/>
  <c r="I640" i="5" s="1"/>
  <c r="G474" i="5"/>
  <c r="H807" i="5"/>
  <c r="W852" i="5"/>
  <c r="H805" i="5"/>
  <c r="I696" i="5"/>
  <c r="H579" i="5"/>
  <c r="I576" i="5"/>
  <c r="H592" i="5"/>
  <c r="G430" i="5"/>
  <c r="E547" i="5"/>
  <c r="G547" i="5" s="1"/>
  <c r="H789" i="5"/>
  <c r="I789" i="5" s="1"/>
  <c r="Z411" i="5"/>
  <c r="AO411" i="5"/>
  <c r="G637" i="5"/>
  <c r="H373" i="5"/>
  <c r="G739" i="5"/>
  <c r="R858" i="5"/>
  <c r="M770" i="5"/>
  <c r="G796" i="5"/>
  <c r="G684" i="5"/>
  <c r="F431" i="5"/>
  <c r="H431" i="5" s="1"/>
  <c r="R426" i="5"/>
  <c r="R417" i="5"/>
  <c r="J810" i="5"/>
  <c r="AZ34" i="5"/>
  <c r="G468" i="5"/>
  <c r="I468" i="5" s="1"/>
  <c r="X468" i="5"/>
  <c r="G589" i="5"/>
  <c r="G643" i="5"/>
  <c r="H684" i="5"/>
  <c r="H529" i="5"/>
  <c r="W426" i="5"/>
  <c r="W411" i="5"/>
  <c r="X478" i="5"/>
  <c r="G478" i="5"/>
  <c r="I478" i="5" s="1"/>
  <c r="H408" i="5"/>
  <c r="I408" i="5" s="1"/>
  <c r="X408" i="5"/>
  <c r="G631" i="5"/>
  <c r="W796" i="5"/>
  <c r="H698" i="5"/>
  <c r="R483" i="5"/>
  <c r="L486" i="5"/>
  <c r="X475" i="5"/>
  <c r="G475" i="5"/>
  <c r="I475" i="5" s="1"/>
  <c r="H577" i="5"/>
  <c r="G634" i="5"/>
  <c r="H480" i="5"/>
  <c r="V359" i="5"/>
  <c r="V842" i="5"/>
  <c r="R842" i="5"/>
  <c r="U700" i="5"/>
  <c r="W700" i="5" s="1"/>
  <c r="R700" i="5"/>
  <c r="AO901" i="5"/>
  <c r="AA901" i="5"/>
  <c r="Z901" i="5"/>
  <c r="R861" i="5"/>
  <c r="G958" i="5"/>
  <c r="U1025" i="5"/>
  <c r="W1025" i="5" s="1"/>
  <c r="R1025" i="5"/>
  <c r="X1008" i="5"/>
  <c r="G1008" i="5"/>
  <c r="I1008" i="5" s="1"/>
  <c r="AO955" i="5"/>
  <c r="AA955" i="5"/>
  <c r="Z955" i="5"/>
  <c r="G1018" i="5"/>
  <c r="I1018" i="5" s="1"/>
  <c r="H1012" i="5"/>
  <c r="G1012" i="5"/>
  <c r="X959" i="5"/>
  <c r="H959" i="5"/>
  <c r="U964" i="5"/>
  <c r="W964" i="5" s="1"/>
  <c r="R964" i="5"/>
  <c r="G952" i="5"/>
  <c r="G959" i="5"/>
  <c r="U850" i="5"/>
  <c r="W850" i="5" s="1"/>
  <c r="R850" i="5"/>
  <c r="P810" i="5"/>
  <c r="U795" i="5"/>
  <c r="AO851" i="5"/>
  <c r="Z851" i="5"/>
  <c r="AA851" i="5"/>
  <c r="AO856" i="5"/>
  <c r="AA856" i="5"/>
  <c r="Z856" i="5"/>
  <c r="D866" i="5"/>
  <c r="Z744" i="5"/>
  <c r="AO744" i="5"/>
  <c r="U688" i="5"/>
  <c r="W793" i="5"/>
  <c r="U752" i="5"/>
  <c r="W752" i="5" s="1"/>
  <c r="R752" i="5"/>
  <c r="W788" i="5"/>
  <c r="G799" i="5"/>
  <c r="F810" i="5"/>
  <c r="H810" i="5" s="1"/>
  <c r="X743" i="5"/>
  <c r="G743" i="5"/>
  <c r="I743" i="5" s="1"/>
  <c r="AO684" i="5"/>
  <c r="Z684" i="5"/>
  <c r="W687" i="5"/>
  <c r="F686" i="5"/>
  <c r="H686" i="5" s="1"/>
  <c r="X680" i="5"/>
  <c r="G744" i="5"/>
  <c r="U637" i="5"/>
  <c r="W637" i="5" s="1"/>
  <c r="R637" i="5"/>
  <c r="U581" i="5"/>
  <c r="W581" i="5" s="1"/>
  <c r="R581" i="5"/>
  <c r="AO628" i="5"/>
  <c r="Z628" i="5"/>
  <c r="G647" i="5"/>
  <c r="P600" i="5"/>
  <c r="Z529" i="5"/>
  <c r="AO529" i="5"/>
  <c r="P594" i="5"/>
  <c r="X528" i="5"/>
  <c r="G528" i="5"/>
  <c r="I528" i="5" s="1"/>
  <c r="U471" i="5"/>
  <c r="AN541" i="5"/>
  <c r="AN544" i="5" s="1"/>
  <c r="P547" i="5"/>
  <c r="X473" i="5"/>
  <c r="G473" i="5"/>
  <c r="AO418" i="5"/>
  <c r="Z418" i="5"/>
  <c r="U360" i="5"/>
  <c r="R420" i="5"/>
  <c r="H430" i="5"/>
  <c r="Z434" i="5"/>
  <c r="AO434" i="5"/>
  <c r="AD55" i="5"/>
  <c r="N59" i="5"/>
  <c r="N226" i="5" s="1"/>
  <c r="D524" i="5"/>
  <c r="D541" i="5" s="1"/>
  <c r="K555" i="5" s="1"/>
  <c r="F518" i="5"/>
  <c r="H518" i="5" s="1"/>
  <c r="AZ136" i="5"/>
  <c r="Q495" i="5"/>
  <c r="H509" i="5"/>
  <c r="H398" i="5"/>
  <c r="P364" i="5"/>
  <c r="Q384" i="5"/>
  <c r="I48" i="5"/>
  <c r="AZ48" i="5"/>
  <c r="Q385" i="5"/>
  <c r="R1022" i="5"/>
  <c r="U1022" i="5"/>
  <c r="W1022" i="5" s="1"/>
  <c r="U1021" i="5"/>
  <c r="W1021" i="5" s="1"/>
  <c r="R1021" i="5"/>
  <c r="H850" i="5"/>
  <c r="H793" i="5"/>
  <c r="R575" i="5"/>
  <c r="U575" i="5"/>
  <c r="W575" i="5" s="1"/>
  <c r="Z630" i="5"/>
  <c r="AO630" i="5"/>
  <c r="R532" i="5"/>
  <c r="U532" i="5"/>
  <c r="W532" i="5" s="1"/>
  <c r="U527" i="5"/>
  <c r="W527" i="5" s="1"/>
  <c r="R527" i="5"/>
  <c r="U468" i="5"/>
  <c r="W468" i="5" s="1"/>
  <c r="R468" i="5"/>
  <c r="U475" i="5"/>
  <c r="U415" i="5"/>
  <c r="W415" i="5" s="1"/>
  <c r="R415" i="5"/>
  <c r="U357" i="5"/>
  <c r="W420" i="5"/>
  <c r="Q492" i="5"/>
  <c r="Q381" i="5"/>
  <c r="J789" i="5"/>
  <c r="AZ120" i="5"/>
  <c r="Q280" i="5"/>
  <c r="V1011" i="5"/>
  <c r="V1026" i="5" s="1"/>
  <c r="Q1026" i="5"/>
  <c r="AO862" i="5"/>
  <c r="AA862" i="5"/>
  <c r="Z862" i="5"/>
  <c r="F918" i="5"/>
  <c r="H918" i="5" s="1"/>
  <c r="R954" i="5"/>
  <c r="U954" i="5"/>
  <c r="P956" i="5"/>
  <c r="AO858" i="5"/>
  <c r="AA858" i="5"/>
  <c r="Z858" i="5"/>
  <c r="AO793" i="5"/>
  <c r="Z793" i="5"/>
  <c r="U742" i="5"/>
  <c r="W742" i="5" s="1"/>
  <c r="R742" i="5"/>
  <c r="R971" i="5"/>
  <c r="U971" i="5"/>
  <c r="W971" i="5" s="1"/>
  <c r="U916" i="5"/>
  <c r="W916" i="5" s="1"/>
  <c r="R916" i="5"/>
  <c r="R792" i="5"/>
  <c r="U792" i="5"/>
  <c r="W792" i="5" s="1"/>
  <c r="F756" i="5"/>
  <c r="X741" i="5"/>
  <c r="R748" i="5"/>
  <c r="U739" i="5"/>
  <c r="W739" i="5" s="1"/>
  <c r="R739" i="5"/>
  <c r="Z690" i="5"/>
  <c r="AO690" i="5"/>
  <c r="H682" i="5"/>
  <c r="H687" i="5"/>
  <c r="I687" i="5" s="1"/>
  <c r="F702" i="5"/>
  <c r="G702" i="5" s="1"/>
  <c r="X687" i="5"/>
  <c r="P686" i="5"/>
  <c r="U680" i="5"/>
  <c r="R680" i="5"/>
  <c r="U634" i="5"/>
  <c r="R634" i="5"/>
  <c r="AO592" i="5"/>
  <c r="Z592" i="5"/>
  <c r="AO576" i="5"/>
  <c r="Z576" i="5"/>
  <c r="W573" i="5"/>
  <c r="X523" i="5"/>
  <c r="H523" i="5"/>
  <c r="I523" i="5" s="1"/>
  <c r="R466" i="5"/>
  <c r="U466" i="5"/>
  <c r="W466" i="5" s="1"/>
  <c r="U412" i="5"/>
  <c r="W412" i="5" s="1"/>
  <c r="R412" i="5"/>
  <c r="G381" i="5"/>
  <c r="P363" i="5"/>
  <c r="N550" i="5"/>
  <c r="P550" i="5" s="1"/>
  <c r="M550" i="5"/>
  <c r="R685" i="5"/>
  <c r="U685" i="5"/>
  <c r="W685" i="5" s="1"/>
  <c r="U1013" i="5"/>
  <c r="W1013" i="5" s="1"/>
  <c r="R1013" i="5"/>
  <c r="E974" i="5"/>
  <c r="P926" i="5"/>
  <c r="P932" i="5" s="1"/>
  <c r="U809" i="5"/>
  <c r="Z846" i="5"/>
  <c r="AO846" i="5"/>
  <c r="U1008" i="5"/>
  <c r="W1008" i="5" s="1"/>
  <c r="R1008" i="5"/>
  <c r="X1011" i="5"/>
  <c r="G1011" i="5"/>
  <c r="F1026" i="5"/>
  <c r="H1011" i="5"/>
  <c r="U1023" i="5"/>
  <c r="W1023" i="5" s="1"/>
  <c r="R1023" i="5"/>
  <c r="AO970" i="5"/>
  <c r="AA970" i="5"/>
  <c r="Z970" i="5"/>
  <c r="AO1004" i="5"/>
  <c r="AA1004" i="5"/>
  <c r="Z1004" i="5"/>
  <c r="H1005" i="5"/>
  <c r="AA1023" i="5"/>
  <c r="F972" i="5"/>
  <c r="G972" i="5" s="1"/>
  <c r="X957" i="5"/>
  <c r="G957" i="5"/>
  <c r="I957" i="5" s="1"/>
  <c r="H955" i="5"/>
  <c r="G955" i="5"/>
  <c r="E935" i="5"/>
  <c r="E937" i="5" s="1"/>
  <c r="E891" i="5"/>
  <c r="H913" i="5"/>
  <c r="W951" i="5"/>
  <c r="AO790" i="5"/>
  <c r="Z790" i="5"/>
  <c r="E865" i="5"/>
  <c r="AO738" i="5"/>
  <c r="Z738" i="5"/>
  <c r="Z750" i="5"/>
  <c r="AO750" i="5"/>
  <c r="H750" i="5"/>
  <c r="H845" i="5"/>
  <c r="R751" i="5"/>
  <c r="G793" i="5"/>
  <c r="X737" i="5"/>
  <c r="G737" i="5"/>
  <c r="I737" i="5" s="1"/>
  <c r="H741" i="5"/>
  <c r="H735" i="5"/>
  <c r="G671" i="5"/>
  <c r="G675" i="5" s="1"/>
  <c r="E675" i="5"/>
  <c r="H744" i="5"/>
  <c r="K663" i="5"/>
  <c r="D703" i="5"/>
  <c r="K717" i="5" s="1"/>
  <c r="U631" i="5"/>
  <c r="W631" i="5" s="1"/>
  <c r="R631" i="5"/>
  <c r="V579" i="5"/>
  <c r="G529" i="5"/>
  <c r="X521" i="5"/>
  <c r="G521" i="5"/>
  <c r="I521" i="5" s="1"/>
  <c r="AO582" i="5"/>
  <c r="Z582" i="5"/>
  <c r="U522" i="5"/>
  <c r="W522" i="5" s="1"/>
  <c r="R522" i="5"/>
  <c r="H473" i="5"/>
  <c r="U409" i="5"/>
  <c r="R478" i="5"/>
  <c r="U478" i="5"/>
  <c r="W478" i="5" s="1"/>
  <c r="X372" i="5"/>
  <c r="H372" i="5"/>
  <c r="I372" i="5" s="1"/>
  <c r="AO424" i="5"/>
  <c r="Z424" i="5"/>
  <c r="X362" i="5"/>
  <c r="H362" i="5"/>
  <c r="I362" i="5" s="1"/>
  <c r="L741" i="5"/>
  <c r="G360" i="5"/>
  <c r="H512" i="5"/>
  <c r="H401" i="5"/>
  <c r="P361" i="5"/>
  <c r="J360" i="5"/>
  <c r="AZ30" i="5"/>
  <c r="E564" i="5"/>
  <c r="AZ199" i="5"/>
  <c r="AZ81" i="5"/>
  <c r="Q641" i="5" s="1"/>
  <c r="AO850" i="5"/>
  <c r="AA850" i="5"/>
  <c r="Z850" i="5"/>
  <c r="U1019" i="5"/>
  <c r="W1019" i="5" s="1"/>
  <c r="R1019" i="5"/>
  <c r="AO1012" i="5"/>
  <c r="AA1012" i="5"/>
  <c r="Z1012" i="5"/>
  <c r="X1025" i="5"/>
  <c r="G1025" i="5"/>
  <c r="I1025" i="5" s="1"/>
  <c r="U743" i="5"/>
  <c r="W743" i="5" s="1"/>
  <c r="R743" i="5"/>
  <c r="R683" i="5"/>
  <c r="U683" i="5"/>
  <c r="W683" i="5" s="1"/>
  <c r="G617" i="5"/>
  <c r="G621" i="5" s="1"/>
  <c r="E621" i="5"/>
  <c r="I1023" i="5"/>
  <c r="Q864" i="5"/>
  <c r="V849" i="5"/>
  <c r="X1019" i="5"/>
  <c r="G1019" i="5"/>
  <c r="I1019" i="5" s="1"/>
  <c r="X965" i="5"/>
  <c r="H965" i="5"/>
  <c r="R967" i="5"/>
  <c r="U967" i="5"/>
  <c r="W967" i="5" s="1"/>
  <c r="F1010" i="5"/>
  <c r="H1010" i="5" s="1"/>
  <c r="N986" i="5"/>
  <c r="G1005" i="5"/>
  <c r="U968" i="5"/>
  <c r="W968" i="5" s="1"/>
  <c r="R968" i="5"/>
  <c r="F956" i="5"/>
  <c r="X950" i="5"/>
  <c r="U912" i="5"/>
  <c r="W912" i="5" s="1"/>
  <c r="R912" i="5"/>
  <c r="Q918" i="5"/>
  <c r="G965" i="5"/>
  <c r="G970" i="5"/>
  <c r="R906" i="5"/>
  <c r="AO843" i="5"/>
  <c r="AA843" i="5"/>
  <c r="Z843" i="5"/>
  <c r="I861" i="5"/>
  <c r="AO857" i="5"/>
  <c r="AA857" i="5"/>
  <c r="Z857" i="5"/>
  <c r="U789" i="5"/>
  <c r="G854" i="5"/>
  <c r="U737" i="5"/>
  <c r="W737" i="5" s="1"/>
  <c r="R737" i="5"/>
  <c r="AO800" i="5"/>
  <c r="Z800" i="5"/>
  <c r="U746" i="5"/>
  <c r="W746" i="5" s="1"/>
  <c r="R746" i="5"/>
  <c r="R750" i="5"/>
  <c r="U736" i="5"/>
  <c r="W736" i="5" s="1"/>
  <c r="R736" i="5"/>
  <c r="H738" i="5"/>
  <c r="Z698" i="5"/>
  <c r="AO698" i="5"/>
  <c r="R628" i="5"/>
  <c r="U628" i="5"/>
  <c r="W628" i="5" s="1"/>
  <c r="X591" i="5"/>
  <c r="H591" i="5"/>
  <c r="I591" i="5" s="1"/>
  <c r="F594" i="5"/>
  <c r="R528" i="5"/>
  <c r="U528" i="5"/>
  <c r="W528" i="5" s="1"/>
  <c r="H535" i="5"/>
  <c r="I535" i="5" s="1"/>
  <c r="X535" i="5"/>
  <c r="F486" i="5"/>
  <c r="W481" i="5"/>
  <c r="G484" i="5"/>
  <c r="I484" i="5" s="1"/>
  <c r="G532" i="5"/>
  <c r="V408" i="5"/>
  <c r="P414" i="5"/>
  <c r="I370" i="5"/>
  <c r="X359" i="5"/>
  <c r="F375" i="5"/>
  <c r="H375" i="5" s="1"/>
  <c r="Z410" i="5"/>
  <c r="AO410" i="5"/>
  <c r="P486" i="5"/>
  <c r="Q709" i="5"/>
  <c r="H728" i="5"/>
  <c r="P701" i="5"/>
  <c r="J364" i="5"/>
  <c r="AZ28" i="5"/>
  <c r="J529" i="5"/>
  <c r="AZ53" i="5"/>
  <c r="J701" i="5"/>
  <c r="AZ90" i="5"/>
  <c r="AZ68" i="5"/>
  <c r="L641" i="5"/>
  <c r="D919" i="5"/>
  <c r="K933" i="5" s="1"/>
  <c r="W903" i="5"/>
  <c r="AO1018" i="5"/>
  <c r="AA1018" i="5"/>
  <c r="Z1018" i="5"/>
  <c r="U970" i="5"/>
  <c r="W970" i="5" s="1"/>
  <c r="R970" i="5"/>
  <c r="U843" i="5"/>
  <c r="P848" i="5"/>
  <c r="V680" i="5"/>
  <c r="H1007" i="5"/>
  <c r="X1007" i="5"/>
  <c r="P986" i="5"/>
  <c r="X961" i="5"/>
  <c r="H961" i="5"/>
  <c r="G961" i="5"/>
  <c r="E945" i="5"/>
  <c r="G941" i="5"/>
  <c r="G945" i="5" s="1"/>
  <c r="AO917" i="5"/>
  <c r="Z917" i="5"/>
  <c r="AA917" i="5"/>
  <c r="AO845" i="5"/>
  <c r="Z845" i="5"/>
  <c r="W906" i="5"/>
  <c r="H958" i="5"/>
  <c r="G911" i="5"/>
  <c r="H905" i="5"/>
  <c r="H901" i="5"/>
  <c r="AO805" i="5"/>
  <c r="Z805" i="5"/>
  <c r="H853" i="5"/>
  <c r="U745" i="5"/>
  <c r="W745" i="5" s="1"/>
  <c r="R745" i="5"/>
  <c r="AO735" i="5"/>
  <c r="Z735" i="5"/>
  <c r="P824" i="5"/>
  <c r="Z803" i="5"/>
  <c r="AO745" i="5"/>
  <c r="Z745" i="5"/>
  <c r="X734" i="5"/>
  <c r="G734" i="5"/>
  <c r="F740" i="5"/>
  <c r="G740" i="5" s="1"/>
  <c r="AO699" i="5"/>
  <c r="Z699" i="5"/>
  <c r="E719" i="5"/>
  <c r="E721" i="5" s="1"/>
  <c r="H734" i="5"/>
  <c r="M608" i="5"/>
  <c r="R588" i="5"/>
  <c r="I627" i="5"/>
  <c r="H647" i="5"/>
  <c r="X626" i="5"/>
  <c r="F632" i="5"/>
  <c r="H632" i="5" s="1"/>
  <c r="G626" i="5"/>
  <c r="AO579" i="5"/>
  <c r="Z579" i="5"/>
  <c r="R539" i="5"/>
  <c r="U539" i="5"/>
  <c r="W539" i="5" s="1"/>
  <c r="U534" i="5"/>
  <c r="W534" i="5" s="1"/>
  <c r="R534" i="5"/>
  <c r="F540" i="5"/>
  <c r="H540" i="5" s="1"/>
  <c r="M554" i="5"/>
  <c r="R481" i="5"/>
  <c r="AO370" i="5"/>
  <c r="Z370" i="5"/>
  <c r="Z419" i="5"/>
  <c r="AO419" i="5"/>
  <c r="J647" i="5"/>
  <c r="AZ79" i="5"/>
  <c r="Q767" i="5"/>
  <c r="Q772" i="5" s="1"/>
  <c r="H779" i="5"/>
  <c r="P755" i="5"/>
  <c r="P756" i="5" s="1"/>
  <c r="E358" i="5"/>
  <c r="E376" i="5" s="1"/>
  <c r="H672" i="5"/>
  <c r="Q658" i="5"/>
  <c r="J374" i="5"/>
  <c r="U904" i="5"/>
  <c r="W904" i="5" s="1"/>
  <c r="R904" i="5"/>
  <c r="P864" i="5"/>
  <c r="U849" i="5"/>
  <c r="R849" i="5"/>
  <c r="AO791" i="5"/>
  <c r="Z791" i="5"/>
  <c r="AO1005" i="5"/>
  <c r="AA1005" i="5"/>
  <c r="Z1005" i="5"/>
  <c r="U961" i="5"/>
  <c r="W961" i="5" s="1"/>
  <c r="R961" i="5"/>
  <c r="V972" i="5"/>
  <c r="AO682" i="5"/>
  <c r="Z682" i="5"/>
  <c r="I1004" i="5"/>
  <c r="AO969" i="5"/>
  <c r="AA969" i="5"/>
  <c r="Z969" i="5"/>
  <c r="Q972" i="5"/>
  <c r="U1017" i="5"/>
  <c r="W1017" i="5" s="1"/>
  <c r="R1017" i="5"/>
  <c r="G1007" i="5"/>
  <c r="AO908" i="5"/>
  <c r="AA908" i="5"/>
  <c r="H917" i="5"/>
  <c r="P918" i="5"/>
  <c r="G968" i="5"/>
  <c r="G862" i="5"/>
  <c r="U855" i="5"/>
  <c r="W855" i="5" s="1"/>
  <c r="R855" i="5"/>
  <c r="AA861" i="5"/>
  <c r="Z861" i="5"/>
  <c r="AO854" i="5"/>
  <c r="Z854" i="5"/>
  <c r="AA854" i="5"/>
  <c r="U804" i="5"/>
  <c r="W804" i="5" s="1"/>
  <c r="R804" i="5"/>
  <c r="AO900" i="5"/>
  <c r="Z900" i="5"/>
  <c r="G741" i="5"/>
  <c r="H746" i="5"/>
  <c r="I746" i="5" s="1"/>
  <c r="X746" i="5"/>
  <c r="E827" i="5"/>
  <c r="E829" i="5" s="1"/>
  <c r="H790" i="5"/>
  <c r="E729" i="5"/>
  <c r="G725" i="5"/>
  <c r="G729" i="5" s="1"/>
  <c r="G735" i="5"/>
  <c r="H626" i="5"/>
  <c r="N662" i="5"/>
  <c r="X590" i="5"/>
  <c r="H590" i="5"/>
  <c r="I590" i="5" s="1"/>
  <c r="F648" i="5"/>
  <c r="R585" i="5"/>
  <c r="X520" i="5"/>
  <c r="H520" i="5"/>
  <c r="I520" i="5" s="1"/>
  <c r="AO532" i="5"/>
  <c r="Z532" i="5"/>
  <c r="M500" i="5"/>
  <c r="X429" i="5"/>
  <c r="H429" i="5"/>
  <c r="I429" i="5" s="1"/>
  <c r="G476" i="5"/>
  <c r="I476" i="5" s="1"/>
  <c r="X476" i="5"/>
  <c r="P540" i="5"/>
  <c r="X369" i="5"/>
  <c r="X381" i="5" s="1"/>
  <c r="G369" i="5"/>
  <c r="I369" i="5" s="1"/>
  <c r="R423" i="5"/>
  <c r="P381" i="5"/>
  <c r="H360" i="5"/>
  <c r="AZ95" i="5"/>
  <c r="K228" i="5"/>
  <c r="K230" i="5" s="1"/>
  <c r="K234" i="5"/>
  <c r="AO353" i="5"/>
  <c r="Z353" i="5"/>
  <c r="F656" i="5"/>
  <c r="J626" i="5"/>
  <c r="AZ73" i="5"/>
  <c r="Q550" i="5"/>
  <c r="I85" i="5"/>
  <c r="X849" i="5"/>
  <c r="F864" i="5"/>
  <c r="H849" i="5"/>
  <c r="G849" i="5"/>
  <c r="U1015" i="5"/>
  <c r="W1015" i="5" s="1"/>
  <c r="R1015" i="5"/>
  <c r="M932" i="5"/>
  <c r="D973" i="5"/>
  <c r="AO1024" i="5"/>
  <c r="AA1024" i="5"/>
  <c r="Z1024" i="5"/>
  <c r="X1013" i="5"/>
  <c r="G1013" i="5"/>
  <c r="I1013" i="5" s="1"/>
  <c r="X1021" i="5"/>
  <c r="H1021" i="5"/>
  <c r="I1021" i="5" s="1"/>
  <c r="G1024" i="5"/>
  <c r="AO963" i="5"/>
  <c r="AA963" i="5"/>
  <c r="Z963" i="5"/>
  <c r="W1020" i="5"/>
  <c r="V1010" i="5"/>
  <c r="AO915" i="5"/>
  <c r="AA915" i="5"/>
  <c r="Z915" i="5"/>
  <c r="G917" i="5"/>
  <c r="I917" i="5" s="1"/>
  <c r="Z913" i="5"/>
  <c r="AO913" i="5"/>
  <c r="AA913" i="5"/>
  <c r="G963" i="5"/>
  <c r="H897" i="5"/>
  <c r="I897" i="5" s="1"/>
  <c r="X897" i="5"/>
  <c r="H911" i="5"/>
  <c r="G904" i="5"/>
  <c r="I904" i="5" s="1"/>
  <c r="X904" i="5"/>
  <c r="E919" i="5"/>
  <c r="AO802" i="5"/>
  <c r="Z802" i="5"/>
  <c r="F902" i="5"/>
  <c r="G902" i="5" s="1"/>
  <c r="H862" i="5"/>
  <c r="R796" i="5"/>
  <c r="G827" i="5"/>
  <c r="G829" i="5" s="1"/>
  <c r="H829" i="5" s="1"/>
  <c r="Z696" i="5"/>
  <c r="AO696" i="5"/>
  <c r="Z694" i="5"/>
  <c r="AO694" i="5"/>
  <c r="G694" i="5"/>
  <c r="H745" i="5"/>
  <c r="AO647" i="5"/>
  <c r="Z647" i="5"/>
  <c r="P662" i="5"/>
  <c r="X587" i="5"/>
  <c r="H587" i="5"/>
  <c r="I587" i="5" s="1"/>
  <c r="R582" i="5"/>
  <c r="G680" i="5"/>
  <c r="I680" i="5" s="1"/>
  <c r="AN703" i="5"/>
  <c r="AN706" i="5" s="1"/>
  <c r="X522" i="5"/>
  <c r="H522" i="5"/>
  <c r="I522" i="5" s="1"/>
  <c r="AO530" i="5"/>
  <c r="Z530" i="5"/>
  <c r="U485" i="5"/>
  <c r="G530" i="5"/>
  <c r="V372" i="5"/>
  <c r="W372" i="5" s="1"/>
  <c r="R372" i="5"/>
  <c r="X426" i="5"/>
  <c r="H426" i="5"/>
  <c r="I426" i="5" s="1"/>
  <c r="E487" i="5"/>
  <c r="X374" i="5"/>
  <c r="H374" i="5"/>
  <c r="I374" i="5" s="1"/>
  <c r="Z425" i="5"/>
  <c r="AO425" i="5"/>
  <c r="R411" i="5"/>
  <c r="W423" i="5"/>
  <c r="AZ164" i="5"/>
  <c r="AZ127" i="5"/>
  <c r="AY59" i="5"/>
  <c r="AX59" i="5"/>
  <c r="J357" i="5"/>
  <c r="L357" i="5" s="1"/>
  <c r="AZ77" i="5"/>
  <c r="Q498" i="5"/>
  <c r="H510" i="5"/>
  <c r="AY55" i="5"/>
  <c r="AX55" i="5"/>
  <c r="J627" i="5"/>
  <c r="AZ71" i="5"/>
  <c r="AZ151" i="5"/>
  <c r="Q382" i="5"/>
  <c r="R962" i="5"/>
  <c r="U962" i="5"/>
  <c r="W962" i="5" s="1"/>
  <c r="AA903" i="5"/>
  <c r="Z903" i="5"/>
  <c r="AO903" i="5"/>
  <c r="V900" i="5"/>
  <c r="R900" i="5"/>
  <c r="R844" i="5"/>
  <c r="U844" i="5"/>
  <c r="W844" i="5" s="1"/>
  <c r="U801" i="5"/>
  <c r="W801" i="5" s="1"/>
  <c r="R801" i="5"/>
  <c r="E811" i="5"/>
  <c r="AO808" i="5"/>
  <c r="Z808" i="5"/>
  <c r="P762" i="5"/>
  <c r="P770" i="5" s="1"/>
  <c r="R698" i="5"/>
  <c r="U698" i="5"/>
  <c r="W698" i="5" s="1"/>
  <c r="G762" i="5"/>
  <c r="G773" i="5" s="1"/>
  <c r="G775" i="5" s="1"/>
  <c r="H775" i="5" s="1"/>
  <c r="E773" i="5"/>
  <c r="E775" i="5" s="1"/>
  <c r="X700" i="5"/>
  <c r="G700" i="5"/>
  <c r="F794" i="5"/>
  <c r="G794" i="5" s="1"/>
  <c r="U693" i="5"/>
  <c r="W693" i="5" s="1"/>
  <c r="R693" i="5"/>
  <c r="U646" i="5"/>
  <c r="W646" i="5" s="1"/>
  <c r="R646" i="5"/>
  <c r="X584" i="5"/>
  <c r="H584" i="5"/>
  <c r="P492" i="5"/>
  <c r="P500" i="5" s="1"/>
  <c r="U529" i="5"/>
  <c r="R536" i="5"/>
  <c r="U536" i="5"/>
  <c r="W536" i="5" s="1"/>
  <c r="G546" i="5"/>
  <c r="G454" i="5"/>
  <c r="G458" i="5" s="1"/>
  <c r="E458" i="5"/>
  <c r="U427" i="5"/>
  <c r="W427" i="5" s="1"/>
  <c r="R427" i="5"/>
  <c r="H464" i="5"/>
  <c r="I464" i="5" s="1"/>
  <c r="X464" i="5"/>
  <c r="K487" i="5"/>
  <c r="X423" i="5"/>
  <c r="H423" i="5"/>
  <c r="I423" i="5" s="1"/>
  <c r="Z365" i="5"/>
  <c r="U356" i="5"/>
  <c r="W356" i="5" s="1"/>
  <c r="R356" i="5"/>
  <c r="AZ156" i="5"/>
  <c r="R496" i="5"/>
  <c r="S496" i="5" s="1"/>
  <c r="Q470" i="5"/>
  <c r="J363" i="5"/>
  <c r="L363" i="5" s="1"/>
  <c r="AZ36" i="5"/>
  <c r="D358" i="5"/>
  <c r="F352" i="5"/>
  <c r="H352" i="5" s="1"/>
  <c r="Q387" i="5"/>
  <c r="Q386" i="5"/>
  <c r="AZ18" i="5"/>
  <c r="Q610" i="5"/>
  <c r="Q608" i="5"/>
  <c r="P1026" i="5"/>
  <c r="U1011" i="5"/>
  <c r="R1011" i="5"/>
  <c r="N1040" i="5"/>
  <c r="AO911" i="5"/>
  <c r="AA911" i="5"/>
  <c r="Z911" i="5"/>
  <c r="AO799" i="5"/>
  <c r="Z799" i="5"/>
  <c r="H799" i="5"/>
  <c r="R694" i="5"/>
  <c r="U694" i="5"/>
  <c r="W694" i="5" s="1"/>
  <c r="U690" i="5"/>
  <c r="W690" i="5" s="1"/>
  <c r="R690" i="5"/>
  <c r="AO692" i="5"/>
  <c r="Z692" i="5"/>
  <c r="U684" i="5"/>
  <c r="W684" i="5" s="1"/>
  <c r="R684" i="5"/>
  <c r="U643" i="5"/>
  <c r="W643" i="5" s="1"/>
  <c r="R643" i="5"/>
  <c r="AO641" i="5"/>
  <c r="Z641" i="5"/>
  <c r="AO581" i="5"/>
  <c r="Z581" i="5"/>
  <c r="U590" i="5"/>
  <c r="W590" i="5" s="1"/>
  <c r="R590" i="5"/>
  <c r="Z633" i="5"/>
  <c r="AO633" i="5"/>
  <c r="I575" i="5"/>
  <c r="I537" i="5"/>
  <c r="G581" i="5"/>
  <c r="AO585" i="5"/>
  <c r="Z585" i="5"/>
  <c r="U480" i="5"/>
  <c r="W480" i="5" s="1"/>
  <c r="R480" i="5"/>
  <c r="AO519" i="5"/>
  <c r="Z519" i="5"/>
  <c r="G479" i="5"/>
  <c r="X479" i="5"/>
  <c r="U424" i="5"/>
  <c r="R465" i="5"/>
  <c r="U465" i="5"/>
  <c r="W465" i="5" s="1"/>
  <c r="X420" i="5"/>
  <c r="H420" i="5"/>
  <c r="I420" i="5" s="1"/>
  <c r="X467" i="5"/>
  <c r="G467" i="5"/>
  <c r="I467" i="5" s="1"/>
  <c r="Z422" i="5"/>
  <c r="AO422" i="5"/>
  <c r="G364" i="5"/>
  <c r="I364" i="5" s="1"/>
  <c r="X364" i="5"/>
  <c r="AX25" i="5"/>
  <c r="AY25" i="5"/>
  <c r="E524" i="5"/>
  <c r="K409" i="5"/>
  <c r="K414" i="5" s="1"/>
  <c r="K432" i="5" s="1"/>
  <c r="K353" i="5"/>
  <c r="U741" i="5"/>
  <c r="N385" i="5"/>
  <c r="P385" i="5" s="1"/>
  <c r="M385" i="5"/>
  <c r="M389" i="5" s="1"/>
  <c r="R362" i="5"/>
  <c r="K258" i="5"/>
  <c r="K260" i="5" s="1"/>
  <c r="K264" i="5"/>
  <c r="K263" i="5" s="1"/>
  <c r="K272" i="5"/>
  <c r="Q270" i="5"/>
  <c r="AO853" i="5"/>
  <c r="AA853" i="5"/>
  <c r="Z853" i="5"/>
  <c r="R798" i="5"/>
  <c r="U798" i="5"/>
  <c r="W798" i="5" s="1"/>
  <c r="G850" i="5"/>
  <c r="G853" i="5"/>
  <c r="R696" i="5"/>
  <c r="U696" i="5"/>
  <c r="W696" i="5" s="1"/>
  <c r="R799" i="5"/>
  <c r="R802" i="5"/>
  <c r="H740" i="5"/>
  <c r="AO701" i="5"/>
  <c r="X688" i="5"/>
  <c r="G688" i="5"/>
  <c r="I688" i="5" s="1"/>
  <c r="U689" i="5"/>
  <c r="W689" i="5" s="1"/>
  <c r="R689" i="5"/>
  <c r="U640" i="5"/>
  <c r="W640" i="5" s="1"/>
  <c r="R640" i="5"/>
  <c r="U587" i="5"/>
  <c r="E611" i="5"/>
  <c r="E613" i="5" s="1"/>
  <c r="G600" i="5"/>
  <c r="G611" i="5" s="1"/>
  <c r="G613" i="5" s="1"/>
  <c r="G682" i="5"/>
  <c r="G584" i="5"/>
  <c r="U521" i="5"/>
  <c r="W521" i="5" s="1"/>
  <c r="R521" i="5"/>
  <c r="U477" i="5"/>
  <c r="W477" i="5" s="1"/>
  <c r="R477" i="5"/>
  <c r="U421" i="5"/>
  <c r="W421" i="5" s="1"/>
  <c r="R421" i="5"/>
  <c r="AO526" i="5"/>
  <c r="Z526" i="5"/>
  <c r="X463" i="5"/>
  <c r="F469" i="5"/>
  <c r="G469" i="5" s="1"/>
  <c r="G463" i="5"/>
  <c r="I463" i="5" s="1"/>
  <c r="X417" i="5"/>
  <c r="H417" i="5"/>
  <c r="I417" i="5" s="1"/>
  <c r="D432" i="5"/>
  <c r="W417" i="5"/>
  <c r="J368" i="5"/>
  <c r="J424" i="5"/>
  <c r="AZ23" i="5"/>
  <c r="E382" i="5"/>
  <c r="G382" i="5" s="1"/>
  <c r="L226" i="5"/>
  <c r="J519" i="5"/>
  <c r="AZ51" i="5"/>
  <c r="W362" i="5"/>
  <c r="H621" i="5"/>
  <c r="K368" i="5"/>
  <c r="AA968" i="5"/>
  <c r="Z968" i="5"/>
  <c r="AO968" i="5"/>
  <c r="U1006" i="5"/>
  <c r="R1006" i="5"/>
  <c r="Z958" i="5"/>
  <c r="AO958" i="5"/>
  <c r="AA958" i="5"/>
  <c r="X1015" i="5"/>
  <c r="H1015" i="5"/>
  <c r="W1014" i="5"/>
  <c r="AO967" i="5"/>
  <c r="AA967" i="5"/>
  <c r="Z967" i="5"/>
  <c r="H968" i="5"/>
  <c r="R1016" i="5"/>
  <c r="U1016" i="5"/>
  <c r="W1016" i="5" s="1"/>
  <c r="J1027" i="5"/>
  <c r="U957" i="5"/>
  <c r="R957" i="5"/>
  <c r="P972" i="5"/>
  <c r="G1015" i="5"/>
  <c r="R1014" i="5"/>
  <c r="X964" i="5"/>
  <c r="H964" i="5"/>
  <c r="I964" i="5" s="1"/>
  <c r="U966" i="5"/>
  <c r="W966" i="5" s="1"/>
  <c r="R966" i="5"/>
  <c r="G898" i="5"/>
  <c r="I898" i="5" s="1"/>
  <c r="X898" i="5"/>
  <c r="AO905" i="5"/>
  <c r="AA905" i="5"/>
  <c r="Z905" i="5"/>
  <c r="K919" i="5"/>
  <c r="H967" i="5"/>
  <c r="AO859" i="5"/>
  <c r="AA859" i="5"/>
  <c r="Z859" i="5"/>
  <c r="AO796" i="5"/>
  <c r="Z796" i="5"/>
  <c r="I851" i="5"/>
  <c r="R692" i="5"/>
  <c r="U692" i="5"/>
  <c r="W692" i="5" s="1"/>
  <c r="W799" i="5"/>
  <c r="R793" i="5"/>
  <c r="W790" i="5"/>
  <c r="W802" i="5"/>
  <c r="G748" i="5"/>
  <c r="I748" i="5" s="1"/>
  <c r="X748" i="5"/>
  <c r="AO806" i="5"/>
  <c r="Z806" i="5"/>
  <c r="H700" i="5"/>
  <c r="U584" i="5"/>
  <c r="W584" i="5" s="1"/>
  <c r="R584" i="5"/>
  <c r="AO644" i="5"/>
  <c r="Z644" i="5"/>
  <c r="X470" i="5"/>
  <c r="G470" i="5"/>
  <c r="I470" i="5" s="1"/>
  <c r="H581" i="5"/>
  <c r="U533" i="5"/>
  <c r="W533" i="5" s="1"/>
  <c r="R533" i="5"/>
  <c r="U474" i="5"/>
  <c r="V525" i="5"/>
  <c r="U429" i="5"/>
  <c r="W429" i="5" s="1"/>
  <c r="R429" i="5"/>
  <c r="AO430" i="5"/>
  <c r="Z430" i="5"/>
  <c r="H479" i="5"/>
  <c r="U418" i="5"/>
  <c r="W418" i="5" s="1"/>
  <c r="R418" i="5"/>
  <c r="U472" i="5"/>
  <c r="P431" i="5"/>
  <c r="G361" i="5"/>
  <c r="I361" i="5" s="1"/>
  <c r="X361" i="5"/>
  <c r="X356" i="5"/>
  <c r="Z356" i="5" s="1"/>
  <c r="H356" i="5"/>
  <c r="I356" i="5" s="1"/>
  <c r="AO371" i="5"/>
  <c r="Z371" i="5"/>
  <c r="AO415" i="5"/>
  <c r="Z415" i="5"/>
  <c r="Q330" i="5"/>
  <c r="K332" i="5"/>
  <c r="AO360" i="5"/>
  <c r="Z360" i="5"/>
  <c r="P647" i="5"/>
  <c r="H671" i="5"/>
  <c r="G393" i="5"/>
  <c r="X378" i="5"/>
  <c r="F763" i="5"/>
  <c r="F779" i="5"/>
  <c r="I59" i="5"/>
  <c r="Q660" i="5"/>
  <c r="E399" i="5"/>
  <c r="I859" i="5" l="1"/>
  <c r="I634" i="5"/>
  <c r="R658" i="5"/>
  <c r="K771" i="5"/>
  <c r="R606" i="5"/>
  <c r="Q240" i="5"/>
  <c r="S601" i="5"/>
  <c r="L1041" i="5"/>
  <c r="K740" i="5"/>
  <c r="K757" i="5" s="1"/>
  <c r="P608" i="5"/>
  <c r="I366" i="5"/>
  <c r="I635" i="5"/>
  <c r="I755" i="5"/>
  <c r="P648" i="5"/>
  <c r="P649" i="5" s="1"/>
  <c r="AO525" i="5"/>
  <c r="Z409" i="5"/>
  <c r="Z527" i="5"/>
  <c r="I644" i="5"/>
  <c r="P740" i="5"/>
  <c r="P469" i="5"/>
  <c r="L627" i="5"/>
  <c r="H578" i="5"/>
  <c r="I578" i="5" s="1"/>
  <c r="R857" i="5"/>
  <c r="Q587" i="5"/>
  <c r="V587" i="5" s="1"/>
  <c r="Z916" i="5"/>
  <c r="Q973" i="5"/>
  <c r="E650" i="5"/>
  <c r="AA916" i="5"/>
  <c r="H667" i="5"/>
  <c r="E596" i="5"/>
  <c r="I415" i="5"/>
  <c r="I966" i="5"/>
  <c r="Q572" i="5"/>
  <c r="R572" i="5" s="1"/>
  <c r="F817" i="5"/>
  <c r="J595" i="5"/>
  <c r="Z742" i="5"/>
  <c r="Q593" i="5"/>
  <c r="V593" i="5" s="1"/>
  <c r="W593" i="5" s="1"/>
  <c r="S879" i="5"/>
  <c r="AA896" i="5"/>
  <c r="L734" i="5"/>
  <c r="AO428" i="5"/>
  <c r="AO896" i="5"/>
  <c r="J756" i="5"/>
  <c r="J757" i="5" s="1"/>
  <c r="AO427" i="5"/>
  <c r="Z695" i="5"/>
  <c r="R843" i="5"/>
  <c r="AO413" i="5"/>
  <c r="L973" i="5"/>
  <c r="K609" i="5"/>
  <c r="I954" i="5"/>
  <c r="E433" i="5"/>
  <c r="I858" i="5"/>
  <c r="L1027" i="5"/>
  <c r="U572" i="5"/>
  <c r="U578" i="5" s="1"/>
  <c r="I915" i="5"/>
  <c r="G431" i="5"/>
  <c r="R681" i="5"/>
  <c r="I465" i="5"/>
  <c r="I691" i="5"/>
  <c r="W896" i="5"/>
  <c r="I592" i="5"/>
  <c r="I950" i="5"/>
  <c r="D812" i="5"/>
  <c r="I583" i="5"/>
  <c r="Z572" i="5"/>
  <c r="Z412" i="5"/>
  <c r="I629" i="5"/>
  <c r="AO354" i="5"/>
  <c r="L691" i="5"/>
  <c r="S606" i="5"/>
  <c r="I747" i="5"/>
  <c r="AN1027" i="5"/>
  <c r="AN1030" i="5" s="1"/>
  <c r="AO910" i="5"/>
  <c r="AO752" i="5"/>
  <c r="V686" i="5"/>
  <c r="L919" i="5"/>
  <c r="I809" i="5"/>
  <c r="Z689" i="5"/>
  <c r="Q686" i="5"/>
  <c r="R686" i="5" s="1"/>
  <c r="L756" i="5"/>
  <c r="I1012" i="5"/>
  <c r="I430" i="5"/>
  <c r="I860" i="5"/>
  <c r="P524" i="5"/>
  <c r="P541" i="5" s="1"/>
  <c r="AO797" i="5"/>
  <c r="R1010" i="5"/>
  <c r="Z368" i="5"/>
  <c r="F618" i="5"/>
  <c r="F621" i="5" s="1"/>
  <c r="I621" i="5" s="1"/>
  <c r="Z642" i="5"/>
  <c r="AO642" i="5"/>
  <c r="AO534" i="5"/>
  <c r="Z531" i="5"/>
  <c r="E758" i="5"/>
  <c r="I573" i="5"/>
  <c r="I913" i="5"/>
  <c r="AO421" i="5"/>
  <c r="E704" i="5"/>
  <c r="F383" i="5"/>
  <c r="I901" i="5"/>
  <c r="G918" i="5"/>
  <c r="I918" i="5" s="1"/>
  <c r="I854" i="5"/>
  <c r="I750" i="5"/>
  <c r="Q741" i="5"/>
  <c r="R741" i="5" s="1"/>
  <c r="I466" i="5"/>
  <c r="I804" i="5"/>
  <c r="I741" i="5"/>
  <c r="Z910" i="5"/>
  <c r="Q485" i="5"/>
  <c r="V485" i="5" s="1"/>
  <c r="W485" i="5" s="1"/>
  <c r="AO1023" i="5"/>
  <c r="F765" i="5"/>
  <c r="Q1027" i="5"/>
  <c r="I586" i="5"/>
  <c r="I532" i="5"/>
  <c r="U735" i="5"/>
  <c r="U740" i="5" s="1"/>
  <c r="I588" i="5"/>
  <c r="I843" i="5"/>
  <c r="H902" i="5"/>
  <c r="I902" i="5" s="1"/>
  <c r="R902" i="5"/>
  <c r="I951" i="5"/>
  <c r="Z573" i="5"/>
  <c r="AO951" i="5"/>
  <c r="Z951" i="5"/>
  <c r="AA951" i="5"/>
  <c r="L374" i="5"/>
  <c r="AO539" i="5"/>
  <c r="L593" i="5"/>
  <c r="L594" i="5" s="1"/>
  <c r="L595" i="5" s="1"/>
  <c r="AO485" i="5"/>
  <c r="Z485" i="5"/>
  <c r="X648" i="5"/>
  <c r="Z648" i="5" s="1"/>
  <c r="I738" i="5"/>
  <c r="D488" i="5"/>
  <c r="L390" i="5"/>
  <c r="I962" i="5"/>
  <c r="I856" i="5"/>
  <c r="V973" i="5"/>
  <c r="P632" i="5"/>
  <c r="J848" i="5"/>
  <c r="J865" i="5" s="1"/>
  <c r="I735" i="5"/>
  <c r="AO1017" i="5"/>
  <c r="P702" i="5"/>
  <c r="P703" i="5" s="1"/>
  <c r="R768" i="5"/>
  <c r="S768" i="5" s="1"/>
  <c r="I355" i="5"/>
  <c r="I745" i="5"/>
  <c r="I970" i="5"/>
  <c r="F708" i="5"/>
  <c r="Z1017" i="5"/>
  <c r="R443" i="5"/>
  <c r="S443" i="5" s="1"/>
  <c r="I690" i="5"/>
  <c r="L361" i="5"/>
  <c r="I736" i="5"/>
  <c r="S933" i="5"/>
  <c r="R641" i="5"/>
  <c r="I791" i="5"/>
  <c r="I593" i="5"/>
  <c r="I530" i="5"/>
  <c r="I694" i="5"/>
  <c r="X902" i="5"/>
  <c r="Z902" i="5" s="1"/>
  <c r="I1007" i="5"/>
  <c r="I792" i="5"/>
  <c r="K375" i="5"/>
  <c r="Q374" i="5"/>
  <c r="V374" i="5" s="1"/>
  <c r="W374" i="5" s="1"/>
  <c r="I955" i="5"/>
  <c r="Z962" i="5"/>
  <c r="I582" i="5"/>
  <c r="Q848" i="5"/>
  <c r="Q865" i="5" s="1"/>
  <c r="I424" i="5"/>
  <c r="I410" i="5"/>
  <c r="I961" i="5"/>
  <c r="I529" i="5"/>
  <c r="AA962" i="5"/>
  <c r="F780" i="5"/>
  <c r="I780" i="5" s="1"/>
  <c r="L842" i="5"/>
  <c r="L848" i="5" s="1"/>
  <c r="Q734" i="5"/>
  <c r="R734" i="5" s="1"/>
  <c r="R464" i="5"/>
  <c r="I845" i="5"/>
  <c r="I645" i="5"/>
  <c r="Z575" i="5"/>
  <c r="AO593" i="5"/>
  <c r="AO798" i="5"/>
  <c r="AO588" i="5"/>
  <c r="I952" i="5"/>
  <c r="Z788" i="5"/>
  <c r="Z533" i="5"/>
  <c r="R587" i="5"/>
  <c r="I1024" i="5"/>
  <c r="W587" i="5"/>
  <c r="I643" i="5"/>
  <c r="I912" i="5"/>
  <c r="L735" i="5"/>
  <c r="L740" i="5" s="1"/>
  <c r="R386" i="5"/>
  <c r="S386" i="5" s="1"/>
  <c r="G414" i="5"/>
  <c r="I414" i="5" s="1"/>
  <c r="I631" i="5"/>
  <c r="I637" i="5"/>
  <c r="I953" i="5"/>
  <c r="AO751" i="5"/>
  <c r="Z751" i="5"/>
  <c r="F726" i="5"/>
  <c r="I726" i="5" s="1"/>
  <c r="R712" i="5"/>
  <c r="S712" i="5" s="1"/>
  <c r="X918" i="5"/>
  <c r="Z918" i="5" s="1"/>
  <c r="Z952" i="5"/>
  <c r="I471" i="5"/>
  <c r="L519" i="5"/>
  <c r="K1041" i="5"/>
  <c r="V594" i="5"/>
  <c r="P358" i="5"/>
  <c r="P554" i="5"/>
  <c r="AO860" i="5"/>
  <c r="AA860" i="5"/>
  <c r="Z860" i="5"/>
  <c r="L364" i="5"/>
  <c r="L487" i="5"/>
  <c r="F600" i="5"/>
  <c r="F611" i="5" s="1"/>
  <c r="AA1009" i="5"/>
  <c r="AA1010" i="5" s="1"/>
  <c r="I698" i="5"/>
  <c r="AO639" i="5"/>
  <c r="Z639" i="5"/>
  <c r="I967" i="5"/>
  <c r="I905" i="5"/>
  <c r="Z1016" i="5"/>
  <c r="AO1016" i="5"/>
  <c r="AA1016" i="5"/>
  <c r="I853" i="5"/>
  <c r="X540" i="5"/>
  <c r="Z540" i="5" s="1"/>
  <c r="R956" i="5"/>
  <c r="X810" i="5"/>
  <c r="Z810" i="5" s="1"/>
  <c r="I693" i="5"/>
  <c r="I850" i="5"/>
  <c r="X578" i="5"/>
  <c r="U641" i="5"/>
  <c r="X1010" i="5"/>
  <c r="Z1010" i="5" s="1"/>
  <c r="Q919" i="5"/>
  <c r="V864" i="5"/>
  <c r="Q409" i="5"/>
  <c r="I474" i="5"/>
  <c r="Z636" i="5"/>
  <c r="AO636" i="5"/>
  <c r="H848" i="5"/>
  <c r="I848" i="5" s="1"/>
  <c r="Z472" i="5"/>
  <c r="AO472" i="5"/>
  <c r="AA952" i="5"/>
  <c r="AO465" i="5"/>
  <c r="Z465" i="5"/>
  <c r="AO416" i="5"/>
  <c r="X437" i="5"/>
  <c r="I584" i="5"/>
  <c r="I682" i="5"/>
  <c r="X794" i="5"/>
  <c r="Z794" i="5" s="1"/>
  <c r="Z580" i="5"/>
  <c r="AO580" i="5"/>
  <c r="I963" i="5"/>
  <c r="R359" i="5"/>
  <c r="I419" i="5"/>
  <c r="I1015" i="5"/>
  <c r="Z1009" i="5"/>
  <c r="I684" i="5"/>
  <c r="F833" i="5"/>
  <c r="I833" i="5" s="1"/>
  <c r="Q809" i="5"/>
  <c r="F820" i="5"/>
  <c r="F385" i="5"/>
  <c r="R822" i="5"/>
  <c r="Q795" i="5"/>
  <c r="AO578" i="5"/>
  <c r="L353" i="5"/>
  <c r="I790" i="5"/>
  <c r="Q691" i="5"/>
  <c r="R691" i="5" s="1"/>
  <c r="F870" i="5"/>
  <c r="F881" i="5" s="1"/>
  <c r="Q463" i="5"/>
  <c r="I907" i="5"/>
  <c r="AO645" i="5"/>
  <c r="Z645" i="5"/>
  <c r="AO953" i="5"/>
  <c r="Z953" i="5"/>
  <c r="Z842" i="5"/>
  <c r="AO842" i="5"/>
  <c r="AO848" i="5" s="1"/>
  <c r="AA842" i="5"/>
  <c r="AA848" i="5" s="1"/>
  <c r="AA906" i="5"/>
  <c r="AO906" i="5"/>
  <c r="Z906" i="5"/>
  <c r="I802" i="5"/>
  <c r="I630" i="5"/>
  <c r="AZ25" i="5"/>
  <c r="I589" i="5"/>
  <c r="V1027" i="5"/>
  <c r="I911" i="5"/>
  <c r="I1011" i="5"/>
  <c r="I477" i="5"/>
  <c r="F432" i="5"/>
  <c r="G432" i="5" s="1"/>
  <c r="AO912" i="5"/>
  <c r="AA912" i="5"/>
  <c r="Z912" i="5"/>
  <c r="AA1020" i="5"/>
  <c r="AO1020" i="5"/>
  <c r="Z1020" i="5"/>
  <c r="I971" i="5"/>
  <c r="I914" i="5"/>
  <c r="AO795" i="5"/>
  <c r="I805" i="5"/>
  <c r="I801" i="5"/>
  <c r="I700" i="5"/>
  <c r="G540" i="5"/>
  <c r="I540" i="5" s="1"/>
  <c r="I626" i="5"/>
  <c r="I431" i="5"/>
  <c r="I796" i="5"/>
  <c r="I793" i="5"/>
  <c r="I579" i="5"/>
  <c r="I363" i="5"/>
  <c r="Z363" i="5"/>
  <c r="AO363" i="5"/>
  <c r="Z408" i="5"/>
  <c r="AO408" i="5"/>
  <c r="X414" i="5"/>
  <c r="Z414" i="5" s="1"/>
  <c r="AO739" i="5"/>
  <c r="Z739" i="5"/>
  <c r="I807" i="5"/>
  <c r="I480" i="5"/>
  <c r="G686" i="5"/>
  <c r="I686" i="5" s="1"/>
  <c r="I577" i="5"/>
  <c r="X594" i="5"/>
  <c r="Z594" i="5" s="1"/>
  <c r="AO640" i="5"/>
  <c r="Z640" i="5"/>
  <c r="I473" i="5"/>
  <c r="Z475" i="5"/>
  <c r="AO475" i="5"/>
  <c r="Z478" i="5"/>
  <c r="AO478" i="5"/>
  <c r="Z468" i="5"/>
  <c r="AO468" i="5"/>
  <c r="I373" i="5"/>
  <c r="AO697" i="5"/>
  <c r="Z697" i="5"/>
  <c r="L409" i="5"/>
  <c r="L414" i="5" s="1"/>
  <c r="I734" i="5"/>
  <c r="U794" i="5"/>
  <c r="Q361" i="5"/>
  <c r="V361" i="5" s="1"/>
  <c r="Q472" i="5"/>
  <c r="I739" i="5"/>
  <c r="AO646" i="5"/>
  <c r="Z646" i="5"/>
  <c r="N554" i="5"/>
  <c r="E557" i="5"/>
  <c r="E559" i="5" s="1"/>
  <c r="G557" i="5"/>
  <c r="G559" i="5" s="1"/>
  <c r="AZ59" i="5"/>
  <c r="R387" i="5"/>
  <c r="S387" i="5" s="1"/>
  <c r="F762" i="5"/>
  <c r="Q735" i="5"/>
  <c r="R763" i="5"/>
  <c r="S763" i="5" s="1"/>
  <c r="I683" i="5"/>
  <c r="I800" i="5"/>
  <c r="P375" i="5"/>
  <c r="AO754" i="5"/>
  <c r="Z754" i="5"/>
  <c r="W408" i="5"/>
  <c r="F710" i="5"/>
  <c r="Q688" i="5"/>
  <c r="Z749" i="5"/>
  <c r="AO749" i="5"/>
  <c r="H469" i="5"/>
  <c r="I469" i="5" s="1"/>
  <c r="H675" i="5"/>
  <c r="E377" i="5"/>
  <c r="Z898" i="5"/>
  <c r="AO898" i="5"/>
  <c r="AA898" i="5"/>
  <c r="U972" i="5"/>
  <c r="W957" i="5"/>
  <c r="D376" i="5"/>
  <c r="K518" i="5"/>
  <c r="K524" i="5" s="1"/>
  <c r="K541" i="5" s="1"/>
  <c r="K352" i="5"/>
  <c r="K358" i="5" s="1"/>
  <c r="D974" i="5"/>
  <c r="AO369" i="5"/>
  <c r="Z369" i="5"/>
  <c r="F649" i="5"/>
  <c r="H648" i="5"/>
  <c r="G648" i="5"/>
  <c r="R864" i="5"/>
  <c r="P865" i="5"/>
  <c r="H783" i="5"/>
  <c r="I779" i="5"/>
  <c r="R709" i="5"/>
  <c r="S709" i="5" s="1"/>
  <c r="F728" i="5"/>
  <c r="I728" i="5" s="1"/>
  <c r="Q701" i="5"/>
  <c r="V701" i="5" s="1"/>
  <c r="F387" i="5"/>
  <c r="I360" i="5"/>
  <c r="U414" i="5"/>
  <c r="D704" i="5"/>
  <c r="AO737" i="5"/>
  <c r="Z737" i="5"/>
  <c r="F1027" i="5"/>
  <c r="H1026" i="5"/>
  <c r="G1026" i="5"/>
  <c r="W359" i="5"/>
  <c r="I744" i="5"/>
  <c r="U1026" i="5"/>
  <c r="W1011" i="5"/>
  <c r="K232" i="5"/>
  <c r="S230" i="5"/>
  <c r="Q230" i="5"/>
  <c r="S767" i="5"/>
  <c r="Q770" i="5"/>
  <c r="D920" i="5"/>
  <c r="L701" i="5"/>
  <c r="J702" i="5"/>
  <c r="J703" i="5" s="1"/>
  <c r="F487" i="5"/>
  <c r="M501" i="5" s="1"/>
  <c r="G486" i="5"/>
  <c r="AO687" i="5"/>
  <c r="X702" i="5"/>
  <c r="Z702" i="5" s="1"/>
  <c r="Z687" i="5"/>
  <c r="W954" i="5"/>
  <c r="U956" i="5"/>
  <c r="W956" i="5" s="1"/>
  <c r="R608" i="5"/>
  <c r="S608" i="5" s="1"/>
  <c r="R610" i="5"/>
  <c r="S610" i="5" s="1"/>
  <c r="U364" i="5"/>
  <c r="X686" i="5"/>
  <c r="AO680" i="5"/>
  <c r="AO686" i="5" s="1"/>
  <c r="Z680" i="5"/>
  <c r="G1010" i="5"/>
  <c r="I1010" i="5" s="1"/>
  <c r="AO479" i="5"/>
  <c r="Z479" i="5"/>
  <c r="E541" i="5"/>
  <c r="R1026" i="5"/>
  <c r="P1027" i="5"/>
  <c r="R492" i="5"/>
  <c r="S492" i="5" s="1"/>
  <c r="Q474" i="5"/>
  <c r="R381" i="5"/>
  <c r="S381" i="5" s="1"/>
  <c r="F388" i="5"/>
  <c r="Q363" i="5"/>
  <c r="V363" i="5" s="1"/>
  <c r="AO423" i="5"/>
  <c r="Z423" i="5"/>
  <c r="E920" i="5"/>
  <c r="AO590" i="5"/>
  <c r="Z590" i="5"/>
  <c r="AO746" i="5"/>
  <c r="Z746" i="5"/>
  <c r="Q647" i="5"/>
  <c r="V647" i="5" s="1"/>
  <c r="F655" i="5"/>
  <c r="F671" i="5"/>
  <c r="Q529" i="5"/>
  <c r="AO535" i="5"/>
  <c r="Z535" i="5"/>
  <c r="I965" i="5"/>
  <c r="AA1011" i="5"/>
  <c r="Z1011" i="5"/>
  <c r="X1026" i="5"/>
  <c r="Z1026" i="5" s="1"/>
  <c r="AO1011" i="5"/>
  <c r="F703" i="5"/>
  <c r="G703" i="5" s="1"/>
  <c r="H702" i="5"/>
  <c r="I702" i="5" s="1"/>
  <c r="H402" i="5"/>
  <c r="U358" i="5"/>
  <c r="I647" i="5"/>
  <c r="R552" i="5"/>
  <c r="S552" i="5" s="1"/>
  <c r="F546" i="5"/>
  <c r="Q519" i="5"/>
  <c r="W1006" i="5"/>
  <c r="U1010" i="5"/>
  <c r="W1010" i="5" s="1"/>
  <c r="I479" i="5"/>
  <c r="E812" i="5"/>
  <c r="R661" i="5"/>
  <c r="S661" i="5" s="1"/>
  <c r="R388" i="5"/>
  <c r="S388" i="5" s="1"/>
  <c r="Q357" i="5"/>
  <c r="Z476" i="5"/>
  <c r="AO476" i="5"/>
  <c r="L647" i="5"/>
  <c r="L648" i="5" s="1"/>
  <c r="J648" i="5"/>
  <c r="L529" i="5"/>
  <c r="L540" i="5" s="1"/>
  <c r="J540" i="5"/>
  <c r="G375" i="5"/>
  <c r="I375" i="5" s="1"/>
  <c r="Z521" i="5"/>
  <c r="AO521" i="5"/>
  <c r="U363" i="5"/>
  <c r="AO523" i="5"/>
  <c r="Z523" i="5"/>
  <c r="F919" i="5"/>
  <c r="F920" i="5" s="1"/>
  <c r="H513" i="5"/>
  <c r="G399" i="5"/>
  <c r="G402" i="5" s="1"/>
  <c r="E402" i="5"/>
  <c r="V470" i="5"/>
  <c r="R470" i="5"/>
  <c r="Z464" i="5"/>
  <c r="AO464" i="5"/>
  <c r="AO374" i="5"/>
  <c r="Z374" i="5"/>
  <c r="AO587" i="5"/>
  <c r="Z587" i="5"/>
  <c r="AO904" i="5"/>
  <c r="AA904" i="5"/>
  <c r="Z904" i="5"/>
  <c r="Q556" i="5"/>
  <c r="Q554" i="5"/>
  <c r="F509" i="5"/>
  <c r="R495" i="5"/>
  <c r="S495" i="5" s="1"/>
  <c r="R384" i="5"/>
  <c r="S384" i="5" s="1"/>
  <c r="F398" i="5"/>
  <c r="I398" i="5" s="1"/>
  <c r="Q364" i="5"/>
  <c r="V364" i="5" s="1"/>
  <c r="Q475" i="5"/>
  <c r="X375" i="5"/>
  <c r="Z375" i="5" s="1"/>
  <c r="AO359" i="5"/>
  <c r="Z359" i="5"/>
  <c r="AO965" i="5"/>
  <c r="AA965" i="5"/>
  <c r="Z965" i="5"/>
  <c r="V641" i="5"/>
  <c r="AO528" i="5"/>
  <c r="Z528" i="5"/>
  <c r="U810" i="5"/>
  <c r="Q353" i="5"/>
  <c r="Z848" i="5"/>
  <c r="X469" i="5"/>
  <c r="AO463" i="5"/>
  <c r="Z463" i="5"/>
  <c r="AO688" i="5"/>
  <c r="Z688" i="5"/>
  <c r="Q260" i="5"/>
  <c r="K262" i="5"/>
  <c r="F438" i="5"/>
  <c r="F448" i="5" s="1"/>
  <c r="R439" i="5"/>
  <c r="Q424" i="5"/>
  <c r="R383" i="5"/>
  <c r="S383" i="5" s="1"/>
  <c r="Q368" i="5"/>
  <c r="H613" i="5"/>
  <c r="Z467" i="5"/>
  <c r="AO467" i="5"/>
  <c r="I581" i="5"/>
  <c r="Z700" i="5"/>
  <c r="AO700" i="5"/>
  <c r="R660" i="5"/>
  <c r="S660" i="5" s="1"/>
  <c r="Q626" i="5"/>
  <c r="I862" i="5"/>
  <c r="W843" i="5"/>
  <c r="U848" i="5"/>
  <c r="U594" i="5"/>
  <c r="P595" i="5"/>
  <c r="H794" i="5"/>
  <c r="I794" i="5" s="1"/>
  <c r="AO748" i="5"/>
  <c r="Z748" i="5"/>
  <c r="L424" i="5"/>
  <c r="L431" i="5" s="1"/>
  <c r="J431" i="5"/>
  <c r="J432" i="5" s="1"/>
  <c r="H486" i="5"/>
  <c r="AO794" i="5"/>
  <c r="AO1021" i="5"/>
  <c r="AA1021" i="5"/>
  <c r="Z1021" i="5"/>
  <c r="L626" i="5"/>
  <c r="L632" i="5" s="1"/>
  <c r="J632" i="5"/>
  <c r="AO429" i="5"/>
  <c r="Z429" i="5"/>
  <c r="I968" i="5"/>
  <c r="U486" i="5"/>
  <c r="U701" i="5"/>
  <c r="AO950" i="5"/>
  <c r="AA950" i="5"/>
  <c r="X956" i="5"/>
  <c r="Z950" i="5"/>
  <c r="AO1019" i="5"/>
  <c r="AA1019" i="5"/>
  <c r="Z1019" i="5"/>
  <c r="G564" i="5"/>
  <c r="G567" i="5" s="1"/>
  <c r="E567" i="5"/>
  <c r="F401" i="5"/>
  <c r="I401" i="5" s="1"/>
  <c r="W579" i="5"/>
  <c r="X756" i="5"/>
  <c r="Z756" i="5" s="1"/>
  <c r="AO741" i="5"/>
  <c r="Z741" i="5"/>
  <c r="F816" i="5"/>
  <c r="F834" i="5"/>
  <c r="Q789" i="5"/>
  <c r="F524" i="5"/>
  <c r="H524" i="5" s="1"/>
  <c r="X518" i="5"/>
  <c r="P811" i="5"/>
  <c r="I958" i="5"/>
  <c r="V848" i="5"/>
  <c r="W842" i="5"/>
  <c r="F381" i="5"/>
  <c r="U647" i="5"/>
  <c r="AO417" i="5"/>
  <c r="Z417" i="5"/>
  <c r="AO964" i="5"/>
  <c r="AA964" i="5"/>
  <c r="Z964" i="5"/>
  <c r="L368" i="5"/>
  <c r="E488" i="5"/>
  <c r="L501" i="5"/>
  <c r="AA897" i="5"/>
  <c r="AO897" i="5"/>
  <c r="AO902" i="5" s="1"/>
  <c r="Z897" i="5"/>
  <c r="N389" i="5"/>
  <c r="P919" i="5"/>
  <c r="R918" i="5"/>
  <c r="S658" i="5"/>
  <c r="Q662" i="5"/>
  <c r="U524" i="5"/>
  <c r="H729" i="5"/>
  <c r="F595" i="5"/>
  <c r="H594" i="5"/>
  <c r="G594" i="5"/>
  <c r="G956" i="5"/>
  <c r="H956" i="5"/>
  <c r="AO1025" i="5"/>
  <c r="AA1025" i="5"/>
  <c r="Z1025" i="5"/>
  <c r="R498" i="5"/>
  <c r="S498" i="5" s="1"/>
  <c r="F510" i="5"/>
  <c r="I510" i="5" s="1"/>
  <c r="Q471" i="5"/>
  <c r="F384" i="5"/>
  <c r="Q360" i="5"/>
  <c r="Z362" i="5"/>
  <c r="AO362" i="5"/>
  <c r="G392" i="5"/>
  <c r="G394" i="5" s="1"/>
  <c r="F757" i="5"/>
  <c r="G756" i="5"/>
  <c r="H756" i="5"/>
  <c r="L789" i="5"/>
  <c r="L794" i="5" s="1"/>
  <c r="L811" i="5" s="1"/>
  <c r="J794" i="5"/>
  <c r="J811" i="5" s="1"/>
  <c r="G518" i="5"/>
  <c r="I518" i="5" s="1"/>
  <c r="U431" i="5"/>
  <c r="P757" i="5"/>
  <c r="AO420" i="5"/>
  <c r="Z420" i="5"/>
  <c r="U469" i="5"/>
  <c r="W525" i="5"/>
  <c r="AO1013" i="5"/>
  <c r="AA1013" i="5"/>
  <c r="Z1013" i="5"/>
  <c r="I849" i="5"/>
  <c r="P389" i="5"/>
  <c r="I740" i="5"/>
  <c r="Q718" i="5"/>
  <c r="Q716" i="5"/>
  <c r="L360" i="5"/>
  <c r="J375" i="5"/>
  <c r="X972" i="5"/>
  <c r="Z972" i="5" s="1"/>
  <c r="AO957" i="5"/>
  <c r="AA957" i="5"/>
  <c r="Z957" i="5"/>
  <c r="F512" i="5"/>
  <c r="I512" i="5" s="1"/>
  <c r="E392" i="5"/>
  <c r="E394" i="5" s="1"/>
  <c r="L825" i="5"/>
  <c r="AO743" i="5"/>
  <c r="Z743" i="5"/>
  <c r="K987" i="5"/>
  <c r="P432" i="5"/>
  <c r="F672" i="5"/>
  <c r="I672" i="5" s="1"/>
  <c r="F654" i="5"/>
  <c r="R655" i="5"/>
  <c r="Q627" i="5"/>
  <c r="U540" i="5"/>
  <c r="AO626" i="5"/>
  <c r="AO632" i="5" s="1"/>
  <c r="Z626" i="5"/>
  <c r="X632" i="5"/>
  <c r="U361" i="5"/>
  <c r="E866" i="5"/>
  <c r="L879" i="5"/>
  <c r="F973" i="5"/>
  <c r="G973" i="5" s="1"/>
  <c r="H972" i="5"/>
  <c r="I972" i="5" s="1"/>
  <c r="W634" i="5"/>
  <c r="Q389" i="5"/>
  <c r="Q391" i="5"/>
  <c r="F811" i="5"/>
  <c r="G810" i="5"/>
  <c r="I810" i="5" s="1"/>
  <c r="Z1008" i="5"/>
  <c r="AO1008" i="5"/>
  <c r="L933" i="5"/>
  <c r="AO520" i="5"/>
  <c r="Z520" i="5"/>
  <c r="AO961" i="5"/>
  <c r="AA961" i="5"/>
  <c r="Z961" i="5"/>
  <c r="Z591" i="5"/>
  <c r="AO591" i="5"/>
  <c r="AO378" i="5"/>
  <c r="Z378" i="5"/>
  <c r="AO361" i="5"/>
  <c r="Z361" i="5"/>
  <c r="R972" i="5"/>
  <c r="P973" i="5"/>
  <c r="AO1015" i="5"/>
  <c r="AA1015" i="5"/>
  <c r="Z1015" i="5"/>
  <c r="U632" i="5"/>
  <c r="AO364" i="5"/>
  <c r="Z364" i="5"/>
  <c r="F358" i="5"/>
  <c r="G358" i="5" s="1"/>
  <c r="X352" i="5"/>
  <c r="AO584" i="5"/>
  <c r="Z584" i="5"/>
  <c r="AO522" i="5"/>
  <c r="Z522" i="5"/>
  <c r="F865" i="5"/>
  <c r="H865" i="5" s="1"/>
  <c r="G864" i="5"/>
  <c r="H864" i="5"/>
  <c r="G632" i="5"/>
  <c r="I632" i="5" s="1"/>
  <c r="Z734" i="5"/>
  <c r="X740" i="5"/>
  <c r="AO734" i="5"/>
  <c r="I1005" i="5"/>
  <c r="Q500" i="5"/>
  <c r="Q502" i="5"/>
  <c r="L865" i="5"/>
  <c r="K248" i="5"/>
  <c r="K250" i="5" s="1"/>
  <c r="K254" i="5"/>
  <c r="K253" i="5" s="1"/>
  <c r="Z473" i="5"/>
  <c r="AO473" i="5"/>
  <c r="I799" i="5"/>
  <c r="I959" i="5"/>
  <c r="AO959" i="5"/>
  <c r="AA959" i="5"/>
  <c r="Z959" i="5"/>
  <c r="X431" i="5"/>
  <c r="X486" i="5"/>
  <c r="Z486" i="5" s="1"/>
  <c r="Z470" i="5"/>
  <c r="AO470" i="5"/>
  <c r="D433" i="5"/>
  <c r="K446" i="5"/>
  <c r="D542" i="5"/>
  <c r="G352" i="5"/>
  <c r="I352" i="5" s="1"/>
  <c r="V902" i="5"/>
  <c r="V919" i="5" s="1"/>
  <c r="W900" i="5"/>
  <c r="J518" i="5"/>
  <c r="AZ55" i="5"/>
  <c r="F382" i="5" s="1"/>
  <c r="J352" i="5"/>
  <c r="AO426" i="5"/>
  <c r="Z426" i="5"/>
  <c r="AA849" i="5"/>
  <c r="Z849" i="5"/>
  <c r="X864" i="5"/>
  <c r="Z864" i="5" s="1"/>
  <c r="AO849" i="5"/>
  <c r="K233" i="5"/>
  <c r="K235" i="5"/>
  <c r="U864" i="5"/>
  <c r="W849" i="5"/>
  <c r="U755" i="5"/>
  <c r="W755" i="5" s="1"/>
  <c r="R755" i="5"/>
  <c r="AO1007" i="5"/>
  <c r="Z1007" i="5"/>
  <c r="U918" i="5"/>
  <c r="Q664" i="5"/>
  <c r="P487" i="5"/>
  <c r="Z372" i="5"/>
  <c r="AO372" i="5"/>
  <c r="W680" i="5"/>
  <c r="U686" i="5"/>
  <c r="R382" i="5"/>
  <c r="S382" i="5" s="1"/>
  <c r="F455" i="5"/>
  <c r="W686" i="5" l="1"/>
  <c r="V741" i="5"/>
  <c r="V756" i="5" s="1"/>
  <c r="R973" i="5"/>
  <c r="Q756" i="5"/>
  <c r="R756" i="5" s="1"/>
  <c r="L757" i="5"/>
  <c r="V572" i="5"/>
  <c r="V578" i="5" s="1"/>
  <c r="V595" i="5" s="1"/>
  <c r="Q578" i="5"/>
  <c r="R578" i="5" s="1"/>
  <c r="R848" i="5"/>
  <c r="R593" i="5"/>
  <c r="AO414" i="5"/>
  <c r="Q594" i="5"/>
  <c r="R594" i="5" s="1"/>
  <c r="H487" i="5"/>
  <c r="R701" i="5"/>
  <c r="L702" i="5"/>
  <c r="L703" i="5" s="1"/>
  <c r="AO810" i="5"/>
  <c r="AO811" i="5" s="1"/>
  <c r="AO814" i="5" s="1"/>
  <c r="W701" i="5"/>
  <c r="AO540" i="5"/>
  <c r="K376" i="5"/>
  <c r="R919" i="5"/>
  <c r="F783" i="5"/>
  <c r="I783" i="5" s="1"/>
  <c r="AA864" i="5"/>
  <c r="AA865" i="5" s="1"/>
  <c r="AA868" i="5" s="1"/>
  <c r="F719" i="5"/>
  <c r="AA902" i="5"/>
  <c r="AA956" i="5"/>
  <c r="F773" i="5"/>
  <c r="I618" i="5"/>
  <c r="W572" i="5"/>
  <c r="Q702" i="5"/>
  <c r="Q703" i="5" s="1"/>
  <c r="R703" i="5" s="1"/>
  <c r="R1027" i="5"/>
  <c r="R485" i="5"/>
  <c r="V691" i="5"/>
  <c r="W691" i="5" s="1"/>
  <c r="V865" i="5"/>
  <c r="AO648" i="5"/>
  <c r="X595" i="5"/>
  <c r="Z595" i="5" s="1"/>
  <c r="AO864" i="5"/>
  <c r="AO865" i="5" s="1"/>
  <c r="AO868" i="5" s="1"/>
  <c r="R374" i="5"/>
  <c r="V734" i="5"/>
  <c r="W734" i="5" s="1"/>
  <c r="R865" i="5"/>
  <c r="R795" i="5"/>
  <c r="V795" i="5"/>
  <c r="Q810" i="5"/>
  <c r="R810" i="5" s="1"/>
  <c r="X919" i="5"/>
  <c r="X922" i="5" s="1"/>
  <c r="Z922" i="5" s="1"/>
  <c r="AA918" i="5"/>
  <c r="V809" i="5"/>
  <c r="W809" i="5" s="1"/>
  <c r="R809" i="5"/>
  <c r="S609" i="5"/>
  <c r="Q469" i="5"/>
  <c r="R469" i="5" s="1"/>
  <c r="V463" i="5"/>
  <c r="R463" i="5"/>
  <c r="V409" i="5"/>
  <c r="Q414" i="5"/>
  <c r="R414" i="5" s="1"/>
  <c r="R409" i="5"/>
  <c r="S822" i="5"/>
  <c r="R824" i="5"/>
  <c r="S824" i="5" s="1"/>
  <c r="I756" i="5"/>
  <c r="AO956" i="5"/>
  <c r="AO918" i="5"/>
  <c r="AO919" i="5" s="1"/>
  <c r="AO922" i="5" s="1"/>
  <c r="F827" i="5"/>
  <c r="AO1010" i="5"/>
  <c r="P376" i="5"/>
  <c r="L432" i="5"/>
  <c r="R770" i="5"/>
  <c r="S770" i="5" s="1"/>
  <c r="X811" i="5"/>
  <c r="Z811" i="5" s="1"/>
  <c r="Z578" i="5"/>
  <c r="AO649" i="5"/>
  <c r="AO652" i="5" s="1"/>
  <c r="W647" i="5"/>
  <c r="F729" i="5"/>
  <c r="I729" i="5" s="1"/>
  <c r="I864" i="5"/>
  <c r="F433" i="5"/>
  <c r="M446" i="5"/>
  <c r="H432" i="5"/>
  <c r="I432" i="5" s="1"/>
  <c r="AO431" i="5"/>
  <c r="M933" i="5"/>
  <c r="I956" i="5"/>
  <c r="I1026" i="5"/>
  <c r="AO594" i="5"/>
  <c r="AO595" i="5" s="1"/>
  <c r="AO598" i="5" s="1"/>
  <c r="Q595" i="5"/>
  <c r="R595" i="5" s="1"/>
  <c r="G524" i="5"/>
  <c r="I524" i="5" s="1"/>
  <c r="W848" i="5"/>
  <c r="R363" i="5"/>
  <c r="AO740" i="5"/>
  <c r="F399" i="5"/>
  <c r="I399" i="5" s="1"/>
  <c r="F665" i="5"/>
  <c r="I594" i="5"/>
  <c r="R647" i="5"/>
  <c r="V688" i="5"/>
  <c r="W688" i="5" s="1"/>
  <c r="R688" i="5"/>
  <c r="V735" i="5"/>
  <c r="Q740" i="5"/>
  <c r="R740" i="5" s="1"/>
  <c r="R735" i="5"/>
  <c r="F541" i="5"/>
  <c r="F542" i="5" s="1"/>
  <c r="AO486" i="5"/>
  <c r="W741" i="5"/>
  <c r="R361" i="5"/>
  <c r="U756" i="5"/>
  <c r="W756" i="5" s="1"/>
  <c r="W361" i="5"/>
  <c r="L375" i="5"/>
  <c r="U648" i="5"/>
  <c r="U649" i="5" s="1"/>
  <c r="Q648" i="5"/>
  <c r="R648" i="5" s="1"/>
  <c r="V648" i="5"/>
  <c r="V472" i="5"/>
  <c r="W472" i="5" s="1"/>
  <c r="R472" i="5"/>
  <c r="R772" i="5"/>
  <c r="S772" i="5" s="1"/>
  <c r="X757" i="5"/>
  <c r="Z740" i="5"/>
  <c r="F812" i="5"/>
  <c r="G811" i="5"/>
  <c r="M825" i="5"/>
  <c r="AA972" i="5"/>
  <c r="V789" i="5"/>
  <c r="Q794" i="5"/>
  <c r="R789" i="5"/>
  <c r="U595" i="5"/>
  <c r="W594" i="5"/>
  <c r="F513" i="5"/>
  <c r="I513" i="5" s="1"/>
  <c r="F564" i="5"/>
  <c r="G919" i="5"/>
  <c r="I648" i="5"/>
  <c r="J358" i="5"/>
  <c r="J376" i="5" s="1"/>
  <c r="L352" i="5"/>
  <c r="L358" i="5" s="1"/>
  <c r="AO972" i="5"/>
  <c r="V360" i="5"/>
  <c r="Q375" i="5"/>
  <c r="W381" i="5"/>
  <c r="R360" i="5"/>
  <c r="I834" i="5"/>
  <c r="F837" i="5"/>
  <c r="I837" i="5" s="1"/>
  <c r="U702" i="5"/>
  <c r="I509" i="5"/>
  <c r="W641" i="5"/>
  <c r="F596" i="5"/>
  <c r="H595" i="5"/>
  <c r="G595" i="5"/>
  <c r="F392" i="5"/>
  <c r="AO469" i="5"/>
  <c r="F376" i="5"/>
  <c r="G376" i="5" s="1"/>
  <c r="H811" i="5"/>
  <c r="AA1026" i="5"/>
  <c r="AA1027" i="5" s="1"/>
  <c r="AA1030" i="5" s="1"/>
  <c r="M609" i="5"/>
  <c r="F650" i="5"/>
  <c r="M663" i="5"/>
  <c r="H649" i="5"/>
  <c r="G649" i="5"/>
  <c r="I649" i="5" s="1"/>
  <c r="X649" i="5"/>
  <c r="Z632" i="5"/>
  <c r="U865" i="5"/>
  <c r="W864" i="5"/>
  <c r="V471" i="5"/>
  <c r="W471" i="5" s="1"/>
  <c r="R471" i="5"/>
  <c r="Z956" i="5"/>
  <c r="X973" i="5"/>
  <c r="V368" i="5"/>
  <c r="W368" i="5" s="1"/>
  <c r="R368" i="5"/>
  <c r="X487" i="5"/>
  <c r="Z469" i="5"/>
  <c r="U973" i="5"/>
  <c r="W973" i="5" s="1"/>
  <c r="W972" i="5"/>
  <c r="L518" i="5"/>
  <c r="L524" i="5" s="1"/>
  <c r="L541" i="5" s="1"/>
  <c r="J524" i="5"/>
  <c r="J541" i="5" s="1"/>
  <c r="AO756" i="5"/>
  <c r="X358" i="5"/>
  <c r="AO352" i="5"/>
  <c r="AO358" i="5" s="1"/>
  <c r="Z352" i="5"/>
  <c r="F547" i="5"/>
  <c r="F557" i="5" s="1"/>
  <c r="Q518" i="5"/>
  <c r="R385" i="5"/>
  <c r="S385" i="5" s="1"/>
  <c r="Q352" i="5"/>
  <c r="Z431" i="5"/>
  <c r="X432" i="5"/>
  <c r="U541" i="5"/>
  <c r="V424" i="5"/>
  <c r="Q431" i="5"/>
  <c r="R424" i="5"/>
  <c r="X865" i="5"/>
  <c r="AO375" i="5"/>
  <c r="J649" i="5"/>
  <c r="V474" i="5"/>
  <c r="W474" i="5" s="1"/>
  <c r="R474" i="5"/>
  <c r="U432" i="5"/>
  <c r="H358" i="5"/>
  <c r="I358" i="5" s="1"/>
  <c r="S240" i="5"/>
  <c r="S233" i="5"/>
  <c r="K245" i="5"/>
  <c r="V627" i="5"/>
  <c r="W627" i="5" s="1"/>
  <c r="R627" i="5"/>
  <c r="Q632" i="5"/>
  <c r="R632" i="5" s="1"/>
  <c r="V626" i="5"/>
  <c r="R626" i="5"/>
  <c r="R447" i="5"/>
  <c r="S447" i="5" s="1"/>
  <c r="R445" i="5"/>
  <c r="S445" i="5" s="1"/>
  <c r="S439" i="5"/>
  <c r="W470" i="5"/>
  <c r="L649" i="5"/>
  <c r="V529" i="5"/>
  <c r="R529" i="5"/>
  <c r="Q540" i="5"/>
  <c r="R500" i="5"/>
  <c r="S500" i="5" s="1"/>
  <c r="R502" i="5"/>
  <c r="S502" i="5" s="1"/>
  <c r="W902" i="5"/>
  <c r="AO702" i="5"/>
  <c r="AO703" i="5" s="1"/>
  <c r="AO706" i="5" s="1"/>
  <c r="U375" i="5"/>
  <c r="X1027" i="5"/>
  <c r="R662" i="5"/>
  <c r="S662" i="5" s="1"/>
  <c r="R664" i="5"/>
  <c r="S664" i="5" s="1"/>
  <c r="S655" i="5"/>
  <c r="X598" i="5"/>
  <c r="Z598" i="5" s="1"/>
  <c r="V475" i="5"/>
  <c r="W475" i="5" s="1"/>
  <c r="R475" i="5"/>
  <c r="Q486" i="5"/>
  <c r="R550" i="5"/>
  <c r="T230" i="5"/>
  <c r="S232" i="5"/>
  <c r="R716" i="5"/>
  <c r="S716" i="5" s="1"/>
  <c r="R718" i="5"/>
  <c r="S718" i="5" s="1"/>
  <c r="V353" i="5"/>
  <c r="W353" i="5" s="1"/>
  <c r="R353" i="5"/>
  <c r="W363" i="5"/>
  <c r="H919" i="5"/>
  <c r="I486" i="5"/>
  <c r="K252" i="5"/>
  <c r="Q250" i="5"/>
  <c r="W918" i="5"/>
  <c r="U919" i="5"/>
  <c r="W919" i="5" s="1"/>
  <c r="F758" i="5"/>
  <c r="H757" i="5"/>
  <c r="G757" i="5"/>
  <c r="M771" i="5"/>
  <c r="AO518" i="5"/>
  <c r="AO524" i="5" s="1"/>
  <c r="AO541" i="5" s="1"/>
  <c r="AO544" i="5" s="1"/>
  <c r="X524" i="5"/>
  <c r="Z518" i="5"/>
  <c r="V519" i="5"/>
  <c r="W519" i="5" s="1"/>
  <c r="R519" i="5"/>
  <c r="F675" i="5"/>
  <c r="I675" i="5" s="1"/>
  <c r="E542" i="5"/>
  <c r="L555" i="5"/>
  <c r="X703" i="5"/>
  <c r="Z686" i="5"/>
  <c r="F488" i="5"/>
  <c r="G487" i="5"/>
  <c r="I487" i="5" s="1"/>
  <c r="F1028" i="5"/>
  <c r="H1027" i="5"/>
  <c r="G1027" i="5"/>
  <c r="M1041" i="5"/>
  <c r="I671" i="5"/>
  <c r="F458" i="5"/>
  <c r="I458" i="5" s="1"/>
  <c r="I455" i="5"/>
  <c r="U487" i="5"/>
  <c r="F704" i="5"/>
  <c r="H703" i="5"/>
  <c r="I703" i="5" s="1"/>
  <c r="M717" i="5"/>
  <c r="R364" i="5"/>
  <c r="U1027" i="5"/>
  <c r="W1027" i="5" s="1"/>
  <c r="W1026" i="5"/>
  <c r="D377" i="5"/>
  <c r="K390" i="5"/>
  <c r="F974" i="5"/>
  <c r="H973" i="5"/>
  <c r="I973" i="5" s="1"/>
  <c r="M987" i="5"/>
  <c r="F866" i="5"/>
  <c r="G865" i="5"/>
  <c r="I865" i="5" s="1"/>
  <c r="M879" i="5"/>
  <c r="U811" i="5"/>
  <c r="V357" i="5"/>
  <c r="W357" i="5" s="1"/>
  <c r="R357" i="5"/>
  <c r="AO1026" i="5"/>
  <c r="W364" i="5"/>
  <c r="AO432" i="5" l="1"/>
  <c r="AO435" i="5" s="1"/>
  <c r="W595" i="5"/>
  <c r="W578" i="5"/>
  <c r="S825" i="5"/>
  <c r="X814" i="5"/>
  <c r="Z814" i="5" s="1"/>
  <c r="AO757" i="5"/>
  <c r="AO760" i="5" s="1"/>
  <c r="AA919" i="5"/>
  <c r="AA922" i="5" s="1"/>
  <c r="W865" i="5"/>
  <c r="R702" i="5"/>
  <c r="AA973" i="5"/>
  <c r="AA976" i="5" s="1"/>
  <c r="M555" i="5"/>
  <c r="Z919" i="5"/>
  <c r="U757" i="5"/>
  <c r="W648" i="5"/>
  <c r="S717" i="5"/>
  <c r="AO973" i="5"/>
  <c r="AO976" i="5" s="1"/>
  <c r="S771" i="5"/>
  <c r="V469" i="5"/>
  <c r="W469" i="5" s="1"/>
  <c r="W463" i="5"/>
  <c r="V810" i="5"/>
  <c r="W810" i="5" s="1"/>
  <c r="W795" i="5"/>
  <c r="V414" i="5"/>
  <c r="W414" i="5" s="1"/>
  <c r="W409" i="5"/>
  <c r="AO1027" i="5"/>
  <c r="AO1030" i="5" s="1"/>
  <c r="V702" i="5"/>
  <c r="V703" i="5" s="1"/>
  <c r="H541" i="5"/>
  <c r="G541" i="5"/>
  <c r="L376" i="5"/>
  <c r="Q649" i="5"/>
  <c r="R649" i="5" s="1"/>
  <c r="F402" i="5"/>
  <c r="I402" i="5" s="1"/>
  <c r="AO376" i="5"/>
  <c r="AO379" i="5" s="1"/>
  <c r="AO487" i="5"/>
  <c r="AO490" i="5" s="1"/>
  <c r="Q757" i="5"/>
  <c r="R757" i="5" s="1"/>
  <c r="V740" i="5"/>
  <c r="W735" i="5"/>
  <c r="I595" i="5"/>
  <c r="S663" i="5"/>
  <c r="S501" i="5"/>
  <c r="X976" i="5"/>
  <c r="Z976" i="5" s="1"/>
  <c r="Z973" i="5"/>
  <c r="R540" i="5"/>
  <c r="U703" i="5"/>
  <c r="W703" i="5" s="1"/>
  <c r="W702" i="5"/>
  <c r="I919" i="5"/>
  <c r="I811" i="5"/>
  <c r="X706" i="5"/>
  <c r="Z706" i="5" s="1"/>
  <c r="Z703" i="5"/>
  <c r="W529" i="5"/>
  <c r="V540" i="5"/>
  <c r="F377" i="5"/>
  <c r="H376" i="5"/>
  <c r="I376" i="5" s="1"/>
  <c r="M390" i="5"/>
  <c r="F567" i="5"/>
  <c r="I567" i="5" s="1"/>
  <c r="I564" i="5"/>
  <c r="V431" i="5"/>
  <c r="W424" i="5"/>
  <c r="Z524" i="5"/>
  <c r="X541" i="5"/>
  <c r="X376" i="5"/>
  <c r="Z358" i="5"/>
  <c r="R556" i="5"/>
  <c r="S556" i="5" s="1"/>
  <c r="R554" i="5"/>
  <c r="S554" i="5" s="1"/>
  <c r="S550" i="5"/>
  <c r="R391" i="5"/>
  <c r="S391" i="5" s="1"/>
  <c r="X760" i="5"/>
  <c r="Z760" i="5" s="1"/>
  <c r="Z757" i="5"/>
  <c r="Q524" i="5"/>
  <c r="R524" i="5" s="1"/>
  <c r="V518" i="5"/>
  <c r="R518" i="5"/>
  <c r="X435" i="5"/>
  <c r="Z435" i="5" s="1"/>
  <c r="Z432" i="5"/>
  <c r="I757" i="5"/>
  <c r="X1030" i="5"/>
  <c r="Z1030" i="5" s="1"/>
  <c r="Z1027" i="5"/>
  <c r="V486" i="5"/>
  <c r="K255" i="5"/>
  <c r="S243" i="5"/>
  <c r="S250" i="5"/>
  <c r="X652" i="5"/>
  <c r="Z652" i="5" s="1"/>
  <c r="Z649" i="5"/>
  <c r="V375" i="5"/>
  <c r="W375" i="5" s="1"/>
  <c r="W360" i="5"/>
  <c r="V632" i="5"/>
  <c r="W626" i="5"/>
  <c r="Q487" i="5"/>
  <c r="R487" i="5" s="1"/>
  <c r="R486" i="5"/>
  <c r="U376" i="5"/>
  <c r="X490" i="5"/>
  <c r="Z490" i="5" s="1"/>
  <c r="Z487" i="5"/>
  <c r="Q432" i="5"/>
  <c r="R432" i="5" s="1"/>
  <c r="R431" i="5"/>
  <c r="R389" i="5"/>
  <c r="S389" i="5" s="1"/>
  <c r="R375" i="5"/>
  <c r="I1027" i="5"/>
  <c r="S446" i="5"/>
  <c r="T240" i="5"/>
  <c r="S242" i="5"/>
  <c r="X868" i="5"/>
  <c r="Z868" i="5" s="1"/>
  <c r="Z865" i="5"/>
  <c r="R794" i="5"/>
  <c r="Q811" i="5"/>
  <c r="R811" i="5" s="1"/>
  <c r="Q358" i="5"/>
  <c r="R358" i="5" s="1"/>
  <c r="V352" i="5"/>
  <c r="R352" i="5"/>
  <c r="V794" i="5"/>
  <c r="W789" i="5"/>
  <c r="I541" i="5" l="1"/>
  <c r="Q376" i="5"/>
  <c r="R376" i="5" s="1"/>
  <c r="S390" i="5"/>
  <c r="V757" i="5"/>
  <c r="W757" i="5" s="1"/>
  <c r="W740" i="5"/>
  <c r="S252" i="5"/>
  <c r="T250" i="5"/>
  <c r="K265" i="5"/>
  <c r="S253" i="5"/>
  <c r="S260" i="5"/>
  <c r="V432" i="5"/>
  <c r="W432" i="5" s="1"/>
  <c r="W431" i="5"/>
  <c r="V487" i="5"/>
  <c r="W487" i="5" s="1"/>
  <c r="W486" i="5"/>
  <c r="S555" i="5"/>
  <c r="V649" i="5"/>
  <c r="W649" i="5" s="1"/>
  <c r="W632" i="5"/>
  <c r="Z376" i="5"/>
  <c r="X379" i="5"/>
  <c r="W540" i="5"/>
  <c r="X544" i="5"/>
  <c r="Z544" i="5" s="1"/>
  <c r="Z541" i="5"/>
  <c r="Q541" i="5"/>
  <c r="R541" i="5" s="1"/>
  <c r="V358" i="5"/>
  <c r="W358" i="5" s="1"/>
  <c r="W352" i="5"/>
  <c r="V524" i="5"/>
  <c r="W524" i="5" s="1"/>
  <c r="W518" i="5"/>
  <c r="W794" i="5"/>
  <c r="V811" i="5"/>
  <c r="W811" i="5" s="1"/>
  <c r="V541" i="5" l="1"/>
  <c r="W541" i="5" s="1"/>
  <c r="S270" i="5"/>
  <c r="S263" i="5"/>
  <c r="K275" i="5"/>
  <c r="V376" i="5"/>
  <c r="W376" i="5" s="1"/>
  <c r="Z379" i="5"/>
  <c r="H394" i="5"/>
  <c r="S262" i="5"/>
  <c r="T260" i="5"/>
  <c r="S272" i="5" l="1"/>
  <c r="T270" i="5"/>
  <c r="S280" i="5"/>
  <c r="S273" i="5"/>
  <c r="K285" i="5"/>
  <c r="S290" i="5" l="1"/>
  <c r="S283" i="5"/>
  <c r="K295" i="5"/>
  <c r="S282" i="5"/>
  <c r="T280" i="5"/>
  <c r="S293" i="5" l="1"/>
  <c r="S300" i="5"/>
  <c r="K305" i="5"/>
  <c r="T290" i="5"/>
  <c r="S292" i="5"/>
  <c r="S302" i="5" l="1"/>
  <c r="T300" i="5"/>
  <c r="K315" i="5"/>
  <c r="S303" i="5"/>
  <c r="S310" i="5"/>
  <c r="T310" i="5" l="1"/>
  <c r="S312" i="5"/>
  <c r="S320" i="5"/>
  <c r="S313" i="5"/>
  <c r="K325" i="5"/>
  <c r="K335" i="5" l="1"/>
  <c r="S323" i="5"/>
  <c r="S330" i="5"/>
  <c r="T320" i="5"/>
  <c r="S322" i="5"/>
  <c r="S332" i="5" l="1"/>
  <c r="T330" i="5"/>
  <c r="K345" i="5"/>
  <c r="S343" i="5" s="1"/>
  <c r="S333" i="5"/>
  <c r="S340" i="5"/>
  <c r="T340" i="5" l="1"/>
  <c r="S342" i="5"/>
  <c r="K27" i="1"/>
  <c r="K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parksj86</author>
  </authors>
  <commentList>
    <comment ref="AO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X</t>
        </r>
        <r>
          <rPr>
            <b/>
            <sz val="9"/>
            <color indexed="81"/>
            <rFont val="돋움"/>
            <family val="3"/>
            <charset val="129"/>
          </rPr>
          <t>야드</t>
        </r>
        <r>
          <rPr>
            <b/>
            <sz val="9"/>
            <color indexed="81"/>
            <rFont val="Tahoma"/>
            <family val="2"/>
          </rPr>
          <t xml:space="preserve"> 10-130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X 290-400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240-550(310m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O12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U</t>
        </r>
        <r>
          <rPr>
            <b/>
            <sz val="9"/>
            <color indexed="81"/>
            <rFont val="돋움"/>
            <family val="3"/>
            <charset val="129"/>
          </rPr>
          <t>야드</t>
        </r>
        <r>
          <rPr>
            <b/>
            <sz val="9"/>
            <color indexed="81"/>
            <rFont val="Tahoma"/>
            <family val="2"/>
          </rPr>
          <t xml:space="preserve"> 950-1150(#2,5,8 / 54,307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T</t>
        </r>
        <r>
          <rPr>
            <b/>
            <sz val="9"/>
            <color indexed="81"/>
            <rFont val="돋움"/>
            <family val="3"/>
            <charset val="129"/>
          </rPr>
          <t>야드</t>
        </r>
        <r>
          <rPr>
            <b/>
            <sz val="9"/>
            <color indexed="81"/>
            <rFont val="Tahoma"/>
            <family val="2"/>
          </rPr>
          <t xml:space="preserve"> 650-790(#3,7 / 38,008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4" authorId="0" shapeId="0" xr:uid="{00000000-0006-0000-0300-000005000000}">
      <text>
        <r>
          <rPr>
            <sz val="9"/>
            <color indexed="81"/>
            <rFont val="Tahoma"/>
            <family val="2"/>
          </rPr>
          <t>Y</t>
        </r>
        <r>
          <rPr>
            <sz val="9"/>
            <color indexed="81"/>
            <rFont val="돋움"/>
            <family val="3"/>
            <charset val="129"/>
          </rPr>
          <t>야드</t>
        </r>
        <r>
          <rPr>
            <sz val="9"/>
            <color indexed="81"/>
            <rFont val="Tahoma"/>
            <family val="2"/>
          </rPr>
          <t xml:space="preserve"> 10-140(130m, 36,800</t>
        </r>
        <r>
          <rPr>
            <sz val="9"/>
            <color indexed="81"/>
            <rFont val="돋움"/>
            <family val="3"/>
            <charset val="129"/>
          </rPr>
          <t>톤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Tahoma"/>
            <family val="2"/>
          </rPr>
          <t>Y</t>
        </r>
        <r>
          <rPr>
            <sz val="9"/>
            <color indexed="81"/>
            <rFont val="돋움"/>
            <family val="3"/>
            <charset val="129"/>
          </rPr>
          <t>야드</t>
        </r>
        <r>
          <rPr>
            <sz val="9"/>
            <color indexed="81"/>
            <rFont val="Tahoma"/>
            <family val="2"/>
          </rPr>
          <t xml:space="preserve"> 260-400(140m, 40,000</t>
        </r>
        <r>
          <rPr>
            <sz val="9"/>
            <color indexed="81"/>
            <rFont val="돋움"/>
            <family val="3"/>
            <charset val="129"/>
          </rPr>
          <t>톤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AO16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10-70(60m)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2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X 10-110(100m, 27,000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Y 300-400(100m, 28,000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O23" authorId="0" shapeId="0" xr:uid="{00000000-0006-0000-0300-000008000000}">
      <text>
        <r>
          <rPr>
            <sz val="9"/>
            <color indexed="81"/>
            <rFont val="Tahoma"/>
            <family val="2"/>
          </rPr>
          <t>930-1080(150m)</t>
        </r>
      </text>
    </comment>
    <comment ref="AO2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S 650-920(270m, 76,000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T 740-1020(280m, 78,000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80-290(210m)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2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X 110-240(130m, 35,000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Y 90-210(120m, 33,515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4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350-400(50m)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6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R 990-1060(70m, 25,500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R 45-75(30m, 5,000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8" authorId="0" shapeId="0" xr:uid="{00000000-0006-0000-0300-00000E000000}">
      <text>
        <r>
          <rPr>
            <sz val="9"/>
            <color indexed="81"/>
            <rFont val="Tahoma"/>
            <family val="2"/>
          </rPr>
          <t>SNNC 56,587</t>
        </r>
        <r>
          <rPr>
            <sz val="9"/>
            <color indexed="81"/>
            <rFont val="돋움"/>
            <family val="3"/>
            <charset val="129"/>
          </rPr>
          <t>톤
김천</t>
        </r>
        <r>
          <rPr>
            <sz val="9"/>
            <color indexed="81"/>
            <rFont val="Tahoma"/>
            <family val="2"/>
          </rPr>
          <t>E 43,611</t>
        </r>
        <r>
          <rPr>
            <sz val="9"/>
            <color indexed="81"/>
            <rFont val="돋움"/>
            <family val="3"/>
            <charset val="129"/>
          </rPr>
          <t>톤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8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U 1140-1300(160m, 44,000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V 1020-1220(200m, 56,000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40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U 1030-1110(80m)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42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X 250-400(150m, 42,000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Y 10-80(70m, 24,000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44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X 10-100(90m, 24,000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Y 10-80(70m, 18,000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Y 23-280(50m, 9,800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46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290-400(110m)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51" authorId="1" shapeId="0" xr:uid="{00000000-0006-0000-0300-000014000000}">
      <text>
        <r>
          <rPr>
            <b/>
            <sz val="9"/>
            <color indexed="81"/>
            <rFont val="Tahoma"/>
            <family val="2"/>
          </rPr>
          <t>X 250-400(150m, 40,500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Y 300-400(100m, 28,630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53" authorId="1" shapeId="0" xr:uid="{00000000-0006-0000-0300-000015000000}">
      <text>
        <r>
          <rPr>
            <b/>
            <sz val="9"/>
            <color indexed="81"/>
            <rFont val="Tahoma"/>
            <family val="2"/>
          </rPr>
          <t>T 1030-1170(140m, 38,000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U 950-1060(110m, 29,000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5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 xml:space="preserve">선석
</t>
        </r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>선석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55" authorId="0" shapeId="0" xr:uid="{00000000-0006-0000-0300-000017000000}">
      <text>
        <r>
          <rPr>
            <sz val="9"/>
            <color indexed="81"/>
            <rFont val="Tahoma"/>
            <family val="2"/>
          </rPr>
          <t>#5</t>
        </r>
        <r>
          <rPr>
            <sz val="9"/>
            <color indexed="81"/>
            <rFont val="돋움"/>
            <family val="3"/>
            <charset val="129"/>
          </rPr>
          <t>선석</t>
        </r>
        <r>
          <rPr>
            <sz val="9"/>
            <color indexed="81"/>
            <rFont val="Tahoma"/>
            <family val="2"/>
          </rPr>
          <t xml:space="preserve"> : 22,000</t>
        </r>
        <r>
          <rPr>
            <sz val="9"/>
            <color indexed="81"/>
            <rFont val="돋움"/>
            <family val="3"/>
            <charset val="129"/>
          </rPr>
          <t xml:space="preserve">톤
</t>
        </r>
        <r>
          <rPr>
            <sz val="9"/>
            <color indexed="81"/>
            <rFont val="Tahoma"/>
            <family val="2"/>
          </rPr>
          <t>#7</t>
        </r>
        <r>
          <rPr>
            <sz val="9"/>
            <color indexed="81"/>
            <rFont val="돋움"/>
            <family val="3"/>
            <charset val="129"/>
          </rPr>
          <t>선석</t>
        </r>
        <r>
          <rPr>
            <sz val="9"/>
            <color indexed="81"/>
            <rFont val="Tahoma"/>
            <family val="2"/>
          </rPr>
          <t xml:space="preserve"> : 27,665</t>
        </r>
        <r>
          <rPr>
            <sz val="9"/>
            <color indexed="81"/>
            <rFont val="돋움"/>
            <family val="3"/>
            <charset val="129"/>
          </rPr>
          <t>톤</t>
        </r>
      </text>
    </comment>
    <comment ref="AO55" authorId="1" shapeId="0" xr:uid="{00000000-0006-0000-0300-000018000000}">
      <text>
        <r>
          <rPr>
            <b/>
            <sz val="9"/>
            <color indexed="81"/>
            <rFont val="Tahoma"/>
            <family val="2"/>
          </rPr>
          <t>Y 120-330(210m, 59,000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S 700-780(80m, 20,400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57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10-90(80m)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6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200-400(200m)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64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320-510(190m)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66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10-190(180m)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7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4/30 #4</t>
        </r>
        <r>
          <rPr>
            <b/>
            <sz val="9"/>
            <color indexed="81"/>
            <rFont val="돋움"/>
            <family val="3"/>
            <charset val="129"/>
          </rPr>
          <t>선석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접안
</t>
        </r>
        <r>
          <rPr>
            <b/>
            <sz val="9"/>
            <color indexed="81"/>
            <rFont val="Tahoma"/>
            <family val="2"/>
          </rPr>
          <t>5/1 #2</t>
        </r>
        <r>
          <rPr>
            <b/>
            <sz val="9"/>
            <color indexed="81"/>
            <rFont val="돋움"/>
            <family val="3"/>
            <charset val="129"/>
          </rPr>
          <t>선석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쉬프팅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
작업착수</t>
        </r>
      </text>
    </comment>
    <comment ref="AO79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950-1150(200m)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81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X 260-300(40m. 8,100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
Y 70-180(110m. 29,700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
Y 260-320(60m. 14,700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83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330-400 (70m. 18,000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88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1170-1300(130m)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9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300-400(100m)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92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T 110-290(180m. 46,000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
V 910-1010(100m, 24,600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
T 970-1030(60m, 6,400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O94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290-400(100m)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96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260-360(100m)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1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#2</t>
        </r>
        <r>
          <rPr>
            <b/>
            <sz val="9"/>
            <color indexed="81"/>
            <rFont val="돋움"/>
            <family val="3"/>
            <charset val="129"/>
          </rPr>
          <t>선석</t>
        </r>
        <r>
          <rPr>
            <b/>
            <sz val="9"/>
            <color indexed="81"/>
            <rFont val="Tahoma"/>
            <family val="2"/>
          </rPr>
          <t xml:space="preserve"> 30,262</t>
        </r>
        <r>
          <rPr>
            <b/>
            <sz val="9"/>
            <color indexed="81"/>
            <rFont val="돋움"/>
            <family val="3"/>
            <charset val="129"/>
          </rPr>
          <t xml:space="preserve">톤
</t>
        </r>
        <r>
          <rPr>
            <b/>
            <sz val="9"/>
            <color indexed="81"/>
            <rFont val="Tahoma"/>
            <family val="2"/>
          </rPr>
          <t>#7</t>
        </r>
        <r>
          <rPr>
            <b/>
            <sz val="9"/>
            <color indexed="81"/>
            <rFont val="돋움"/>
            <family val="3"/>
            <charset val="129"/>
          </rPr>
          <t>선석</t>
        </r>
        <r>
          <rPr>
            <b/>
            <sz val="9"/>
            <color indexed="81"/>
            <rFont val="Tahoma"/>
            <family val="2"/>
          </rPr>
          <t xml:space="preserve"> 48,793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01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Y 280-400(120m, 33,000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
Y 10-180(170m, 46,000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O103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U 840-940(100m, 25,000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
V 840-880(40m, 7,100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0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210-400(190m)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07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1060-1230(170m)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09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T 250-480(230m, 62,100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
U 700-800(100m, 14,728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70" authorId="0" shapeId="0" xr:uid="{00000000-0006-0000-0300-00002C000000}">
      <text>
        <r>
          <rPr>
            <sz val="9"/>
            <color indexed="81"/>
            <rFont val="Tahoma"/>
            <family val="2"/>
          </rPr>
          <t xml:space="preserve">SNNC </t>
        </r>
        <r>
          <rPr>
            <sz val="9"/>
            <color indexed="81"/>
            <rFont val="돋움"/>
            <family val="3"/>
            <charset val="129"/>
          </rPr>
          <t>대양모선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이용물량
</t>
        </r>
        <r>
          <rPr>
            <sz val="9"/>
            <color indexed="81"/>
            <rFont val="Tahoma"/>
            <family val="2"/>
          </rPr>
          <t>43611</t>
        </r>
        <r>
          <rPr>
            <sz val="9"/>
            <color indexed="81"/>
            <rFont val="돋움"/>
            <family val="3"/>
            <charset val="129"/>
          </rPr>
          <t>톤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74" authorId="0" shapeId="0" xr:uid="{00000000-0006-0000-0300-00002D000000}">
      <text>
        <r>
          <rPr>
            <b/>
            <sz val="9"/>
            <color indexed="81"/>
            <rFont val="돋움"/>
            <family val="3"/>
            <charset val="129"/>
          </rPr>
          <t>김천</t>
        </r>
        <r>
          <rPr>
            <b/>
            <sz val="9"/>
            <color indexed="81"/>
            <rFont val="Tahoma"/>
            <family val="2"/>
          </rPr>
          <t xml:space="preserve">E </t>
        </r>
        <r>
          <rPr>
            <b/>
            <sz val="9"/>
            <color indexed="81"/>
            <rFont val="돋움"/>
            <family val="3"/>
            <charset val="129"/>
          </rPr>
          <t>합적물량</t>
        </r>
        <r>
          <rPr>
            <b/>
            <sz val="9"/>
            <color indexed="81"/>
            <rFont val="Tahoma"/>
            <family val="2"/>
          </rPr>
          <t xml:space="preserve"> 43611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7/4 CBC FUYI
2</t>
        </r>
        <r>
          <rPr>
            <b/>
            <sz val="9"/>
            <color indexed="81"/>
            <rFont val="돋움"/>
            <family val="3"/>
            <charset val="129"/>
          </rPr>
          <t xml:space="preserve">선석
</t>
        </r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>선석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3/29 MSXT HERA
5</t>
        </r>
        <r>
          <rPr>
            <b/>
            <sz val="9"/>
            <color indexed="81"/>
            <rFont val="돋움"/>
            <family val="3"/>
            <charset val="129"/>
          </rPr>
          <t xml:space="preserve">선석
</t>
        </r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 xml:space="preserve">선석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7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3/29 MSXT HERA
5</t>
        </r>
        <r>
          <rPr>
            <b/>
            <sz val="9"/>
            <color indexed="81"/>
            <rFont val="돋움"/>
            <family val="3"/>
            <charset val="129"/>
          </rPr>
          <t xml:space="preserve">선석
</t>
        </r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 xml:space="preserve">선석
</t>
        </r>
        <r>
          <rPr>
            <b/>
            <sz val="9"/>
            <color indexed="81"/>
            <rFont val="Tahoma"/>
            <family val="2"/>
          </rPr>
          <t>7/4 CBC FUYI
2</t>
        </r>
        <r>
          <rPr>
            <b/>
            <sz val="9"/>
            <color indexed="81"/>
            <rFont val="돋움"/>
            <family val="3"/>
            <charset val="129"/>
          </rPr>
          <t xml:space="preserve">선석
</t>
        </r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 xml:space="preserve">선석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88" authorId="0" shapeId="0" xr:uid="{00000000-0006-0000-0300-000031000000}">
      <text>
        <r>
          <rPr>
            <sz val="9"/>
            <color indexed="81"/>
            <rFont val="돋움"/>
            <family val="3"/>
            <charset val="129"/>
          </rPr>
          <t>육송반입은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기항척수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미포함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89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poscoflow</author>
  </authors>
  <commentList>
    <comment ref="H47" authorId="0" shapeId="0" xr:uid="{00000000-0006-0000-0600-000001000000}">
      <text>
        <r>
          <rPr>
            <b/>
            <sz val="9"/>
            <color indexed="81"/>
            <rFont val="돋움"/>
            <family val="3"/>
            <charset val="129"/>
          </rPr>
          <t>한일인터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러시아죽탄
삼성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반출</t>
        </r>
      </text>
    </comment>
  </commentList>
</comments>
</file>

<file path=xl/sharedStrings.xml><?xml version="1.0" encoding="utf-8"?>
<sst xmlns="http://schemas.openxmlformats.org/spreadsheetml/2006/main" count="4702" uniqueCount="965">
  <si>
    <t>고객사</t>
    <phoneticPr fontId="11" type="noConversion"/>
  </si>
  <si>
    <t>선명</t>
    <phoneticPr fontId="11" type="noConversion"/>
  </si>
  <si>
    <t>입항일(예정)</t>
    <phoneticPr fontId="11" type="noConversion"/>
  </si>
  <si>
    <t>접안일(예정)</t>
    <phoneticPr fontId="10" type="noConversion"/>
  </si>
  <si>
    <t>완료일(예정)</t>
    <phoneticPr fontId="10" type="noConversion"/>
  </si>
  <si>
    <t>접안대기</t>
    <phoneticPr fontId="10" type="noConversion"/>
  </si>
  <si>
    <t>B/L</t>
    <phoneticPr fontId="11" type="noConversion"/>
  </si>
  <si>
    <t>품 종</t>
    <phoneticPr fontId="11" type="noConversion"/>
  </si>
  <si>
    <t>대리점</t>
    <phoneticPr fontId="11" type="noConversion"/>
  </si>
  <si>
    <t>선박
사이즈</t>
    <phoneticPr fontId="11" type="noConversion"/>
  </si>
  <si>
    <t>DWT</t>
    <phoneticPr fontId="11" type="noConversion"/>
  </si>
  <si>
    <t>GT</t>
    <phoneticPr fontId="11" type="noConversion"/>
  </si>
  <si>
    <t>LOA
(m)</t>
    <phoneticPr fontId="11" type="noConversion"/>
  </si>
  <si>
    <t>DRAFT</t>
    <phoneticPr fontId="11" type="noConversion"/>
  </si>
  <si>
    <t>특이사항</t>
    <phoneticPr fontId="11" type="noConversion"/>
  </si>
  <si>
    <t>평균대기</t>
    <phoneticPr fontId="10" type="noConversion"/>
  </si>
  <si>
    <t>재고소진</t>
    <phoneticPr fontId="11" type="noConversion"/>
  </si>
  <si>
    <t>반입야드</t>
    <phoneticPr fontId="11" type="noConversion"/>
  </si>
  <si>
    <t>평균하역소요</t>
    <phoneticPr fontId="10" type="noConversion"/>
  </si>
  <si>
    <t>총 하역량</t>
    <phoneticPr fontId="10" type="noConversion"/>
  </si>
  <si>
    <t>포스코터미날 반입(예정) 선박 LIST</t>
    <phoneticPr fontId="11" type="noConversion"/>
  </si>
  <si>
    <t>선적국가</t>
    <phoneticPr fontId="11" type="noConversion"/>
  </si>
  <si>
    <t>브랜드</t>
    <phoneticPr fontId="10" type="noConversion"/>
  </si>
  <si>
    <t>선적항</t>
    <phoneticPr fontId="10" type="noConversion"/>
  </si>
  <si>
    <t>하역완료</t>
    <phoneticPr fontId="10" type="noConversion"/>
  </si>
  <si>
    <t>입항~완료</t>
    <phoneticPr fontId="10" type="noConversion"/>
  </si>
  <si>
    <t>B/L (톤)</t>
    <phoneticPr fontId="11" type="noConversion"/>
  </si>
  <si>
    <t>차이</t>
    <phoneticPr fontId="10" type="noConversion"/>
  </si>
  <si>
    <t>(단위:천톤)</t>
    <phoneticPr fontId="10" type="noConversion"/>
  </si>
  <si>
    <t>접안선석</t>
    <phoneticPr fontId="10" type="noConversion"/>
  </si>
  <si>
    <t>석고</t>
    <phoneticPr fontId="10" type="noConversion"/>
  </si>
  <si>
    <t>달성율</t>
    <phoneticPr fontId="10" type="noConversion"/>
  </si>
  <si>
    <t>SURVEY
(합계, 톤)</t>
    <phoneticPr fontId="10" type="noConversion"/>
  </si>
  <si>
    <t>SURVEY
(6기, 톤)</t>
    <phoneticPr fontId="10" type="noConversion"/>
  </si>
  <si>
    <t>SURVEY
(5기, 톤)</t>
    <phoneticPr fontId="10" type="noConversion"/>
  </si>
  <si>
    <t>SURVEY</t>
    <phoneticPr fontId="10" type="noConversion"/>
  </si>
  <si>
    <t>1월</t>
    <phoneticPr fontId="10" type="noConversion"/>
  </si>
  <si>
    <t>청해소재</t>
    <phoneticPr fontId="10" type="noConversion"/>
  </si>
  <si>
    <t>POSCO
설비정산</t>
    <phoneticPr fontId="10" type="noConversion"/>
  </si>
  <si>
    <t>접안대기</t>
  </si>
  <si>
    <t>입항-출항</t>
  </si>
  <si>
    <t>작업시간</t>
  </si>
  <si>
    <t>이안</t>
  </si>
  <si>
    <t>재접안</t>
  </si>
  <si>
    <t>Sft 시작</t>
  </si>
  <si>
    <t>Sft 완료</t>
  </si>
  <si>
    <t>Sft
소요시간</t>
    <phoneticPr fontId="10" type="noConversion"/>
  </si>
  <si>
    <t>입항-하역
완료</t>
    <phoneticPr fontId="10" type="noConversion"/>
  </si>
  <si>
    <t>협정서
확인</t>
    <phoneticPr fontId="10" type="noConversion"/>
  </si>
  <si>
    <t>일평균
하역</t>
    <phoneticPr fontId="10" type="noConversion"/>
  </si>
  <si>
    <t>이안-
재접안</t>
    <phoneticPr fontId="10" type="noConversion"/>
  </si>
  <si>
    <t>구 분</t>
    <phoneticPr fontId="16" type="noConversion"/>
  </si>
  <si>
    <t>반 입 량 (톤)</t>
    <phoneticPr fontId="16" type="noConversion"/>
  </si>
  <si>
    <t>반 입 률 (%)</t>
    <phoneticPr fontId="16" type="noConversion"/>
  </si>
  <si>
    <t>반 입 척 수 (척)</t>
    <phoneticPr fontId="16" type="noConversion"/>
  </si>
  <si>
    <t>5기 (임차)</t>
    <phoneticPr fontId="16" type="noConversion"/>
  </si>
  <si>
    <t>6기 (자가)</t>
    <phoneticPr fontId="16" type="noConversion"/>
  </si>
  <si>
    <t>합 계</t>
    <phoneticPr fontId="16" type="noConversion"/>
  </si>
  <si>
    <t>해송반출
수요가</t>
    <phoneticPr fontId="16" type="noConversion"/>
  </si>
  <si>
    <t>남동발전</t>
  </si>
  <si>
    <t>동서발전</t>
  </si>
  <si>
    <t>계</t>
    <phoneticPr fontId="16" type="noConversion"/>
  </si>
  <si>
    <t>육송반출
수요가</t>
    <phoneticPr fontId="16" type="noConversion"/>
  </si>
  <si>
    <t>청해실업</t>
  </si>
  <si>
    <t>한화에너지</t>
  </si>
  <si>
    <t>LG상사</t>
  </si>
  <si>
    <t>LG화학</t>
  </si>
  <si>
    <t>OCI SE</t>
  </si>
  <si>
    <t>SNNC</t>
  </si>
  <si>
    <t>5기 기항척수</t>
    <phoneticPr fontId="16" type="noConversion"/>
  </si>
  <si>
    <t>6기 기항척수</t>
  </si>
  <si>
    <t>수요가</t>
    <phoneticPr fontId="16" type="noConversion"/>
  </si>
  <si>
    <t>접안대기일</t>
    <phoneticPr fontId="16" type="noConversion"/>
  </si>
  <si>
    <t>기항척수</t>
    <phoneticPr fontId="16" type="noConversion"/>
  </si>
  <si>
    <t>평균접안대기일</t>
    <phoneticPr fontId="16" type="noConversion"/>
  </si>
  <si>
    <t>반입량(천톤)</t>
    <phoneticPr fontId="16" type="noConversion"/>
  </si>
  <si>
    <t>합 계</t>
  </si>
  <si>
    <t>COAL 기타</t>
    <phoneticPr fontId="16" type="noConversion"/>
  </si>
  <si>
    <t>삼영산업</t>
    <phoneticPr fontId="10" type="noConversion"/>
  </si>
  <si>
    <t>합 계</t>
    <phoneticPr fontId="10" type="noConversion"/>
  </si>
  <si>
    <t>산 지</t>
    <phoneticPr fontId="16" type="noConversion"/>
  </si>
  <si>
    <t>인니</t>
    <phoneticPr fontId="16" type="noConversion"/>
  </si>
  <si>
    <t>호주</t>
    <phoneticPr fontId="16" type="noConversion"/>
  </si>
  <si>
    <t>러시아</t>
    <phoneticPr fontId="16" type="noConversion"/>
  </si>
  <si>
    <t>미국</t>
    <phoneticPr fontId="16" type="noConversion"/>
  </si>
  <si>
    <t>콜럼비아</t>
    <phoneticPr fontId="16" type="noConversion"/>
  </si>
  <si>
    <t>P-COKE</t>
    <phoneticPr fontId="16" type="noConversion"/>
  </si>
  <si>
    <t>망간광</t>
    <phoneticPr fontId="16" type="noConversion"/>
  </si>
  <si>
    <t>선 형</t>
    <phoneticPr fontId="16" type="noConversion"/>
  </si>
  <si>
    <t>총일수</t>
    <phoneticPr fontId="16" type="noConversion"/>
  </si>
  <si>
    <t>평균일수</t>
    <phoneticPr fontId="16" type="noConversion"/>
  </si>
  <si>
    <t>CAPE</t>
    <phoneticPr fontId="16" type="noConversion"/>
  </si>
  <si>
    <t>PANA</t>
    <phoneticPr fontId="16" type="noConversion"/>
  </si>
  <si>
    <t>SUPRAMAX</t>
  </si>
  <si>
    <t>HANDY</t>
    <phoneticPr fontId="16" type="noConversion"/>
  </si>
  <si>
    <t>비 고</t>
    <phoneticPr fontId="16" type="noConversion"/>
  </si>
  <si>
    <t>태국</t>
    <phoneticPr fontId="16" type="noConversion"/>
  </si>
  <si>
    <t>(망간광 포함)</t>
    <phoneticPr fontId="10" type="noConversion"/>
  </si>
  <si>
    <t>전망</t>
    <phoneticPr fontId="10" type="noConversion"/>
  </si>
  <si>
    <t>실적</t>
    <phoneticPr fontId="10" type="noConversion"/>
  </si>
  <si>
    <t>착수일</t>
    <phoneticPr fontId="10" type="noConversion"/>
  </si>
  <si>
    <t>출항일</t>
    <phoneticPr fontId="10" type="noConversion"/>
  </si>
  <si>
    <t>일 자</t>
    <phoneticPr fontId="10" type="noConversion"/>
  </si>
  <si>
    <t>반입량(톤)</t>
    <phoneticPr fontId="10" type="noConversion"/>
  </si>
  <si>
    <t>망간광 반입예정</t>
    <phoneticPr fontId="10" type="noConversion"/>
  </si>
  <si>
    <t>2월</t>
    <phoneticPr fontId="10" type="noConversion"/>
  </si>
  <si>
    <t>*실적분석 = SURVEY량</t>
    <phoneticPr fontId="10" type="noConversion"/>
  </si>
  <si>
    <t>대구염색공단</t>
    <phoneticPr fontId="10" type="noConversion"/>
  </si>
  <si>
    <t>SNNC(니켈)</t>
    <phoneticPr fontId="10" type="noConversion"/>
  </si>
  <si>
    <t>망간광</t>
    <phoneticPr fontId="10" type="noConversion"/>
  </si>
  <si>
    <t>TOTAL</t>
    <phoneticPr fontId="10" type="noConversion"/>
  </si>
  <si>
    <t>달성률</t>
    <phoneticPr fontId="10" type="noConversion"/>
  </si>
  <si>
    <t>年누계</t>
    <phoneticPr fontId="10" type="noConversion"/>
  </si>
  <si>
    <t>#4</t>
  </si>
  <si>
    <t>3월</t>
    <phoneticPr fontId="10" type="noConversion"/>
  </si>
  <si>
    <t>4월</t>
    <phoneticPr fontId="10" type="noConversion"/>
  </si>
  <si>
    <t>4월 이월 예상</t>
    <phoneticPr fontId="10" type="noConversion"/>
  </si>
  <si>
    <t>#1</t>
    <phoneticPr fontId="16" type="noConversion"/>
  </si>
  <si>
    <t>#2</t>
  </si>
  <si>
    <t>#3</t>
  </si>
  <si>
    <t>#5</t>
  </si>
  <si>
    <t>#6</t>
  </si>
  <si>
    <t>#7</t>
  </si>
  <si>
    <t>계</t>
    <phoneticPr fontId="10" type="noConversion"/>
  </si>
  <si>
    <t>반입량(톤)</t>
    <phoneticPr fontId="16" type="noConversion"/>
  </si>
  <si>
    <t>5기(임차)</t>
    <phoneticPr fontId="10" type="noConversion"/>
  </si>
  <si>
    <t>6기(자가)</t>
    <phoneticPr fontId="10" type="noConversion"/>
  </si>
  <si>
    <t>5월</t>
    <phoneticPr fontId="10" type="noConversion"/>
  </si>
  <si>
    <t>5월 이월 예상</t>
    <phoneticPr fontId="10" type="noConversion"/>
  </si>
  <si>
    <t>비 고</t>
    <phoneticPr fontId="10" type="noConversion"/>
  </si>
  <si>
    <t>SK-N(고려시멘트)</t>
    <phoneticPr fontId="10" type="noConversion"/>
  </si>
  <si>
    <t>계획(ST) 누계</t>
    <phoneticPr fontId="10" type="noConversion"/>
  </si>
  <si>
    <t>선 석</t>
    <phoneticPr fontId="16" type="noConversion"/>
  </si>
  <si>
    <t>하역개시</t>
    <phoneticPr fontId="10" type="noConversion"/>
  </si>
  <si>
    <t>출항</t>
    <phoneticPr fontId="10" type="noConversion"/>
  </si>
  <si>
    <t>접안(예정)</t>
    <phoneticPr fontId="10" type="noConversion"/>
  </si>
  <si>
    <t>입항(예정)</t>
    <phoneticPr fontId="10" type="noConversion"/>
  </si>
  <si>
    <t>6월</t>
    <phoneticPr fontId="10" type="noConversion"/>
  </si>
  <si>
    <t>6월 이월 예상</t>
    <phoneticPr fontId="10" type="noConversion"/>
  </si>
  <si>
    <t>7월</t>
    <phoneticPr fontId="10" type="noConversion"/>
  </si>
  <si>
    <t>8월</t>
    <phoneticPr fontId="10" type="noConversion"/>
  </si>
  <si>
    <t>7월 이월 예상</t>
    <phoneticPr fontId="10" type="noConversion"/>
  </si>
  <si>
    <t>8월 이월 예상</t>
    <phoneticPr fontId="10" type="noConversion"/>
  </si>
  <si>
    <t>H/C
Max.</t>
    <phoneticPr fontId="10" type="noConversion"/>
  </si>
  <si>
    <t>H/C
Min.</t>
    <phoneticPr fontId="10" type="noConversion"/>
  </si>
  <si>
    <t>9월</t>
    <phoneticPr fontId="10" type="noConversion"/>
  </si>
  <si>
    <t>10월</t>
    <phoneticPr fontId="10" type="noConversion"/>
  </si>
  <si>
    <t>9월 이월 예상</t>
    <phoneticPr fontId="10" type="noConversion"/>
  </si>
  <si>
    <t>10월 이월 예상</t>
    <phoneticPr fontId="10" type="noConversion"/>
  </si>
  <si>
    <t>11월 이월 예상</t>
    <phoneticPr fontId="10" type="noConversion"/>
  </si>
  <si>
    <t>12월 이월 예상</t>
    <phoneticPr fontId="10" type="noConversion"/>
  </si>
  <si>
    <t>11월</t>
    <phoneticPr fontId="10" type="noConversion"/>
  </si>
  <si>
    <t>12월</t>
    <phoneticPr fontId="10" type="noConversion"/>
  </si>
  <si>
    <r>
      <t xml:space="preserve">차이
</t>
    </r>
    <r>
      <rPr>
        <b/>
        <sz val="8"/>
        <rFont val="맑은 고딕"/>
        <family val="3"/>
        <charset val="129"/>
        <scheme val="minor"/>
      </rPr>
      <t>(목표vs실적)</t>
    </r>
    <phoneticPr fontId="10" type="noConversion"/>
  </si>
  <si>
    <t>이노샌드</t>
    <phoneticPr fontId="10" type="noConversion"/>
  </si>
  <si>
    <t>니켈슬래그</t>
    <phoneticPr fontId="16" type="noConversion"/>
  </si>
  <si>
    <t>차 이</t>
    <phoneticPr fontId="10" type="noConversion"/>
  </si>
  <si>
    <t>기타</t>
    <phoneticPr fontId="10" type="noConversion"/>
  </si>
  <si>
    <t>멕시코</t>
    <phoneticPr fontId="16" type="noConversion"/>
  </si>
  <si>
    <t>미쓰이</t>
    <phoneticPr fontId="10" type="noConversion"/>
  </si>
  <si>
    <t>반입예정 선박(B/L)</t>
    <phoneticPr fontId="10" type="noConversion"/>
  </si>
  <si>
    <t>#1~6선석</t>
    <phoneticPr fontId="10" type="noConversion"/>
  </si>
  <si>
    <t>육송반입</t>
    <phoneticPr fontId="10" type="noConversion"/>
  </si>
  <si>
    <t>1/4분기</t>
    <phoneticPr fontId="10" type="noConversion"/>
  </si>
  <si>
    <t>상반기</t>
    <phoneticPr fontId="10" type="noConversion"/>
  </si>
  <si>
    <t>2019년</t>
    <phoneticPr fontId="10" type="noConversion"/>
  </si>
  <si>
    <t>3/4분기</t>
    <phoneticPr fontId="10" type="noConversion"/>
  </si>
  <si>
    <t>실적(종합)</t>
    <phoneticPr fontId="10" type="noConversion"/>
  </si>
  <si>
    <t>포스코인터</t>
    <phoneticPr fontId="10" type="noConversion"/>
  </si>
  <si>
    <t>코크스</t>
    <phoneticPr fontId="16" type="noConversion"/>
  </si>
  <si>
    <t xml:space="preserve">#7선석 목표(1,700천톤) 잔량: </t>
    <phoneticPr fontId="10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</si>
  <si>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</si>
  <si>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>선석</t>
    <phoneticPr fontId="16" type="noConversion"/>
  </si>
  <si>
    <t>산지</t>
    <phoneticPr fontId="16" type="noConversion"/>
  </si>
  <si>
    <t>선형</t>
    <phoneticPr fontId="16" type="noConversion"/>
  </si>
  <si>
    <t>6월</t>
  </si>
  <si>
    <t>고려시멘트</t>
    <phoneticPr fontId="10" type="noConversion"/>
  </si>
  <si>
    <t>SNNC 니켈광선박 반입(예정) LIST</t>
    <phoneticPr fontId="11" type="noConversion"/>
  </si>
  <si>
    <t>금호석유화학</t>
    <phoneticPr fontId="10" type="noConversion"/>
  </si>
  <si>
    <t>SGC에너지</t>
  </si>
  <si>
    <t>러시아</t>
    <phoneticPr fontId="10" type="noConversion"/>
  </si>
  <si>
    <t>해왕해운</t>
    <phoneticPr fontId="10" type="noConversion"/>
  </si>
  <si>
    <t>OCI SE</t>
    <phoneticPr fontId="10" type="noConversion"/>
  </si>
  <si>
    <t>인니</t>
    <phoneticPr fontId="10" type="noConversion"/>
  </si>
  <si>
    <t>PANA</t>
    <phoneticPr fontId="10" type="noConversion"/>
  </si>
  <si>
    <t>남동발전</t>
    <phoneticPr fontId="10" type="noConversion"/>
  </si>
  <si>
    <t>여진해운</t>
    <phoneticPr fontId="10" type="noConversion"/>
  </si>
  <si>
    <t>한화에너지</t>
    <phoneticPr fontId="10" type="noConversion"/>
  </si>
  <si>
    <t>SNNC</t>
    <phoneticPr fontId="10" type="noConversion"/>
  </si>
  <si>
    <t>호주</t>
    <phoneticPr fontId="10" type="noConversion"/>
  </si>
  <si>
    <t>Newcastle</t>
    <phoneticPr fontId="10" type="noConversion"/>
  </si>
  <si>
    <t>CAPE</t>
    <phoneticPr fontId="10" type="noConversion"/>
  </si>
  <si>
    <t>팬스코</t>
    <phoneticPr fontId="10" type="noConversion"/>
  </si>
  <si>
    <t>HANDY</t>
    <phoneticPr fontId="10" type="noConversion"/>
  </si>
  <si>
    <t>SGC에너지</t>
    <phoneticPr fontId="10" type="noConversion"/>
  </si>
  <si>
    <t>청해실업</t>
    <phoneticPr fontId="10" type="noConversion"/>
  </si>
  <si>
    <t>완료(예정)</t>
    <phoneticPr fontId="10" type="noConversion"/>
  </si>
  <si>
    <t>하역완료
(예상)</t>
    <phoneticPr fontId="10" type="noConversion"/>
  </si>
  <si>
    <t>구분</t>
    <phoneticPr fontId="11" type="noConversion"/>
  </si>
  <si>
    <t>선적지</t>
    <phoneticPr fontId="10" type="noConversion"/>
  </si>
  <si>
    <t>접안계획</t>
    <phoneticPr fontId="11" type="noConversion"/>
  </si>
  <si>
    <t>비고</t>
    <phoneticPr fontId="11" type="noConversion"/>
  </si>
  <si>
    <t>완료</t>
    <phoneticPr fontId="10" type="noConversion"/>
  </si>
  <si>
    <t>반입중</t>
    <phoneticPr fontId="10" type="noConversion"/>
  </si>
  <si>
    <t>반입예정</t>
    <phoneticPr fontId="10" type="noConversion"/>
  </si>
  <si>
    <t>B/L(천톤)</t>
    <phoneticPr fontId="11" type="noConversion"/>
  </si>
  <si>
    <t>정산</t>
    <phoneticPr fontId="10" type="noConversion"/>
  </si>
  <si>
    <t>-</t>
    <phoneticPr fontId="10" type="noConversion"/>
  </si>
  <si>
    <t>광양단독</t>
    <phoneticPr fontId="10" type="noConversion"/>
  </si>
  <si>
    <t>X</t>
    <phoneticPr fontId="10" type="noConversion"/>
  </si>
  <si>
    <t xml:space="preserve">→ </t>
    <phoneticPr fontId="10" type="noConversion"/>
  </si>
  <si>
    <t>접안선석
(예정)</t>
    <phoneticPr fontId="10" type="noConversion"/>
  </si>
  <si>
    <t>Sibuglemet</t>
    <phoneticPr fontId="10" type="noConversion"/>
  </si>
  <si>
    <t>Glencore</t>
    <phoneticPr fontId="10" type="noConversion"/>
  </si>
  <si>
    <t>WARA</t>
    <phoneticPr fontId="10" type="noConversion"/>
  </si>
  <si>
    <t>17.30X15.00</t>
    <phoneticPr fontId="10" type="noConversion"/>
  </si>
  <si>
    <t>SM Diamond</t>
    <phoneticPr fontId="10" type="noConversion"/>
  </si>
  <si>
    <t>17.85X17.00</t>
    <phoneticPr fontId="10" type="noConversion"/>
  </si>
  <si>
    <t>15.30X14.60</t>
    <phoneticPr fontId="10" type="noConversion"/>
  </si>
  <si>
    <t>TBN</t>
    <phoneticPr fontId="10" type="noConversion"/>
  </si>
  <si>
    <t>Brisbane</t>
    <phoneticPr fontId="10" type="noConversion"/>
  </si>
  <si>
    <t>Newhope</t>
    <phoneticPr fontId="10" type="noConversion"/>
  </si>
  <si>
    <t>태경비케이</t>
    <phoneticPr fontId="10" type="noConversion"/>
  </si>
  <si>
    <t>캐나다</t>
    <phoneticPr fontId="16" type="noConversion"/>
  </si>
  <si>
    <t>LXI</t>
    <phoneticPr fontId="10" type="noConversion"/>
  </si>
  <si>
    <t>New South Wales</t>
    <phoneticPr fontId="10" type="noConversion"/>
  </si>
  <si>
    <t>전월</t>
    <phoneticPr fontId="10" type="noConversion"/>
  </si>
  <si>
    <t>광양단독. GS글로벌 공급</t>
    <phoneticPr fontId="10" type="noConversion"/>
  </si>
  <si>
    <t>TABONEO</t>
    <phoneticPr fontId="10" type="noConversion"/>
  </si>
  <si>
    <t>분진
상태</t>
    <phoneticPr fontId="10" type="noConversion"/>
  </si>
  <si>
    <t>STAR KAMILA</t>
    <phoneticPr fontId="10" type="noConversion"/>
  </si>
  <si>
    <t>17.80X15.40</t>
    <phoneticPr fontId="10" type="noConversion"/>
  </si>
  <si>
    <t>16.02X13.80</t>
    <phoneticPr fontId="10" type="noConversion"/>
  </si>
  <si>
    <t>W-MAYFAIR</t>
    <phoneticPr fontId="10" type="noConversion"/>
  </si>
  <si>
    <t>JASPER DREAM</t>
    <phoneticPr fontId="10" type="noConversion"/>
  </si>
  <si>
    <t>16.20X23.80</t>
    <phoneticPr fontId="10" type="noConversion"/>
  </si>
  <si>
    <t>14.40X20.40</t>
    <phoneticPr fontId="10" type="noConversion"/>
  </si>
  <si>
    <t>WELPROFIT</t>
    <phoneticPr fontId="10" type="noConversion"/>
  </si>
  <si>
    <t>SEA VENUS</t>
    <phoneticPr fontId="10" type="noConversion"/>
  </si>
  <si>
    <t>14.705X12.800</t>
    <phoneticPr fontId="10" type="noConversion"/>
  </si>
  <si>
    <t>2021년 12월 반입 선박리스트</t>
    <phoneticPr fontId="10" type="noConversion"/>
  </si>
  <si>
    <t>2022년 1월 반입 선박리스트</t>
    <phoneticPr fontId="10" type="noConversion"/>
  </si>
  <si>
    <t>2022년 2월 반입 선박리스트</t>
    <phoneticPr fontId="10" type="noConversion"/>
  </si>
  <si>
    <t>2022년 3월 반입 예정 선박리스트</t>
    <phoneticPr fontId="10" type="noConversion"/>
  </si>
  <si>
    <t>2022년 4월 반입 예정 선박리스트</t>
    <phoneticPr fontId="10" type="noConversion"/>
  </si>
  <si>
    <t>2022년 5월 반입 예정 선박리스트</t>
    <phoneticPr fontId="10" type="noConversion"/>
  </si>
  <si>
    <t>2022년 6월 반입 예정 선박리스트</t>
    <phoneticPr fontId="10" type="noConversion"/>
  </si>
  <si>
    <t>2022년 7월 반입 예정 선박리스트</t>
    <phoneticPr fontId="10" type="noConversion"/>
  </si>
  <si>
    <t>2022년 8월 반입 예정 선박리스트</t>
    <phoneticPr fontId="10" type="noConversion"/>
  </si>
  <si>
    <t>2022년 9월 반입 예정 선박리스트</t>
    <phoneticPr fontId="10" type="noConversion"/>
  </si>
  <si>
    <t>2022년 10월 반입 예정 선박리스트</t>
    <phoneticPr fontId="10" type="noConversion"/>
  </si>
  <si>
    <t>2022년 11월 반입 예정 선박리스트</t>
    <phoneticPr fontId="10" type="noConversion"/>
  </si>
  <si>
    <t>2022년 12월 반입 예정 선박리스트</t>
    <phoneticPr fontId="10" type="noConversion"/>
  </si>
  <si>
    <t>* 2022년 누계</t>
    <phoneticPr fontId="10" type="noConversion"/>
  </si>
  <si>
    <t>'22년
목표(ST)</t>
    <phoneticPr fontId="16" type="noConversion"/>
  </si>
  <si>
    <t>2022년 1월</t>
    <phoneticPr fontId="10" type="noConversion"/>
  </si>
  <si>
    <t>2022년 2월</t>
    <phoneticPr fontId="10" type="noConversion"/>
  </si>
  <si>
    <t>2022년 3월</t>
    <phoneticPr fontId="10" type="noConversion"/>
  </si>
  <si>
    <t>2022년 4월</t>
    <phoneticPr fontId="10" type="noConversion"/>
  </si>
  <si>
    <t>2022년 5월</t>
    <phoneticPr fontId="10" type="noConversion"/>
  </si>
  <si>
    <t>2022년 6월</t>
    <phoneticPr fontId="10" type="noConversion"/>
  </si>
  <si>
    <t>2022년 7월</t>
    <phoneticPr fontId="10" type="noConversion"/>
  </si>
  <si>
    <t>2022년 8월</t>
    <phoneticPr fontId="10" type="noConversion"/>
  </si>
  <si>
    <t>2022년 9월</t>
    <phoneticPr fontId="10" type="noConversion"/>
  </si>
  <si>
    <t>2022년 10월</t>
    <phoneticPr fontId="10" type="noConversion"/>
  </si>
  <si>
    <t>2022년 11월</t>
    <phoneticPr fontId="10" type="noConversion"/>
  </si>
  <si>
    <t>2022년 12월</t>
    <phoneticPr fontId="10" type="noConversion"/>
  </si>
  <si>
    <t>2023년 1월 반입 예정 선박리스트</t>
    <phoneticPr fontId="10" type="noConversion"/>
  </si>
  <si>
    <t>2023년 2월 반입 예정 선박리스트</t>
    <phoneticPr fontId="10" type="noConversion"/>
  </si>
  <si>
    <t>GDF SUEZ NORTH SEA</t>
    <phoneticPr fontId="10" type="noConversion"/>
  </si>
  <si>
    <t>이항양하(삼척→광양)</t>
    <phoneticPr fontId="10" type="noConversion"/>
  </si>
  <si>
    <t>20.93X18.60</t>
    <phoneticPr fontId="10" type="noConversion"/>
  </si>
  <si>
    <t>14.56X18.60</t>
    <phoneticPr fontId="10" type="noConversion"/>
  </si>
  <si>
    <r>
      <t>이항양하</t>
    </r>
    <r>
      <rPr>
        <sz val="10"/>
        <color rgb="FFFF0000"/>
        <rFont val="맑은 고딕"/>
        <family val="3"/>
        <charset val="129"/>
        <scheme val="major"/>
      </rPr>
      <t>(12/7 선적후 구탄 소진)</t>
    </r>
    <phoneticPr fontId="10" type="noConversion"/>
  </si>
  <si>
    <r>
      <t xml:space="preserve">이항양하(포항→광양) </t>
    </r>
    <r>
      <rPr>
        <sz val="10"/>
        <color rgb="FFFF0000"/>
        <rFont val="맑은 고딕"/>
        <family val="3"/>
        <charset val="129"/>
        <scheme val="major"/>
      </rPr>
      <t>2브랜드(#2,5,8/#3,7) 구분적치</t>
    </r>
    <phoneticPr fontId="10" type="noConversion"/>
  </si>
  <si>
    <t>DONG HONG 8</t>
    <phoneticPr fontId="10" type="noConversion"/>
  </si>
  <si>
    <t>Sovgavan</t>
    <phoneticPr fontId="10" type="noConversion"/>
  </si>
  <si>
    <t>17.32X12.63</t>
    <phoneticPr fontId="10" type="noConversion"/>
  </si>
  <si>
    <t>#7</t>
    <phoneticPr fontId="10" type="noConversion"/>
  </si>
  <si>
    <t>미국</t>
    <phoneticPr fontId="10" type="noConversion"/>
  </si>
  <si>
    <t>TBR</t>
    <phoneticPr fontId="10" type="noConversion"/>
  </si>
  <si>
    <t>BUNATI</t>
    <phoneticPr fontId="10" type="noConversion"/>
  </si>
  <si>
    <t>태국</t>
    <phoneticPr fontId="10" type="noConversion"/>
  </si>
  <si>
    <t>Gladstone</t>
    <phoneticPr fontId="10" type="noConversion"/>
  </si>
  <si>
    <t>양호</t>
    <phoneticPr fontId="10" type="noConversion"/>
  </si>
  <si>
    <t>#6</t>
    <phoneticPr fontId="10" type="noConversion"/>
  </si>
  <si>
    <t>CTS</t>
    <phoneticPr fontId="10" type="noConversion"/>
  </si>
  <si>
    <t>#5</t>
    <phoneticPr fontId="10" type="noConversion"/>
  </si>
  <si>
    <t>Y</t>
    <phoneticPr fontId="10" type="noConversion"/>
  </si>
  <si>
    <t>EVOIKOS THEO</t>
    <phoneticPr fontId="10" type="noConversion"/>
  </si>
  <si>
    <t>GW MATHILDE</t>
    <phoneticPr fontId="10" type="noConversion"/>
  </si>
  <si>
    <t>P-COKE</t>
    <phoneticPr fontId="10" type="noConversion"/>
  </si>
  <si>
    <t>Pascagoula</t>
    <phoneticPr fontId="10" type="noConversion"/>
  </si>
  <si>
    <t>ORIENTAL ENTERPRISE</t>
    <phoneticPr fontId="10" type="noConversion"/>
  </si>
  <si>
    <r>
      <t xml:space="preserve">이항양하(광양→군산) </t>
    </r>
    <r>
      <rPr>
        <sz val="10"/>
        <color rgb="FFFF0000"/>
        <rFont val="맑은 고딕"/>
        <family val="3"/>
        <charset val="129"/>
        <scheme val="major"/>
      </rPr>
      <t>떠먹기. LXI 공급</t>
    </r>
    <phoneticPr fontId="10" type="noConversion"/>
  </si>
  <si>
    <t>Nakhodka</t>
    <phoneticPr fontId="10" type="noConversion"/>
  </si>
  <si>
    <t>完</t>
    <phoneticPr fontId="10" type="noConversion"/>
  </si>
  <si>
    <t>S</t>
    <phoneticPr fontId="10" type="noConversion"/>
  </si>
  <si>
    <t>NEWCASTLE EXPRESS</t>
    <phoneticPr fontId="10" type="noConversion"/>
  </si>
  <si>
    <t>16.38x21.60</t>
    <phoneticPr fontId="10" type="noConversion"/>
  </si>
  <si>
    <t>15.47x13.50</t>
    <phoneticPr fontId="10" type="noConversion"/>
  </si>
  <si>
    <t>17.10X15.03</t>
    <phoneticPr fontId="10" type="noConversion"/>
  </si>
  <si>
    <t>16.245X13.360</t>
    <phoneticPr fontId="10" type="noConversion"/>
  </si>
  <si>
    <t>23.01X17.60</t>
    <phoneticPr fontId="10" type="noConversion"/>
  </si>
  <si>
    <t>21.24X17.60</t>
    <phoneticPr fontId="10" type="noConversion"/>
  </si>
  <si>
    <t>22.96X18.26</t>
    <phoneticPr fontId="10" type="noConversion"/>
  </si>
  <si>
    <t>19.68X18.26</t>
    <phoneticPr fontId="10" type="noConversion"/>
  </si>
  <si>
    <t>X,Y</t>
    <phoneticPr fontId="10" type="noConversion"/>
  </si>
  <si>
    <t>T, U</t>
    <phoneticPr fontId="10" type="noConversion"/>
  </si>
  <si>
    <t>보통</t>
    <phoneticPr fontId="10" type="noConversion"/>
  </si>
  <si>
    <t>HPC FUTURE</t>
    <phoneticPr fontId="10" type="noConversion"/>
  </si>
  <si>
    <t>THATHONG</t>
    <phoneticPr fontId="10" type="noConversion"/>
  </si>
  <si>
    <t>SUN GRACE</t>
    <phoneticPr fontId="10" type="noConversion"/>
  </si>
  <si>
    <t>19.53X19.00</t>
    <phoneticPr fontId="10" type="noConversion"/>
  </si>
  <si>
    <t>13.95X15.20</t>
    <phoneticPr fontId="10" type="noConversion"/>
  </si>
  <si>
    <t>선양해운</t>
    <phoneticPr fontId="10" type="noConversion"/>
  </si>
  <si>
    <t>SUEK</t>
    <phoneticPr fontId="10" type="noConversion"/>
  </si>
  <si>
    <t>VERA</t>
    <phoneticPr fontId="10" type="noConversion"/>
  </si>
  <si>
    <t>S,T</t>
    <phoneticPr fontId="10" type="noConversion"/>
  </si>
  <si>
    <t>#3</t>
    <phoneticPr fontId="10" type="noConversion"/>
  </si>
  <si>
    <t>서보해운</t>
    <phoneticPr fontId="10" type="noConversion"/>
  </si>
  <si>
    <t xml:space="preserve">→ S 930-1080(150m)
 - 통로 5m, 옹벽 0 </t>
    <phoneticPr fontId="10" type="noConversion"/>
  </si>
  <si>
    <r>
      <t xml:space="preserve">광양단독(한화E 월 60천톤 사용) </t>
    </r>
    <r>
      <rPr>
        <sz val="10"/>
        <color rgb="FF0000FF"/>
        <rFont val="맑은 고딕"/>
        <family val="3"/>
        <charset val="129"/>
        <scheme val="major"/>
      </rPr>
      <t>대양모선</t>
    </r>
    <phoneticPr fontId="10" type="noConversion"/>
  </si>
  <si>
    <t>U,V</t>
    <phoneticPr fontId="10" type="noConversion"/>
  </si>
  <si>
    <t>NEWCASTLE</t>
    <phoneticPr fontId="10" type="noConversion"/>
  </si>
  <si>
    <t>#4</t>
    <phoneticPr fontId="10" type="noConversion"/>
  </si>
  <si>
    <t>R</t>
    <phoneticPr fontId="10" type="noConversion"/>
  </si>
  <si>
    <t>DARYA SHANTI</t>
    <phoneticPr fontId="10" type="noConversion"/>
  </si>
  <si>
    <t>이항양하(광양→고성)</t>
    <phoneticPr fontId="10" type="noConversion"/>
  </si>
  <si>
    <t>NERAIDA</t>
    <phoneticPr fontId="10" type="noConversion"/>
  </si>
  <si>
    <t>22.32X18.60</t>
    <phoneticPr fontId="10" type="noConversion"/>
  </si>
  <si>
    <t>16.74X18.60</t>
    <phoneticPr fontId="10" type="noConversion"/>
  </si>
  <si>
    <t>15.48X15.00</t>
    <phoneticPr fontId="10" type="noConversion"/>
  </si>
  <si>
    <t>15.48X13.30</t>
    <phoneticPr fontId="10" type="noConversion"/>
  </si>
  <si>
    <t>20.00X19.20</t>
    <phoneticPr fontId="10" type="noConversion"/>
  </si>
  <si>
    <t>14.40X17.60</t>
    <phoneticPr fontId="10" type="noConversion"/>
  </si>
  <si>
    <t>U</t>
    <phoneticPr fontId="10" type="noConversion"/>
  </si>
  <si>
    <t>WHITEHAVEN/YANCOAL</t>
    <phoneticPr fontId="10" type="noConversion"/>
  </si>
  <si>
    <r>
      <t xml:space="preserve">이항양하(당진→광양) </t>
    </r>
    <r>
      <rPr>
        <sz val="10"/>
        <color rgb="FFFF0000"/>
        <rFont val="맑은 고딕"/>
        <family val="3"/>
        <charset val="129"/>
        <scheme val="major"/>
      </rPr>
      <t>(#7선석)</t>
    </r>
    <phoneticPr fontId="10" type="noConversion"/>
  </si>
  <si>
    <r>
      <t xml:space="preserve">이항양하(광양→포항) 광양 1,3,5H 비우기
</t>
    </r>
    <r>
      <rPr>
        <sz val="10"/>
        <color rgb="FF0000FF"/>
        <rFont val="맑은 고딕"/>
        <family val="3"/>
        <charset val="129"/>
        <scheme val="major"/>
      </rPr>
      <t xml:space="preserve">포스코터미날 </t>
    </r>
    <r>
      <rPr>
        <sz val="10"/>
        <color rgb="FFFF0000"/>
        <rFont val="맑은 고딕"/>
        <family val="3"/>
        <charset val="129"/>
        <scheme val="major"/>
      </rPr>
      <t>(#7선석)</t>
    </r>
    <phoneticPr fontId="10" type="noConversion"/>
  </si>
  <si>
    <r>
      <t xml:space="preserve">광양단독. GS글로벌 공급 </t>
    </r>
    <r>
      <rPr>
        <sz val="10"/>
        <color rgb="FFFF0000"/>
        <rFont val="맑은 고딕"/>
        <family val="3"/>
        <charset val="129"/>
        <scheme val="major"/>
      </rPr>
      <t>(#7선석)</t>
    </r>
    <phoneticPr fontId="10" type="noConversion"/>
  </si>
  <si>
    <r>
      <t xml:space="preserve">광양단독. 미정 </t>
    </r>
    <r>
      <rPr>
        <sz val="10"/>
        <color rgb="FFFF0000"/>
        <rFont val="맑은 고딕"/>
        <family val="3"/>
        <charset val="129"/>
        <scheme val="major"/>
      </rPr>
      <t>(#7선석)</t>
    </r>
    <phoneticPr fontId="10" type="noConversion"/>
  </si>
  <si>
    <t>1월30일</t>
  </si>
  <si>
    <t>1월31일</t>
  </si>
  <si>
    <t>BHPB W4L</t>
  </si>
  <si>
    <t>BHPB W4L</t>
    <phoneticPr fontId="10" type="noConversion"/>
  </si>
  <si>
    <t>GLOVIS DESIRE</t>
    <phoneticPr fontId="10" type="noConversion"/>
  </si>
  <si>
    <t>HL IBT</t>
    <phoneticPr fontId="10" type="noConversion"/>
  </si>
  <si>
    <t>루맥스해운</t>
    <phoneticPr fontId="10" type="noConversion"/>
  </si>
  <si>
    <t>MSXT HERA</t>
    <phoneticPr fontId="10" type="noConversion"/>
  </si>
  <si>
    <t>연성해운</t>
    <phoneticPr fontId="10" type="noConversion"/>
  </si>
  <si>
    <t>17.28X15.00</t>
    <phoneticPr fontId="10" type="noConversion"/>
  </si>
  <si>
    <t>17.28X12.00</t>
    <phoneticPr fontId="10" type="noConversion"/>
  </si>
  <si>
    <r>
      <t xml:space="preserve">이항양하(포항→광양) </t>
    </r>
    <r>
      <rPr>
        <sz val="10"/>
        <color rgb="FF0000FF"/>
        <rFont val="맑은 고딕"/>
        <family val="3"/>
        <charset val="129"/>
        <scheme val="major"/>
      </rPr>
      <t>대양모선</t>
    </r>
    <r>
      <rPr>
        <sz val="10"/>
        <rFont val="맑은 고딕"/>
        <family val="3"/>
        <charset val="129"/>
        <scheme val="major"/>
      </rPr>
      <t xml:space="preserve">
SNNC 56천(WHITEHAVEN), 2/6/8H
김천E 44천(YANCOAL). LXI공급 3/5/7H</t>
    </r>
    <phoneticPr fontId="10" type="noConversion"/>
  </si>
  <si>
    <t>ADARO</t>
    <phoneticPr fontId="10" type="noConversion"/>
  </si>
  <si>
    <t>BAYAN</t>
    <phoneticPr fontId="10" type="noConversion"/>
  </si>
  <si>
    <t>GLENCORE</t>
    <phoneticPr fontId="10" type="noConversion"/>
  </si>
  <si>
    <t>BALIKPAPAN</t>
    <phoneticPr fontId="10" type="noConversion"/>
  </si>
  <si>
    <t>2월8일</t>
    <phoneticPr fontId="10" type="noConversion"/>
  </si>
  <si>
    <t>BHP GL</t>
    <phoneticPr fontId="10" type="noConversion"/>
  </si>
  <si>
    <t>2월9일</t>
    <phoneticPr fontId="10" type="noConversion"/>
  </si>
  <si>
    <t>#1</t>
    <phoneticPr fontId="10" type="noConversion"/>
  </si>
  <si>
    <t>GNS HOPE</t>
    <phoneticPr fontId="10" type="noConversion"/>
  </si>
  <si>
    <t>17.60X14.40</t>
    <phoneticPr fontId="10" type="noConversion"/>
  </si>
  <si>
    <t>14.40X12.80</t>
    <phoneticPr fontId="10" type="noConversion"/>
  </si>
  <si>
    <t>김천에너지</t>
  </si>
  <si>
    <t>김천에너지</t>
    <phoneticPr fontId="10" type="noConversion"/>
  </si>
  <si>
    <t>보임코퍼레이션</t>
  </si>
  <si>
    <t>보임코퍼레이션</t>
    <phoneticPr fontId="10" type="noConversion"/>
  </si>
  <si>
    <r>
      <t xml:space="preserve">이항양하(삼천포→광양) </t>
    </r>
    <r>
      <rPr>
        <sz val="10"/>
        <color rgb="FFFF0000"/>
        <rFont val="맑은 고딕"/>
        <family val="3"/>
        <charset val="129"/>
        <scheme val="major"/>
      </rPr>
      <t>(#7선석)</t>
    </r>
    <phoneticPr fontId="10" type="noConversion"/>
  </si>
  <si>
    <r>
      <t xml:space="preserve">이항양하(영흥→광양) </t>
    </r>
    <r>
      <rPr>
        <sz val="10"/>
        <color rgb="FFFF0000"/>
        <rFont val="맑은 고딕"/>
        <family val="3"/>
        <charset val="129"/>
        <scheme val="major"/>
      </rPr>
      <t>(#7선석)</t>
    </r>
    <phoneticPr fontId="10" type="noConversion"/>
  </si>
  <si>
    <t>FU RONG FENG</t>
    <phoneticPr fontId="10" type="noConversion"/>
  </si>
  <si>
    <t>15.48X14.40</t>
    <phoneticPr fontId="10" type="noConversion"/>
  </si>
  <si>
    <t>15.48X13.20</t>
    <phoneticPr fontId="10" type="noConversion"/>
  </si>
  <si>
    <t>INSANI</t>
    <phoneticPr fontId="10" type="noConversion"/>
  </si>
  <si>
    <t>해강해운</t>
    <phoneticPr fontId="10" type="noConversion"/>
  </si>
  <si>
    <t>2월26일</t>
    <phoneticPr fontId="10" type="noConversion"/>
  </si>
  <si>
    <t>2월27일</t>
  </si>
  <si>
    <t>2월28일</t>
  </si>
  <si>
    <t>Assmang</t>
    <phoneticPr fontId="10" type="noConversion"/>
  </si>
  <si>
    <t>3월1일</t>
  </si>
  <si>
    <t>3월2일</t>
  </si>
  <si>
    <t>BHP GL</t>
  </si>
  <si>
    <t>Y,S</t>
    <phoneticPr fontId="10" type="noConversion"/>
  </si>
  <si>
    <t>T,U</t>
    <phoneticPr fontId="10" type="noConversion"/>
  </si>
  <si>
    <t>MEDI OSAKA</t>
    <phoneticPr fontId="10" type="noConversion"/>
  </si>
  <si>
    <r>
      <t xml:space="preserve">광양단독. </t>
    </r>
    <r>
      <rPr>
        <sz val="10"/>
        <color rgb="FFFF0000"/>
        <rFont val="맑은 고딕"/>
        <family val="3"/>
        <charset val="129"/>
        <scheme val="major"/>
      </rPr>
      <t>(#7선석)</t>
    </r>
    <phoneticPr fontId="10" type="noConversion"/>
  </si>
  <si>
    <t>23.20X18.72</t>
    <phoneticPr fontId="10" type="noConversion"/>
  </si>
  <si>
    <t>18.40X18.72</t>
    <phoneticPr fontId="10" type="noConversion"/>
  </si>
  <si>
    <t>GNS HARMONY</t>
    <phoneticPr fontId="10" type="noConversion"/>
  </si>
  <si>
    <t>이항양하(삼천포→광양)</t>
    <phoneticPr fontId="10" type="noConversion"/>
  </si>
  <si>
    <t>27.54X16.00</t>
    <phoneticPr fontId="10" type="noConversion"/>
  </si>
  <si>
    <t>27.54X11.20</t>
    <phoneticPr fontId="10" type="noConversion"/>
  </si>
  <si>
    <t>SMA</t>
    <phoneticPr fontId="10" type="noConversion"/>
  </si>
  <si>
    <t>SAMARINDA</t>
    <phoneticPr fontId="10" type="noConversion"/>
  </si>
  <si>
    <t>LOUISIANA MAMA</t>
    <phoneticPr fontId="10" type="noConversion"/>
  </si>
  <si>
    <t>21.06X18.60</t>
    <phoneticPr fontId="10" type="noConversion"/>
  </si>
  <si>
    <t>17.16X17.00</t>
    <phoneticPr fontId="10" type="noConversion"/>
  </si>
  <si>
    <t>T</t>
    <phoneticPr fontId="10" type="noConversion"/>
  </si>
  <si>
    <t>심함</t>
    <phoneticPr fontId="10" type="noConversion"/>
  </si>
  <si>
    <t>GUO YUAN 8</t>
    <phoneticPr fontId="10" type="noConversion"/>
  </si>
  <si>
    <t>광양단독.</t>
    <phoneticPr fontId="10" type="noConversion"/>
  </si>
  <si>
    <r>
      <t xml:space="preserve">광양단독 </t>
    </r>
    <r>
      <rPr>
        <sz val="10"/>
        <color rgb="FFFF0000"/>
        <rFont val="맑은 고딕"/>
        <family val="3"/>
        <charset val="129"/>
        <scheme val="major"/>
      </rPr>
      <t>(#7선석)</t>
    </r>
    <phoneticPr fontId="10" type="noConversion"/>
  </si>
  <si>
    <r>
      <t xml:space="preserve">광양단독 / LXI 공급 </t>
    </r>
    <r>
      <rPr>
        <sz val="10"/>
        <color rgb="FFFF0000"/>
        <rFont val="맑은 고딕"/>
        <family val="3"/>
        <charset val="129"/>
        <scheme val="major"/>
      </rPr>
      <t>(#7선석 : 27,665톤)
#5선석</t>
    </r>
    <r>
      <rPr>
        <sz val="10"/>
        <color rgb="FFFF0000"/>
        <rFont val="맑은 고딕"/>
        <family val="3"/>
        <charset val="129"/>
      </rPr>
      <t>→#7선석 Shifting</t>
    </r>
    <phoneticPr fontId="10" type="noConversion"/>
  </si>
  <si>
    <t>광양단독. LXI 공급.</t>
    <phoneticPr fontId="10" type="noConversion"/>
  </si>
  <si>
    <t>LILA SEOUL</t>
    <phoneticPr fontId="10" type="noConversion"/>
  </si>
  <si>
    <t>광양단독. SUEK 공급</t>
    <phoneticPr fontId="10" type="noConversion"/>
  </si>
  <si>
    <t>광양단독. SGC에너지 CIF 계약</t>
    <phoneticPr fontId="10" type="noConversion"/>
  </si>
  <si>
    <t>포스코플로우 반입(예정) 선박 LIST</t>
    <phoneticPr fontId="11" type="noConversion"/>
  </si>
  <si>
    <t>15.48X15.03</t>
    <phoneticPr fontId="10" type="noConversion"/>
  </si>
  <si>
    <t>15.48X13.00</t>
    <phoneticPr fontId="10" type="noConversion"/>
  </si>
  <si>
    <t>15.66X15.00</t>
    <phoneticPr fontId="10" type="noConversion"/>
  </si>
  <si>
    <t>13.05X13.20</t>
    <phoneticPr fontId="10" type="noConversion"/>
  </si>
  <si>
    <t>#2</t>
    <phoneticPr fontId="10" type="noConversion"/>
  </si>
  <si>
    <t>4월9일</t>
    <phoneticPr fontId="10" type="noConversion"/>
  </si>
  <si>
    <t>BHP M1L</t>
    <phoneticPr fontId="10" type="noConversion"/>
  </si>
  <si>
    <t>4월17일</t>
    <phoneticPr fontId="10" type="noConversion"/>
  </si>
  <si>
    <t>4월14일</t>
    <phoneticPr fontId="10" type="noConversion"/>
  </si>
  <si>
    <t>4월15일</t>
  </si>
  <si>
    <t>4월18일</t>
    <phoneticPr fontId="10" type="noConversion"/>
  </si>
  <si>
    <r>
      <t xml:space="preserve">광양단독. </t>
    </r>
    <r>
      <rPr>
        <sz val="10"/>
        <color rgb="FF0000FF"/>
        <rFont val="맑은 고딕"/>
        <family val="3"/>
        <charset val="129"/>
        <scheme val="major"/>
      </rPr>
      <t>대양모선. 계류조항 적용 ETA 4/6 17:40</t>
    </r>
    <phoneticPr fontId="10" type="noConversion"/>
  </si>
  <si>
    <t>XIN XIANG HAI</t>
    <phoneticPr fontId="10" type="noConversion"/>
  </si>
  <si>
    <t>24.705X21.00</t>
    <phoneticPr fontId="10" type="noConversion"/>
  </si>
  <si>
    <t>21.96X21.00</t>
    <phoneticPr fontId="10" type="noConversion"/>
  </si>
  <si>
    <t>KALIMANTAN</t>
    <phoneticPr fontId="10" type="noConversion"/>
  </si>
  <si>
    <t>21.00X18.92</t>
    <phoneticPr fontId="10" type="noConversion"/>
  </si>
  <si>
    <t>15.75X18.92</t>
    <phoneticPr fontId="10" type="noConversion"/>
  </si>
  <si>
    <t>GLADSTONE</t>
    <phoneticPr fontId="10" type="noConversion"/>
  </si>
  <si>
    <t>태평양시멘트</t>
    <phoneticPr fontId="10" type="noConversion"/>
  </si>
  <si>
    <t>GREAT WENCHENG</t>
    <phoneticPr fontId="10" type="noConversion"/>
  </si>
  <si>
    <t>BAO MAY</t>
    <phoneticPr fontId="10" type="noConversion"/>
  </si>
  <si>
    <r>
      <t xml:space="preserve">광양단독. 미정. </t>
    </r>
    <r>
      <rPr>
        <sz val="10"/>
        <color rgb="FF0000FF"/>
        <rFont val="맑은 고딕"/>
        <family val="3"/>
        <charset val="129"/>
        <scheme val="major"/>
      </rPr>
      <t>5/1 #2선석 Shifting 예정</t>
    </r>
    <phoneticPr fontId="10" type="noConversion"/>
  </si>
  <si>
    <t>VANINO</t>
    <phoneticPr fontId="10" type="noConversion"/>
  </si>
  <si>
    <t>25.62X21.0</t>
    <phoneticPr fontId="10" type="noConversion"/>
  </si>
  <si>
    <t>21.96X21.0</t>
    <phoneticPr fontId="10" type="noConversion"/>
  </si>
  <si>
    <t>선박적합성</t>
    <phoneticPr fontId="11" type="noConversion"/>
  </si>
  <si>
    <t>마린스트</t>
    <phoneticPr fontId="10" type="noConversion"/>
  </si>
  <si>
    <t>5월2일</t>
    <phoneticPr fontId="10" type="noConversion"/>
  </si>
  <si>
    <t>5월4일</t>
  </si>
  <si>
    <t>5월3일</t>
    <phoneticPr fontId="10" type="noConversion"/>
  </si>
  <si>
    <t>BHP M1L</t>
  </si>
  <si>
    <t>01/20</t>
    <phoneticPr fontId="10" type="noConversion"/>
  </si>
  <si>
    <t>선별</t>
    <phoneticPr fontId="10" type="noConversion"/>
  </si>
  <si>
    <t>도하기업</t>
    <phoneticPr fontId="10" type="noConversion"/>
  </si>
  <si>
    <t>대한민국</t>
    <phoneticPr fontId="10" type="noConversion"/>
  </si>
  <si>
    <t>니켈슬라그</t>
    <phoneticPr fontId="10" type="noConversion"/>
  </si>
  <si>
    <r>
      <t>육송반입 (SNNC야드</t>
    </r>
    <r>
      <rPr>
        <sz val="10"/>
        <rFont val="맑은 고딕"/>
        <family val="3"/>
        <charset val="129"/>
      </rPr>
      <t>→선별야드)</t>
    </r>
    <phoneticPr fontId="10" type="noConversion"/>
  </si>
  <si>
    <t>DL ACACIA</t>
    <phoneticPr fontId="10" type="noConversion"/>
  </si>
  <si>
    <t>캐나다</t>
    <phoneticPr fontId="10" type="noConversion"/>
  </si>
  <si>
    <t>FORTUNE LADY</t>
    <phoneticPr fontId="10" type="noConversion"/>
  </si>
  <si>
    <t>ABK</t>
    <phoneticPr fontId="10" type="noConversion"/>
  </si>
  <si>
    <t>17.10X15.00</t>
    <phoneticPr fontId="10" type="noConversion"/>
  </si>
  <si>
    <t>16.06X13.30</t>
    <phoneticPr fontId="10" type="noConversion"/>
  </si>
  <si>
    <t>이항양하(광양→군산)</t>
    <phoneticPr fontId="10" type="noConversion"/>
  </si>
  <si>
    <t>광양단독. LXI 공급</t>
    <phoneticPr fontId="10" type="noConversion"/>
  </si>
  <si>
    <t>SM CHALLENGER</t>
    <phoneticPr fontId="10" type="noConversion"/>
  </si>
  <si>
    <t>V</t>
    <phoneticPr fontId="10" type="noConversion"/>
  </si>
  <si>
    <r>
      <t xml:space="preserve">광양단독_포스코 합적모선. </t>
    </r>
    <r>
      <rPr>
        <sz val="10"/>
        <color rgb="FF0000FF"/>
        <rFont val="맑은 고딕"/>
        <family val="3"/>
        <charset val="129"/>
        <scheme val="major"/>
      </rPr>
      <t>대양모선(3,5,7H)계류조항 적용 (ETA 5/14 18:00)</t>
    </r>
    <phoneticPr fontId="10" type="noConversion"/>
  </si>
  <si>
    <t>KCH</t>
    <phoneticPr fontId="10" type="noConversion"/>
  </si>
  <si>
    <t>이항양하(광양→삼천포)</t>
    <phoneticPr fontId="10" type="noConversion"/>
  </si>
  <si>
    <t>CBC FUYI</t>
    <phoneticPr fontId="10" type="noConversion"/>
  </si>
  <si>
    <t>HL VISION</t>
    <phoneticPr fontId="10" type="noConversion"/>
  </si>
  <si>
    <t>15.6X20.2</t>
    <phoneticPr fontId="10" type="noConversion"/>
  </si>
  <si>
    <t>14.56X16.88</t>
    <phoneticPr fontId="10" type="noConversion"/>
  </si>
  <si>
    <r>
      <rPr>
        <sz val="10"/>
        <rFont val="맑은 고딕"/>
        <family val="3"/>
        <charset val="129"/>
        <scheme val="major"/>
      </rPr>
      <t>광양단독.</t>
    </r>
    <r>
      <rPr>
        <sz val="10"/>
        <color rgb="FF0000FF"/>
        <rFont val="맑은 고딕"/>
        <family val="3"/>
        <charset val="129"/>
        <scheme val="major"/>
      </rPr>
      <t xml:space="preserve"> 포스코 합적화물</t>
    </r>
    <phoneticPr fontId="10" type="noConversion"/>
  </si>
  <si>
    <t>EMERALD ENTERPRISE</t>
    <phoneticPr fontId="10" type="noConversion"/>
  </si>
  <si>
    <t>ARTHUR</t>
    <phoneticPr fontId="10" type="noConversion"/>
  </si>
  <si>
    <t>20.08X24.00</t>
    <phoneticPr fontId="10" type="noConversion"/>
  </si>
  <si>
    <t>13.60X15.00</t>
    <phoneticPr fontId="10" type="noConversion"/>
  </si>
  <si>
    <t>오사카시멘트</t>
    <phoneticPr fontId="10" type="noConversion"/>
  </si>
  <si>
    <t>5월25일</t>
    <phoneticPr fontId="10" type="noConversion"/>
  </si>
  <si>
    <t>5월26일</t>
    <phoneticPr fontId="10" type="noConversion"/>
  </si>
  <si>
    <t>5월27일</t>
    <phoneticPr fontId="10" type="noConversion"/>
  </si>
  <si>
    <t>5월28일</t>
  </si>
  <si>
    <t>5월29일</t>
  </si>
  <si>
    <t>중국</t>
    <phoneticPr fontId="10" type="noConversion"/>
  </si>
  <si>
    <t>SHENHUA</t>
    <phoneticPr fontId="10" type="noConversion"/>
  </si>
  <si>
    <t>RIZHAO</t>
    <phoneticPr fontId="10" type="noConversion"/>
  </si>
  <si>
    <t>23.80X11.80</t>
    <phoneticPr fontId="10" type="noConversion"/>
  </si>
  <si>
    <t>22.80X11.80</t>
    <phoneticPr fontId="10" type="noConversion"/>
  </si>
  <si>
    <r>
      <rPr>
        <sz val="10"/>
        <rFont val="맑은 고딕"/>
        <family val="3"/>
        <charset val="129"/>
        <scheme val="major"/>
      </rPr>
      <t>광양단독.</t>
    </r>
    <r>
      <rPr>
        <sz val="10"/>
        <color rgb="FF0000FF"/>
        <rFont val="맑은 고딕"/>
        <family val="3"/>
        <charset val="129"/>
        <scheme val="major"/>
      </rPr>
      <t xml:space="preserve"> 원료부두 하역 예정</t>
    </r>
    <phoneticPr fontId="10" type="noConversion"/>
  </si>
  <si>
    <t>14.71X12.80</t>
    <phoneticPr fontId="10" type="noConversion"/>
  </si>
  <si>
    <t>광양선박</t>
    <phoneticPr fontId="10" type="noConversion"/>
  </si>
  <si>
    <t>XING GUANG 18</t>
    <phoneticPr fontId="10" type="noConversion"/>
  </si>
  <si>
    <t>UST LUGA</t>
    <phoneticPr fontId="10" type="noConversion"/>
  </si>
  <si>
    <t>POSYET</t>
    <phoneticPr fontId="10" type="noConversion"/>
  </si>
  <si>
    <t>OCCITAN KEY</t>
    <phoneticPr fontId="10" type="noConversion"/>
  </si>
  <si>
    <t>MECHEL</t>
    <phoneticPr fontId="10" type="noConversion"/>
  </si>
  <si>
    <t>19.00X13.50</t>
    <phoneticPr fontId="10" type="noConversion"/>
  </si>
  <si>
    <t>8.00X13.50</t>
    <phoneticPr fontId="10" type="noConversion"/>
  </si>
  <si>
    <t>PRINCE RUPERT</t>
    <phoneticPr fontId="10" type="noConversion"/>
  </si>
  <si>
    <t>SM HARMONY2</t>
    <phoneticPr fontId="10" type="noConversion"/>
  </si>
  <si>
    <t>이항양하(광양→영흥)</t>
    <phoneticPr fontId="10" type="noConversion"/>
  </si>
  <si>
    <t>있음</t>
    <phoneticPr fontId="10" type="noConversion"/>
  </si>
  <si>
    <t>OCEAN TIDE</t>
    <phoneticPr fontId="10" type="noConversion"/>
  </si>
  <si>
    <t>15.80X15.30</t>
    <phoneticPr fontId="10" type="noConversion"/>
  </si>
  <si>
    <t>15.80X13.60</t>
    <phoneticPr fontId="10" type="noConversion"/>
  </si>
  <si>
    <t>광양단독. CIF계약(STX공급)</t>
    <phoneticPr fontId="10" type="noConversion"/>
  </si>
  <si>
    <t>EMCO</t>
    <phoneticPr fontId="10" type="noConversion"/>
  </si>
  <si>
    <t>BRAVE HEART</t>
    <phoneticPr fontId="10" type="noConversion"/>
  </si>
  <si>
    <t>14.24X13.80</t>
    <phoneticPr fontId="10" type="noConversion"/>
  </si>
  <si>
    <t>전북에너지</t>
    <phoneticPr fontId="10" type="noConversion"/>
  </si>
  <si>
    <t>ROYAL AWARD</t>
    <phoneticPr fontId="10" type="noConversion"/>
  </si>
  <si>
    <t>TAMAN</t>
    <phoneticPr fontId="10" type="noConversion"/>
  </si>
  <si>
    <t>이항양하(광양→포항)</t>
    <phoneticPr fontId="10" type="noConversion"/>
  </si>
  <si>
    <t>6월21일</t>
    <phoneticPr fontId="10" type="noConversion"/>
  </si>
  <si>
    <t>6월20일</t>
    <phoneticPr fontId="10" type="noConversion"/>
  </si>
  <si>
    <t>6월22일</t>
  </si>
  <si>
    <t>3월</t>
  </si>
  <si>
    <t>BAO WEALTH</t>
    <phoneticPr fontId="10" type="noConversion"/>
  </si>
  <si>
    <t>21.32X18.26</t>
    <phoneticPr fontId="10" type="noConversion"/>
  </si>
  <si>
    <t>18.86X18.26</t>
    <phoneticPr fontId="10" type="noConversion"/>
  </si>
  <si>
    <t>STH ATHENS</t>
    <phoneticPr fontId="10" type="noConversion"/>
  </si>
  <si>
    <t>BENGALLA</t>
    <phoneticPr fontId="10" type="noConversion"/>
  </si>
  <si>
    <t>21.88X18.92</t>
    <phoneticPr fontId="10" type="noConversion"/>
  </si>
  <si>
    <t>16.62X18.92</t>
    <phoneticPr fontId="10" type="noConversion"/>
  </si>
  <si>
    <t>BOSHNYAKOVO</t>
    <phoneticPr fontId="10" type="noConversion"/>
  </si>
  <si>
    <t>이항양하(광양→당진)</t>
    <phoneticPr fontId="10" type="noConversion"/>
  </si>
  <si>
    <t>중국</t>
    <phoneticPr fontId="16" type="noConversion"/>
  </si>
  <si>
    <t>조금 발생</t>
    <phoneticPr fontId="10" type="noConversion"/>
  </si>
  <si>
    <r>
      <rPr>
        <sz val="10"/>
        <rFont val="맑은 고딕"/>
        <family val="3"/>
        <charset val="129"/>
        <scheme val="major"/>
      </rPr>
      <t>광양단독.</t>
    </r>
    <r>
      <rPr>
        <sz val="10"/>
        <color rgb="FF0000FF"/>
        <rFont val="맑은 고딕"/>
        <family val="3"/>
        <charset val="129"/>
        <scheme val="major"/>
      </rPr>
      <t xml:space="preserve"> 
포스코 합적화물(SNNC화물 3,5,7H)</t>
    </r>
    <phoneticPr fontId="10" type="noConversion"/>
  </si>
  <si>
    <r>
      <t>이항양하(광양</t>
    </r>
    <r>
      <rPr>
        <sz val="10"/>
        <rFont val="맑은 고딕"/>
        <family val="3"/>
        <charset val="129"/>
      </rPr>
      <t>→중국)</t>
    </r>
    <r>
      <rPr>
        <sz val="10"/>
        <rFont val="맑은 고딕"/>
        <family val="3"/>
        <charset val="129"/>
        <scheme val="major"/>
      </rPr>
      <t xml:space="preserve">. </t>
    </r>
    <r>
      <rPr>
        <sz val="10"/>
        <color rgb="FF0000FF"/>
        <rFont val="맑은 고딕"/>
        <family val="3"/>
        <charset val="129"/>
        <scheme val="major"/>
      </rPr>
      <t>환적화물
집탄시 홀드내 화물샘플링하여 수분측정 및
야드 적치화물 샘플링하여 수분측정 실시</t>
    </r>
    <phoneticPr fontId="10" type="noConversion"/>
  </si>
  <si>
    <r>
      <t xml:space="preserve">광양단독. </t>
    </r>
    <r>
      <rPr>
        <sz val="10"/>
        <color rgb="FF0000FF"/>
        <rFont val="맑은 고딕"/>
        <family val="3"/>
        <charset val="129"/>
        <scheme val="major"/>
      </rPr>
      <t>환적화물
집탄시 홀드내 화물샘플링하여 수분측정 및
야드 적치화물 샘플링하여 수분측정 실시</t>
    </r>
    <phoneticPr fontId="10" type="noConversion"/>
  </si>
  <si>
    <t>AERO MANDIRI</t>
    <phoneticPr fontId="10" type="noConversion"/>
  </si>
  <si>
    <t>→ T 250-480(230m, 62,100톤)
   U 700-800(100m, 14,728톤)
    통로 4m, 옹벽 1/2</t>
    <phoneticPr fontId="10" type="noConversion"/>
  </si>
  <si>
    <t>DAEBO GLADSTONE</t>
    <phoneticPr fontId="10" type="noConversion"/>
  </si>
  <si>
    <t>17.28 x 15.00</t>
  </si>
  <si>
    <t>17.28 x 12.00</t>
  </si>
  <si>
    <t>→ 120-400(280m)
   통로 3m, 옹벽 1/2</t>
    <phoneticPr fontId="10" type="noConversion"/>
  </si>
  <si>
    <t>PAN ENERGEN</t>
    <phoneticPr fontId="10" type="noConversion"/>
  </si>
  <si>
    <t>KALTANSKY</t>
    <phoneticPr fontId="10" type="noConversion"/>
  </si>
  <si>
    <t>L&amp;C마리타임</t>
    <phoneticPr fontId="10" type="noConversion"/>
  </si>
  <si>
    <t>해왕해운</t>
    <phoneticPr fontId="10" type="noConversion"/>
  </si>
  <si>
    <t>팬스코</t>
    <phoneticPr fontId="10" type="noConversion"/>
  </si>
  <si>
    <t>K-LINE</t>
    <phoneticPr fontId="10" type="noConversion"/>
  </si>
  <si>
    <t>23.01X17.60</t>
    <phoneticPr fontId="10" type="noConversion"/>
  </si>
  <si>
    <t>21.24X17.60</t>
    <phoneticPr fontId="10" type="noConversion"/>
  </si>
  <si>
    <t>7월</t>
  </si>
  <si>
    <t>11월</t>
  </si>
  <si>
    <t>무연탄</t>
    <phoneticPr fontId="10" type="noConversion"/>
  </si>
  <si>
    <t>ITALIAN BULKER</t>
    <phoneticPr fontId="10" type="noConversion"/>
  </si>
  <si>
    <t>NC Sapphire</t>
    <phoneticPr fontId="10" type="noConversion"/>
  </si>
  <si>
    <t>1월</t>
    <phoneticPr fontId="10" type="noConversion"/>
  </si>
  <si>
    <t>니켈</t>
    <phoneticPr fontId="10" type="noConversion"/>
  </si>
  <si>
    <t>SNNC</t>
    <phoneticPr fontId="10" type="noConversion"/>
  </si>
  <si>
    <t>FJ VIOLA</t>
    <phoneticPr fontId="10" type="noConversion"/>
  </si>
  <si>
    <t>Teoudie</t>
    <phoneticPr fontId="10" type="noConversion"/>
  </si>
  <si>
    <t>#7</t>
    <phoneticPr fontId="10" type="noConversion"/>
  </si>
  <si>
    <t>CTS</t>
    <phoneticPr fontId="10" type="noConversion"/>
  </si>
  <si>
    <t>남동발전</t>
    <phoneticPr fontId="10" type="noConversion"/>
  </si>
  <si>
    <t>FAR EASTERN MERCURY</t>
    <phoneticPr fontId="10" type="noConversion"/>
  </si>
  <si>
    <t>인니</t>
    <phoneticPr fontId="10" type="noConversion"/>
  </si>
  <si>
    <t>RIZE</t>
    <phoneticPr fontId="10" type="noConversion"/>
  </si>
  <si>
    <t>호주</t>
    <phoneticPr fontId="10" type="noConversion"/>
  </si>
  <si>
    <t>FORTUNE WING</t>
    <phoneticPr fontId="10" type="noConversion"/>
  </si>
  <si>
    <t>Poya</t>
    <phoneticPr fontId="10" type="noConversion"/>
  </si>
  <si>
    <t>석고</t>
    <phoneticPr fontId="10" type="noConversion"/>
  </si>
  <si>
    <t>청해실업</t>
    <phoneticPr fontId="10" type="noConversion"/>
  </si>
  <si>
    <t>NEW JOURNEY</t>
    <phoneticPr fontId="10" type="noConversion"/>
  </si>
  <si>
    <t>태국</t>
    <phoneticPr fontId="10" type="noConversion"/>
  </si>
  <si>
    <t>JIN YUE</t>
    <phoneticPr fontId="10" type="noConversion"/>
  </si>
  <si>
    <t>BOLITOC(필리핀)</t>
    <phoneticPr fontId="10" type="noConversion"/>
  </si>
  <si>
    <t>CATO(필리핀)</t>
    <phoneticPr fontId="10" type="noConversion"/>
  </si>
  <si>
    <t>KATAGALAN WISDOM</t>
    <phoneticPr fontId="10" type="noConversion"/>
  </si>
  <si>
    <t>한화에너지</t>
    <phoneticPr fontId="10" type="noConversion"/>
  </si>
  <si>
    <t>ORION III</t>
    <phoneticPr fontId="10" type="noConversion"/>
  </si>
  <si>
    <t>입항DRAFT</t>
    <phoneticPr fontId="11" type="noConversion"/>
  </si>
  <si>
    <t>GLOVIS DIAMOND</t>
    <phoneticPr fontId="10" type="noConversion"/>
  </si>
  <si>
    <t>CTS</t>
    <phoneticPr fontId="10" type="noConversion"/>
  </si>
  <si>
    <t>남동발전</t>
    <phoneticPr fontId="10" type="noConversion"/>
  </si>
  <si>
    <t>GLOVIS DIAMOND</t>
    <phoneticPr fontId="10" type="noConversion"/>
  </si>
  <si>
    <t>인니</t>
    <phoneticPr fontId="10" type="noConversion"/>
  </si>
  <si>
    <t>#7</t>
    <phoneticPr fontId="10" type="noConversion"/>
  </si>
  <si>
    <t>남동발전 긴급재고 30천톤 떠먹기</t>
    <phoneticPr fontId="10" type="noConversion"/>
  </si>
  <si>
    <t>포스코 합적화물</t>
    <phoneticPr fontId="10" type="noConversion"/>
  </si>
  <si>
    <t>DARA</t>
    <phoneticPr fontId="10" type="noConversion"/>
  </si>
  <si>
    <t>#7</t>
    <phoneticPr fontId="10" type="noConversion"/>
  </si>
  <si>
    <t>니켈</t>
    <phoneticPr fontId="10" type="noConversion"/>
  </si>
  <si>
    <t>SNNC</t>
    <phoneticPr fontId="10" type="noConversion"/>
  </si>
  <si>
    <t>FORTUNE BELL</t>
    <phoneticPr fontId="10" type="noConversion"/>
  </si>
  <si>
    <t>#7</t>
    <phoneticPr fontId="10" type="noConversion"/>
  </si>
  <si>
    <t>2월</t>
    <phoneticPr fontId="10" type="noConversion"/>
  </si>
  <si>
    <t>인니</t>
    <phoneticPr fontId="10" type="noConversion"/>
  </si>
  <si>
    <t>#2</t>
    <phoneticPr fontId="10" type="noConversion"/>
  </si>
  <si>
    <t>니켈</t>
    <phoneticPr fontId="10" type="noConversion"/>
  </si>
  <si>
    <t>SNNC</t>
    <phoneticPr fontId="10" type="noConversion"/>
  </si>
  <si>
    <t>TCLC QUANZHOU</t>
    <phoneticPr fontId="10" type="noConversion"/>
  </si>
  <si>
    <t>CTS</t>
    <phoneticPr fontId="10" type="noConversion"/>
  </si>
  <si>
    <t>FUDA</t>
    <phoneticPr fontId="10" type="noConversion"/>
  </si>
  <si>
    <t>태경비케이</t>
    <phoneticPr fontId="10" type="noConversion"/>
  </si>
  <si>
    <t>ATLANTIC MAYA</t>
    <phoneticPr fontId="10" type="noConversion"/>
  </si>
  <si>
    <t>SHAIL AL RAYAN</t>
    <phoneticPr fontId="10" type="noConversion"/>
  </si>
  <si>
    <t>한화에너지</t>
    <phoneticPr fontId="10" type="noConversion"/>
  </si>
  <si>
    <t>STAR MONICA</t>
    <phoneticPr fontId="10" type="noConversion"/>
  </si>
  <si>
    <t>NC Sapphire</t>
    <phoneticPr fontId="10" type="noConversion"/>
  </si>
  <si>
    <t>ASL LEBAN</t>
    <phoneticPr fontId="10" type="noConversion"/>
  </si>
  <si>
    <t>Nakety</t>
    <phoneticPr fontId="10" type="noConversion"/>
  </si>
  <si>
    <t>펫콕</t>
    <phoneticPr fontId="10" type="noConversion"/>
  </si>
  <si>
    <t>과테말라</t>
    <phoneticPr fontId="10" type="noConversion"/>
  </si>
  <si>
    <t>호주</t>
    <phoneticPr fontId="10" type="noConversion"/>
  </si>
  <si>
    <t>수분율</t>
    <phoneticPr fontId="11" type="noConversion"/>
  </si>
  <si>
    <t>CTS</t>
    <phoneticPr fontId="10" type="noConversion"/>
  </si>
  <si>
    <t>남동발전</t>
    <phoneticPr fontId="10" type="noConversion"/>
  </si>
  <si>
    <t>SM HARMONY 2</t>
    <phoneticPr fontId="10" type="noConversion"/>
  </si>
  <si>
    <t>인니</t>
    <phoneticPr fontId="10" type="noConversion"/>
  </si>
  <si>
    <t>#2</t>
    <phoneticPr fontId="10" type="noConversion"/>
  </si>
  <si>
    <t>SM Emerald</t>
    <phoneticPr fontId="10" type="noConversion"/>
  </si>
  <si>
    <t>NC Crystal</t>
    <phoneticPr fontId="10" type="noConversion"/>
  </si>
  <si>
    <t>Kouaoua</t>
    <phoneticPr fontId="10" type="noConversion"/>
  </si>
  <si>
    <t>SNNC</t>
    <phoneticPr fontId="10" type="noConversion"/>
  </si>
  <si>
    <t>인니</t>
    <phoneticPr fontId="10" type="noConversion"/>
  </si>
  <si>
    <t>#7</t>
    <phoneticPr fontId="10" type="noConversion"/>
  </si>
  <si>
    <t>니켈</t>
    <phoneticPr fontId="10" type="noConversion"/>
  </si>
  <si>
    <t>LANCASTER STRAIT</t>
    <phoneticPr fontId="10" type="noConversion"/>
  </si>
  <si>
    <t>과테말라</t>
    <phoneticPr fontId="10" type="noConversion"/>
  </si>
  <si>
    <t>Zhe Hai 522</t>
    <phoneticPr fontId="10" type="noConversion"/>
  </si>
  <si>
    <t>Medi Manila</t>
    <phoneticPr fontId="10" type="noConversion"/>
  </si>
  <si>
    <t>필리핀(Cato)</t>
    <phoneticPr fontId="10" type="noConversion"/>
  </si>
  <si>
    <t>CL CENTURY</t>
    <phoneticPr fontId="10" type="noConversion"/>
  </si>
  <si>
    <t>Josco Taicang</t>
    <phoneticPr fontId="10" type="noConversion"/>
  </si>
  <si>
    <t>Tontouta</t>
    <phoneticPr fontId="10" type="noConversion"/>
  </si>
  <si>
    <t>CTS</t>
    <phoneticPr fontId="10" type="noConversion"/>
  </si>
  <si>
    <t>PEDHOULAS CHERRY</t>
    <phoneticPr fontId="10" type="noConversion"/>
  </si>
  <si>
    <t>3월</t>
    <phoneticPr fontId="10" type="noConversion"/>
  </si>
  <si>
    <t>구분</t>
    <phoneticPr fontId="10" type="noConversion"/>
  </si>
  <si>
    <t>산지</t>
    <phoneticPr fontId="11" type="noConversion"/>
  </si>
  <si>
    <t>뉴칼</t>
    <phoneticPr fontId="10" type="noConversion"/>
  </si>
  <si>
    <t>CTS</t>
    <phoneticPr fontId="10" type="noConversion"/>
  </si>
  <si>
    <t>남동발전</t>
    <phoneticPr fontId="10" type="noConversion"/>
  </si>
  <si>
    <t>AC ANHE</t>
    <phoneticPr fontId="10" type="noConversion"/>
  </si>
  <si>
    <t>인니</t>
    <phoneticPr fontId="10" type="noConversion"/>
  </si>
  <si>
    <t>광양→삼천포. 떠먹기</t>
    <phoneticPr fontId="10" type="noConversion"/>
  </si>
  <si>
    <t>광양→군산. 떠먹기</t>
    <phoneticPr fontId="10" type="noConversion"/>
  </si>
  <si>
    <t>4월</t>
    <phoneticPr fontId="10" type="noConversion"/>
  </si>
  <si>
    <t>CTS</t>
    <phoneticPr fontId="10" type="noConversion"/>
  </si>
  <si>
    <t>한화에너지</t>
    <phoneticPr fontId="10" type="noConversion"/>
  </si>
  <si>
    <t>오사카시멘트</t>
    <phoneticPr fontId="10" type="noConversion"/>
  </si>
  <si>
    <t>SNNC</t>
    <phoneticPr fontId="10" type="noConversion"/>
  </si>
  <si>
    <t>맥스틸</t>
    <phoneticPr fontId="10" type="noConversion"/>
  </si>
  <si>
    <t>SM GOSEONG</t>
    <phoneticPr fontId="10" type="noConversion"/>
  </si>
  <si>
    <t>U.UTOPIA</t>
    <phoneticPr fontId="10" type="noConversion"/>
  </si>
  <si>
    <t>AUSONE</t>
    <phoneticPr fontId="10" type="noConversion"/>
  </si>
  <si>
    <t>#5</t>
    <phoneticPr fontId="10" type="noConversion"/>
  </si>
  <si>
    <t>#7</t>
    <phoneticPr fontId="10" type="noConversion"/>
  </si>
  <si>
    <t>호주</t>
    <phoneticPr fontId="10" type="noConversion"/>
  </si>
  <si>
    <t>러시아</t>
    <phoneticPr fontId="10" type="noConversion"/>
  </si>
  <si>
    <t>인니</t>
    <phoneticPr fontId="10" type="noConversion"/>
  </si>
  <si>
    <t>니켈</t>
    <phoneticPr fontId="10" type="noConversion"/>
  </si>
  <si>
    <t>SM Diamond</t>
    <phoneticPr fontId="10" type="noConversion"/>
  </si>
  <si>
    <t>Kedros</t>
    <phoneticPr fontId="10" type="noConversion"/>
  </si>
  <si>
    <t>Bright Kowa</t>
    <phoneticPr fontId="10" type="noConversion"/>
  </si>
  <si>
    <t>Golden Hawk</t>
    <phoneticPr fontId="10" type="noConversion"/>
  </si>
  <si>
    <t>NC Sapphire</t>
    <phoneticPr fontId="10" type="noConversion"/>
  </si>
  <si>
    <t>NC Crystal</t>
    <phoneticPr fontId="10" type="noConversion"/>
  </si>
  <si>
    <t>CSU #1,2호기 Feeder BC 교체(4/4~7)</t>
    <phoneticPr fontId="10" type="noConversion"/>
  </si>
  <si>
    <t>Kerembe</t>
    <phoneticPr fontId="10" type="noConversion"/>
  </si>
  <si>
    <t>Santo tomas</t>
    <phoneticPr fontId="10" type="noConversion"/>
  </si>
  <si>
    <t>A805 BC교체(4/17~19)</t>
    <phoneticPr fontId="10" type="noConversion"/>
  </si>
  <si>
    <t>Poya</t>
    <phoneticPr fontId="10" type="noConversion"/>
  </si>
  <si>
    <t>CTS</t>
    <phoneticPr fontId="10" type="noConversion"/>
  </si>
  <si>
    <t>ROYAL FORWARD</t>
    <phoneticPr fontId="10" type="noConversion"/>
  </si>
  <si>
    <t>러시아</t>
    <phoneticPr fontId="10" type="noConversion"/>
  </si>
  <si>
    <t>#5</t>
    <phoneticPr fontId="10" type="noConversion"/>
  </si>
  <si>
    <t>Sheng Wei 18</t>
    <phoneticPr fontId="10" type="noConversion"/>
  </si>
  <si>
    <t>니켈</t>
    <phoneticPr fontId="10" type="noConversion"/>
  </si>
  <si>
    <t>SNNC</t>
    <phoneticPr fontId="10" type="noConversion"/>
  </si>
  <si>
    <t>SM Emerald</t>
    <phoneticPr fontId="10" type="noConversion"/>
  </si>
  <si>
    <t>Aries Sakura</t>
    <phoneticPr fontId="10" type="noConversion"/>
  </si>
  <si>
    <t>Atlantic Tramp</t>
    <phoneticPr fontId="10" type="noConversion"/>
  </si>
  <si>
    <t>Devon Bay</t>
    <phoneticPr fontId="10" type="noConversion"/>
  </si>
  <si>
    <t>한화에너지</t>
    <phoneticPr fontId="10" type="noConversion"/>
  </si>
  <si>
    <t>OCI SE</t>
    <phoneticPr fontId="10" type="noConversion"/>
  </si>
  <si>
    <t>남동발전</t>
    <phoneticPr fontId="10" type="noConversion"/>
  </si>
  <si>
    <t>CTS</t>
    <phoneticPr fontId="10" type="noConversion"/>
  </si>
  <si>
    <t>DL ADONIS</t>
    <phoneticPr fontId="10" type="noConversion"/>
  </si>
  <si>
    <t>Pan Mutiara</t>
    <phoneticPr fontId="10" type="noConversion"/>
  </si>
  <si>
    <t>ADRE</t>
    <phoneticPr fontId="10" type="noConversion"/>
  </si>
  <si>
    <t>IKAN SELIGI</t>
    <phoneticPr fontId="10" type="noConversion"/>
  </si>
  <si>
    <t>#7</t>
    <phoneticPr fontId="10" type="noConversion"/>
  </si>
  <si>
    <t>인니</t>
    <phoneticPr fontId="10" type="noConversion"/>
  </si>
  <si>
    <t>호주</t>
    <phoneticPr fontId="10" type="noConversion"/>
  </si>
  <si>
    <t>미국</t>
    <phoneticPr fontId="10" type="noConversion"/>
  </si>
  <si>
    <t>J-POWER</t>
    <phoneticPr fontId="10" type="noConversion"/>
  </si>
  <si>
    <t>6월</t>
    <phoneticPr fontId="10" type="noConversion"/>
  </si>
  <si>
    <t>니켈</t>
    <phoneticPr fontId="10" type="noConversion"/>
  </si>
  <si>
    <t>SNNC</t>
    <phoneticPr fontId="10" type="noConversion"/>
  </si>
  <si>
    <t>Poya&amp;Ngo</t>
    <phoneticPr fontId="10" type="noConversion"/>
  </si>
  <si>
    <t>#7</t>
    <phoneticPr fontId="10" type="noConversion"/>
  </si>
  <si>
    <t>Sun Vil II</t>
    <phoneticPr fontId="10" type="noConversion"/>
  </si>
  <si>
    <t>Poya</t>
    <phoneticPr fontId="10" type="noConversion"/>
  </si>
  <si>
    <t>CTS</t>
    <phoneticPr fontId="10" type="noConversion"/>
  </si>
  <si>
    <t>CHS COSMOS</t>
    <phoneticPr fontId="10" type="noConversion"/>
  </si>
  <si>
    <t>호주</t>
    <phoneticPr fontId="10" type="noConversion"/>
  </si>
  <si>
    <t>Gemini</t>
    <phoneticPr fontId="10" type="noConversion"/>
  </si>
  <si>
    <t>JR SUMMER</t>
    <phoneticPr fontId="10" type="noConversion"/>
  </si>
  <si>
    <t>남동발전</t>
    <phoneticPr fontId="10" type="noConversion"/>
  </si>
  <si>
    <t>인니</t>
    <phoneticPr fontId="10" type="noConversion"/>
  </si>
  <si>
    <t>Lascombes</t>
    <phoneticPr fontId="10" type="noConversion"/>
  </si>
  <si>
    <t>#6</t>
    <phoneticPr fontId="10" type="noConversion"/>
  </si>
  <si>
    <t>인니</t>
    <phoneticPr fontId="10" type="noConversion"/>
  </si>
  <si>
    <t>이항양하(광양→군산)</t>
    <phoneticPr fontId="10" type="noConversion"/>
  </si>
  <si>
    <t>#7</t>
    <phoneticPr fontId="10" type="noConversion"/>
  </si>
  <si>
    <t>#7</t>
    <phoneticPr fontId="10" type="noConversion"/>
  </si>
  <si>
    <t>Xin zhou Xing</t>
    <phoneticPr fontId="10" type="noConversion"/>
  </si>
  <si>
    <t>렘코</t>
    <phoneticPr fontId="10" type="noConversion"/>
  </si>
  <si>
    <t>니켈</t>
    <phoneticPr fontId="10" type="noConversion"/>
  </si>
  <si>
    <t>SNNC</t>
    <phoneticPr fontId="10" type="noConversion"/>
  </si>
  <si>
    <t>Belafonte</t>
    <phoneticPr fontId="10" type="noConversion"/>
  </si>
  <si>
    <t>#7</t>
    <phoneticPr fontId="10" type="noConversion"/>
  </si>
  <si>
    <t>인니</t>
    <phoneticPr fontId="10" type="noConversion"/>
  </si>
  <si>
    <t>러시아</t>
    <phoneticPr fontId="10" type="noConversion"/>
  </si>
  <si>
    <t>7월</t>
    <phoneticPr fontId="10" type="noConversion"/>
  </si>
  <si>
    <t>CTS</t>
    <phoneticPr fontId="10" type="noConversion"/>
  </si>
  <si>
    <t>태평양시멘트</t>
    <phoneticPr fontId="10" type="noConversion"/>
  </si>
  <si>
    <t>태경비케이</t>
    <phoneticPr fontId="10" type="noConversion"/>
  </si>
  <si>
    <t>SNNC</t>
    <phoneticPr fontId="10" type="noConversion"/>
  </si>
  <si>
    <t>SAFEEN AL NOUR</t>
    <phoneticPr fontId="10" type="noConversion"/>
  </si>
  <si>
    <t>Sweet Venus</t>
    <phoneticPr fontId="10" type="noConversion"/>
  </si>
  <si>
    <t>SEA Empire</t>
    <phoneticPr fontId="10" type="noConversion"/>
  </si>
  <si>
    <t>Dong Hong 8</t>
    <phoneticPr fontId="10" type="noConversion"/>
  </si>
  <si>
    <t>CURIA</t>
    <phoneticPr fontId="10" type="noConversion"/>
  </si>
  <si>
    <t>Woori Sky</t>
    <phoneticPr fontId="10" type="noConversion"/>
  </si>
  <si>
    <t>Bulk Bolivia</t>
    <phoneticPr fontId="10" type="noConversion"/>
  </si>
  <si>
    <t>호주</t>
    <phoneticPr fontId="10" type="noConversion"/>
  </si>
  <si>
    <t>미국</t>
    <phoneticPr fontId="10" type="noConversion"/>
  </si>
  <si>
    <t>니켈</t>
    <phoneticPr fontId="10" type="noConversion"/>
  </si>
  <si>
    <t>Desert Osprey</t>
    <phoneticPr fontId="10" type="noConversion"/>
  </si>
  <si>
    <t>4월</t>
  </si>
  <si>
    <t>5월</t>
  </si>
  <si>
    <t>슬라그</t>
    <phoneticPr fontId="10" type="noConversion"/>
  </si>
  <si>
    <t>수출슬라그</t>
    <phoneticPr fontId="10" type="noConversion"/>
  </si>
  <si>
    <t>육송</t>
    <phoneticPr fontId="10" type="noConversion"/>
  </si>
  <si>
    <t>철송</t>
    <phoneticPr fontId="10" type="noConversion"/>
  </si>
  <si>
    <t>자가</t>
    <phoneticPr fontId="10" type="noConversion"/>
  </si>
  <si>
    <t>비고</t>
    <phoneticPr fontId="10" type="noConversion"/>
  </si>
  <si>
    <t>5기</t>
    <phoneticPr fontId="10" type="noConversion"/>
  </si>
  <si>
    <t>6기</t>
    <phoneticPr fontId="10" type="noConversion"/>
  </si>
  <si>
    <t>합계</t>
    <phoneticPr fontId="10" type="noConversion"/>
  </si>
  <si>
    <t>2월</t>
  </si>
  <si>
    <t>8월</t>
  </si>
  <si>
    <t>9월</t>
  </si>
  <si>
    <t>10월</t>
  </si>
  <si>
    <t>12월</t>
  </si>
  <si>
    <t>Dyna Crane</t>
    <phoneticPr fontId="10" type="noConversion"/>
  </si>
  <si>
    <t>반출척수</t>
    <phoneticPr fontId="10" type="noConversion"/>
  </si>
  <si>
    <t>코크스</t>
    <phoneticPr fontId="10" type="noConversion"/>
  </si>
  <si>
    <t>반출물량</t>
    <phoneticPr fontId="10" type="noConversion"/>
  </si>
  <si>
    <t>CTS</t>
    <phoneticPr fontId="10" type="noConversion"/>
  </si>
  <si>
    <t>환적화물</t>
    <phoneticPr fontId="10" type="noConversion"/>
  </si>
  <si>
    <t>육송</t>
    <phoneticPr fontId="10" type="noConversion"/>
  </si>
  <si>
    <t>자가야드 
이용률</t>
    <phoneticPr fontId="10" type="noConversion"/>
  </si>
  <si>
    <t>수재슬라그</t>
    <phoneticPr fontId="10" type="noConversion"/>
  </si>
  <si>
    <t>코크스
무연탄</t>
    <phoneticPr fontId="10" type="noConversion"/>
  </si>
  <si>
    <t>SGC-E</t>
    <phoneticPr fontId="10" type="noConversion"/>
  </si>
  <si>
    <t>원료부두</t>
    <phoneticPr fontId="10" type="noConversion"/>
  </si>
  <si>
    <t xml:space="preserve">#7선석 목표(1,570천톤) 잔량: </t>
    <phoneticPr fontId="10" type="noConversion"/>
  </si>
  <si>
    <t>T/D</t>
    <phoneticPr fontId="10" type="noConversion"/>
  </si>
  <si>
    <t>착수-완료</t>
    <phoneticPr fontId="10" type="noConversion"/>
  </si>
  <si>
    <t>2026년 1월 반입 예정 선박리스트</t>
    <phoneticPr fontId="16" type="noConversion"/>
  </si>
  <si>
    <t>25년</t>
    <phoneticPr fontId="10" type="noConversion"/>
  </si>
  <si>
    <t>기타</t>
    <phoneticPr fontId="10" type="noConversion"/>
  </si>
  <si>
    <t>6기</t>
    <phoneticPr fontId="10" type="noConversion"/>
  </si>
  <si>
    <t>YANCOAL</t>
    <phoneticPr fontId="10" type="noConversion"/>
  </si>
  <si>
    <t>Belforte</t>
    <phoneticPr fontId="10" type="noConversion"/>
  </si>
  <si>
    <t>니켈슬라그</t>
    <phoneticPr fontId="10" type="noConversion"/>
  </si>
  <si>
    <t>경영계획</t>
    <phoneticPr fontId="10" type="noConversion"/>
  </si>
  <si>
    <t>BIB</t>
    <phoneticPr fontId="10" type="noConversion"/>
  </si>
  <si>
    <t>선박명</t>
    <phoneticPr fontId="11" type="noConversion"/>
  </si>
  <si>
    <t>이적 시작</t>
    <phoneticPr fontId="11" type="noConversion"/>
  </si>
  <si>
    <t>계획량</t>
    <phoneticPr fontId="11" type="noConversion"/>
  </si>
  <si>
    <t>실적</t>
    <phoneticPr fontId="11" type="noConversion"/>
  </si>
  <si>
    <t>청구여부</t>
    <phoneticPr fontId="11" type="noConversion"/>
  </si>
  <si>
    <t>BL</t>
    <phoneticPr fontId="11" type="noConversion"/>
  </si>
  <si>
    <t>SV</t>
    <phoneticPr fontId="10" type="noConversion"/>
  </si>
  <si>
    <t>이적 완료 여부</t>
    <phoneticPr fontId="10" type="noConversion"/>
  </si>
  <si>
    <t>이적 종료(예정)</t>
    <phoneticPr fontId="11" type="noConversion"/>
  </si>
  <si>
    <t>7선석 하역 Schedule</t>
    <phoneticPr fontId="10" type="noConversion"/>
  </si>
  <si>
    <t>포스코</t>
    <phoneticPr fontId="10" type="noConversion"/>
  </si>
  <si>
    <t>망간</t>
    <phoneticPr fontId="10" type="noConversion"/>
  </si>
  <si>
    <t>Bunati</t>
    <phoneticPr fontId="10" type="noConversion"/>
  </si>
  <si>
    <t xml:space="preserve"> </t>
    <phoneticPr fontId="10" type="noConversion"/>
  </si>
  <si>
    <t>창세해운</t>
    <phoneticPr fontId="10" type="noConversion"/>
  </si>
  <si>
    <t>SUPRA</t>
    <phoneticPr fontId="10" type="noConversion"/>
  </si>
  <si>
    <t>Tontouta(SMGM)</t>
    <phoneticPr fontId="10" type="noConversion"/>
  </si>
  <si>
    <t>Ouinne(SMGM)</t>
    <phoneticPr fontId="10" type="noConversion"/>
  </si>
  <si>
    <t>Lolands Wealth</t>
    <phoneticPr fontId="10" type="noConversion"/>
  </si>
  <si>
    <t>C.P</t>
    <phoneticPr fontId="10" type="noConversion"/>
  </si>
  <si>
    <t>CAPE AKAMAS</t>
    <phoneticPr fontId="10" type="noConversion"/>
  </si>
  <si>
    <t>HUI SHUN NO.1</t>
    <phoneticPr fontId="10" type="noConversion"/>
  </si>
  <si>
    <t>ELITE STAR</t>
    <phoneticPr fontId="10" type="noConversion"/>
  </si>
  <si>
    <t>PACIFIC MERIT</t>
    <phoneticPr fontId="10" type="noConversion"/>
  </si>
  <si>
    <t>Cinta</t>
    <phoneticPr fontId="10" type="noConversion"/>
  </si>
  <si>
    <t>Muara Banyuasin</t>
    <phoneticPr fontId="10" type="noConversion"/>
  </si>
  <si>
    <t>AC VICTORY</t>
    <phoneticPr fontId="10" type="noConversion"/>
  </si>
  <si>
    <t>22.96 18.26</t>
    <phoneticPr fontId="10" type="noConversion"/>
  </si>
  <si>
    <t>19.68 18.26</t>
    <phoneticPr fontId="10" type="noConversion"/>
  </si>
  <si>
    <t>16.34 12.96</t>
    <phoneticPr fontId="10" type="noConversion"/>
  </si>
  <si>
    <t>17.10 15.03</t>
    <phoneticPr fontId="10" type="noConversion"/>
  </si>
  <si>
    <t>16.24 13.36</t>
  </si>
  <si>
    <t>19.20 17.60</t>
    <phoneticPr fontId="10" type="noConversion"/>
  </si>
  <si>
    <t>13.60 16.00</t>
    <phoneticPr fontId="10" type="noConversion"/>
  </si>
  <si>
    <t>13.20X13.05</t>
    <phoneticPr fontId="10" type="noConversion"/>
  </si>
  <si>
    <t>17.20 15.00</t>
    <phoneticPr fontId="10" type="noConversion"/>
  </si>
  <si>
    <t>SNNC 요청으로 NCS보다 선 접안</t>
    <phoneticPr fontId="10" type="noConversion"/>
  </si>
  <si>
    <t>STAR LAMBADA</t>
    <phoneticPr fontId="10" type="noConversion"/>
  </si>
  <si>
    <t>SEA HOPE</t>
    <phoneticPr fontId="10" type="noConversion"/>
  </si>
  <si>
    <t>TIGER NORTH</t>
    <phoneticPr fontId="10" type="noConversion"/>
  </si>
  <si>
    <t>15.48 14.40</t>
    <phoneticPr fontId="10" type="noConversion"/>
  </si>
  <si>
    <t>14.62 13.20</t>
    <phoneticPr fontId="10" type="noConversion"/>
  </si>
  <si>
    <t>XIN HAI TONG 806</t>
    <phoneticPr fontId="10" type="noConversion"/>
  </si>
  <si>
    <t>TIANJIN</t>
    <phoneticPr fontId="10" type="noConversion"/>
  </si>
  <si>
    <t>#15, 14 Silo (55천톤)/ 분진과다 시 증빙자료 남기기</t>
    <phoneticPr fontId="10" type="noConversion"/>
  </si>
  <si>
    <t>VNT</t>
    <phoneticPr fontId="10" type="noConversion"/>
  </si>
  <si>
    <t>EB</t>
    <phoneticPr fontId="10" type="noConversion"/>
  </si>
  <si>
    <t>12.80X14.70</t>
    <phoneticPr fontId="10" type="noConversion"/>
  </si>
  <si>
    <t>VANCOUVER</t>
    <phoneticPr fontId="10" type="noConversion"/>
  </si>
  <si>
    <t>14.7 X 12.8</t>
    <phoneticPr fontId="10" type="noConversion"/>
  </si>
  <si>
    <t>17.3 X 15.0</t>
    <phoneticPr fontId="10" type="noConversion"/>
  </si>
  <si>
    <t>2025년 12월 반입 선박리스트</t>
    <phoneticPr fontId="10" type="noConversion"/>
  </si>
  <si>
    <t>2026년 1월 반입 선박리스트</t>
    <phoneticPr fontId="10" type="noConversion"/>
  </si>
  <si>
    <t>2026년 2월 반입 선박리스트</t>
    <phoneticPr fontId="10" type="noConversion"/>
  </si>
  <si>
    <t>2026년 4월 반입 예정 선박리스트</t>
    <phoneticPr fontId="10" type="noConversion"/>
  </si>
  <si>
    <t>2026년 3월 반입 예정 선박리스트</t>
    <phoneticPr fontId="10" type="noConversion"/>
  </si>
  <si>
    <t>2026년 5월 반입 예정 선박리스트</t>
    <phoneticPr fontId="10" type="noConversion"/>
  </si>
  <si>
    <t>2026년 6월 반입 예정 선박리스트</t>
    <phoneticPr fontId="10" type="noConversion"/>
  </si>
  <si>
    <t>2026년 7월 반입 예정 선박리스트</t>
    <phoneticPr fontId="10" type="noConversion"/>
  </si>
  <si>
    <t>2026년 8월 반입 예정 선박리스트</t>
    <phoneticPr fontId="10" type="noConversion"/>
  </si>
  <si>
    <t>2026년 9월 반입 예정 선박리스트</t>
    <phoneticPr fontId="10" type="noConversion"/>
  </si>
  <si>
    <t>2026년 10월 반입 예정 선박리스트</t>
    <phoneticPr fontId="10" type="noConversion"/>
  </si>
  <si>
    <t>2026년 11월 반입 예정 선박리스트</t>
    <phoneticPr fontId="10" type="noConversion"/>
  </si>
  <si>
    <t>2026년 12월 반입 예정 선박리스트</t>
    <phoneticPr fontId="10" type="noConversion"/>
  </si>
  <si>
    <t>2027년 01월 반입 예정 선박리스트</t>
    <phoneticPr fontId="10" type="noConversion"/>
  </si>
  <si>
    <t>2027년 2~3월 반입 예정 선박리스트</t>
    <phoneticPr fontId="10" type="noConversion"/>
  </si>
  <si>
    <t>Tanjung Bara</t>
    <phoneticPr fontId="10" type="noConversion"/>
  </si>
  <si>
    <t>2027년 1월 반입 예정 선박리스트</t>
    <phoneticPr fontId="16" type="noConversion"/>
  </si>
  <si>
    <t>2026년 12월 반입 예정 선박리스트</t>
    <phoneticPr fontId="16" type="noConversion"/>
  </si>
  <si>
    <t>2026년 11월 반입 예정 선박리스트</t>
    <phoneticPr fontId="16" type="noConversion"/>
  </si>
  <si>
    <t>2026년 10월 반입 예정 선박리스트</t>
    <phoneticPr fontId="16" type="noConversion"/>
  </si>
  <si>
    <t>2026년 9월 반입 예정 선박리스트</t>
    <phoneticPr fontId="16" type="noConversion"/>
  </si>
  <si>
    <t>2026년 8월 반입 예정 선박리스트</t>
    <phoneticPr fontId="16" type="noConversion"/>
  </si>
  <si>
    <t>2026년 7월 반입 예정 선박리스트</t>
    <phoneticPr fontId="16" type="noConversion"/>
  </si>
  <si>
    <t>2026년 6월 반입 예정 선박리스트</t>
    <phoneticPr fontId="16" type="noConversion"/>
  </si>
  <si>
    <t>2026년 5월 반입 예정 선박리스트</t>
    <phoneticPr fontId="16" type="noConversion"/>
  </si>
  <si>
    <t>2026년 4월 반입 예정 선박리스트</t>
    <phoneticPr fontId="16" type="noConversion"/>
  </si>
  <si>
    <t>2026년 3월 반입 예정 선박리스트</t>
    <phoneticPr fontId="16" type="noConversion"/>
  </si>
  <si>
    <t>2026년 2월 반입 예정 선박리스트</t>
    <phoneticPr fontId="16" type="noConversion"/>
  </si>
  <si>
    <t>Wooyang Queen</t>
    <phoneticPr fontId="10" type="noConversion"/>
  </si>
  <si>
    <t>CL Luzhou</t>
    <phoneticPr fontId="10" type="noConversion"/>
  </si>
  <si>
    <t>Western Santiago</t>
    <phoneticPr fontId="10" type="noConversion"/>
  </si>
  <si>
    <t>VNT(2,3,5,7H)_D야드 20천톤, V야드 27천톤
E.B(1,4,6H)_#21 Silo 21천톤, J야드 8천톤</t>
    <phoneticPr fontId="10" type="noConversion"/>
  </si>
  <si>
    <t>X 20-210</t>
    <phoneticPr fontId="10" type="noConversion"/>
  </si>
  <si>
    <t>Y 290-170</t>
    <phoneticPr fontId="10" type="noConversion"/>
  </si>
  <si>
    <t>2026년 1월</t>
    <phoneticPr fontId="10" type="noConversion"/>
  </si>
  <si>
    <t>2026년 2월</t>
    <phoneticPr fontId="10" type="noConversion"/>
  </si>
  <si>
    <t>2026년 3월</t>
    <phoneticPr fontId="10" type="noConversion"/>
  </si>
  <si>
    <t>2026년 4월</t>
    <phoneticPr fontId="10" type="noConversion"/>
  </si>
  <si>
    <t>GOLDEN ROSE</t>
    <phoneticPr fontId="10" type="noConversion"/>
  </si>
  <si>
    <t>TABONEO</t>
  </si>
  <si>
    <t>PANA</t>
  </si>
  <si>
    <t>14.79 15.20</t>
    <phoneticPr fontId="10" type="noConversion"/>
  </si>
  <si>
    <t>15.66 15.20</t>
    <phoneticPr fontId="10" type="noConversion"/>
  </si>
  <si>
    <t>TANJUNG BARA</t>
    <phoneticPr fontId="10" type="noConversion"/>
  </si>
  <si>
    <t>3/1 ~ 5</t>
    <phoneticPr fontId="10" type="noConversion"/>
  </si>
  <si>
    <t>GSG</t>
    <phoneticPr fontId="10" type="noConversion"/>
  </si>
  <si>
    <t>러시아/호주</t>
    <phoneticPr fontId="10" type="noConversion"/>
  </si>
  <si>
    <t>3/18 ~ 20</t>
    <phoneticPr fontId="10" type="noConversion"/>
  </si>
  <si>
    <t>4/15 ~ 30</t>
    <phoneticPr fontId="10" type="noConversion"/>
  </si>
  <si>
    <t>BAH</t>
    <phoneticPr fontId="10" type="noConversion"/>
  </si>
  <si>
    <t>Tomini Unity</t>
    <phoneticPr fontId="10" type="noConversion"/>
  </si>
  <si>
    <t>South Gate</t>
    <phoneticPr fontId="10" type="noConversion"/>
  </si>
  <si>
    <t>M.pe</t>
    <phoneticPr fontId="10" type="noConversion"/>
  </si>
  <si>
    <t>COL</t>
    <phoneticPr fontId="10" type="noConversion"/>
  </si>
  <si>
    <t>SHC</t>
    <phoneticPr fontId="10" type="noConversion"/>
  </si>
  <si>
    <t>SCK.IMU</t>
    <phoneticPr fontId="10" type="noConversion"/>
  </si>
  <si>
    <t>SMM</t>
    <phoneticPr fontId="10" type="noConversion"/>
  </si>
  <si>
    <t>ATHENS TRADERS</t>
    <phoneticPr fontId="10" type="noConversion"/>
  </si>
  <si>
    <t>#15사일로 35천톤</t>
    <phoneticPr fontId="10" type="noConversion"/>
  </si>
  <si>
    <t>사일로 25천톤</t>
    <phoneticPr fontId="10" type="noConversion"/>
  </si>
  <si>
    <t>#14, 15 사일로 35천톤</t>
    <phoneticPr fontId="10" type="noConversion"/>
  </si>
  <si>
    <t>사일로 20천톤</t>
    <phoneticPr fontId="10" type="noConversion"/>
  </si>
  <si>
    <t>X 0-180
Y 0-90</t>
    <phoneticPr fontId="10" type="noConversion"/>
  </si>
  <si>
    <t>Y 200-400
X 180-280</t>
    <phoneticPr fontId="10" type="noConversion"/>
  </si>
  <si>
    <t>BAT</t>
    <phoneticPr fontId="10" type="noConversion"/>
  </si>
  <si>
    <t>15.66 15.00</t>
    <phoneticPr fontId="10" type="noConversion"/>
  </si>
  <si>
    <t>13.05 13.20</t>
    <phoneticPr fontId="10" type="noConversion"/>
  </si>
  <si>
    <t>3/15 ~ 20</t>
    <phoneticPr fontId="10" type="noConversion"/>
  </si>
  <si>
    <t>4/15 ~ 22</t>
    <phoneticPr fontId="10" type="noConversion"/>
  </si>
  <si>
    <t>4/25 ~ 30</t>
    <phoneticPr fontId="10" type="noConversion"/>
  </si>
  <si>
    <t>5/25 ~ 5/30</t>
    <phoneticPr fontId="10" type="noConversion"/>
  </si>
  <si>
    <t>구탄 소진 후 반출</t>
    <phoneticPr fontId="10" type="noConversion"/>
  </si>
  <si>
    <t>QINGHE</t>
    <phoneticPr fontId="10" type="noConversion"/>
  </si>
  <si>
    <t>TONG DE 56</t>
    <phoneticPr fontId="10" type="noConversion"/>
  </si>
  <si>
    <t>* 2026년 누계</t>
    <phoneticPr fontId="10" type="noConversion"/>
  </si>
  <si>
    <t>포스코(척)</t>
    <phoneticPr fontId="10" type="noConversion"/>
  </si>
  <si>
    <t>포스코(물량)</t>
    <phoneticPr fontId="10" type="noConversion"/>
  </si>
  <si>
    <t>ETA 3.25로 지연, 대수리 일정과 중복으로 접안 불가</t>
    <phoneticPr fontId="10" type="noConversion"/>
  </si>
  <si>
    <t>0(40,000)</t>
    <phoneticPr fontId="10" type="noConversion"/>
  </si>
  <si>
    <t>PENG XIANG ZHOU</t>
    <phoneticPr fontId="10" type="noConversion"/>
  </si>
  <si>
    <r>
      <t>사일로 40천톤</t>
    </r>
    <r>
      <rPr>
        <sz val="10"/>
        <rFont val="맑은 고딕"/>
        <family val="3"/>
        <charset val="129"/>
        <scheme val="major"/>
      </rPr>
      <t xml:space="preserve"> (대형선박, TOND DE 56 &amp; DOU KATO로 분할 입항)</t>
    </r>
    <phoneticPr fontId="10" type="noConversion"/>
  </si>
  <si>
    <t>COH</t>
    <phoneticPr fontId="10" type="noConversion"/>
  </si>
  <si>
    <t>DOU KATO</t>
    <phoneticPr fontId="10" type="noConversion"/>
  </si>
  <si>
    <t>SCH</t>
    <phoneticPr fontId="10" type="noConversion"/>
  </si>
  <si>
    <t>#4 사일로 2.5/ ORIENTAL ENTERPRISE 대형선박으로 취소되어 #7 재반영</t>
    <phoneticPr fontId="10" type="noConversion"/>
  </si>
  <si>
    <t>사일로 25천톤(미정/ ORIENTAL ENTERPRISE 대형선박으로 취소되어 #7 재반영</t>
    <phoneticPr fontId="10" type="noConversion"/>
  </si>
  <si>
    <t>(0)75000</t>
    <phoneticPr fontId="10" type="noConversion"/>
  </si>
  <si>
    <t>2.9(월) 포항 → 광양 #5선석 접안 예정 XO COPENHAGEN이 입항 지연
 → 2.11(수) 원료부두 공선석 발생, 2.9 ~ 2.11에 일부 하역 후 #7선석 입항/ 수분 과다로 전량 이적</t>
    <phoneticPr fontId="10" type="noConversion"/>
  </si>
  <si>
    <t>#4 사일로 40천톤</t>
    <phoneticPr fontId="10" type="noConversion"/>
  </si>
  <si>
    <t>2.19 오전 통관 예정</t>
    <phoneticPr fontId="10" type="noConversion"/>
  </si>
  <si>
    <t>LUCKY LOONG</t>
    <phoneticPr fontId="10" type="noConversion"/>
  </si>
  <si>
    <t>CCS Orchid</t>
    <phoneticPr fontId="10" type="noConversion"/>
  </si>
  <si>
    <t>H.C</t>
    <phoneticPr fontId="10" type="noConversion"/>
  </si>
  <si>
    <t>페루</t>
    <phoneticPr fontId="10" type="noConversion"/>
  </si>
  <si>
    <t>콜롬비아</t>
    <phoneticPr fontId="10" type="noConversion"/>
  </si>
  <si>
    <t>15.48 13.3</t>
    <phoneticPr fontId="10" type="noConversion"/>
  </si>
  <si>
    <t>15.48 15.0</t>
    <phoneticPr fontId="10" type="noConversion"/>
  </si>
  <si>
    <t>VOSTOCHNY</t>
    <phoneticPr fontId="10" type="noConversion"/>
  </si>
  <si>
    <t>15.48 15.03</t>
    <phoneticPr fontId="10" type="noConversion"/>
  </si>
  <si>
    <t>15.48 13.0</t>
    <phoneticPr fontId="10" type="noConversion"/>
  </si>
  <si>
    <t>20.25 15.8</t>
    <phoneticPr fontId="10" type="noConversion"/>
  </si>
  <si>
    <t>16.5 15.8</t>
    <phoneticPr fontId="10" type="noConversion"/>
  </si>
  <si>
    <t>(0)25000</t>
    <phoneticPr fontId="10" type="noConversion"/>
  </si>
  <si>
    <t>O.N</t>
    <phoneticPr fontId="10" type="noConversion"/>
  </si>
  <si>
    <t>#20사일로 45천톤</t>
    <phoneticPr fontId="10" type="noConversion"/>
  </si>
  <si>
    <t>SALAVERRY</t>
    <phoneticPr fontId="10" type="noConversion"/>
  </si>
  <si>
    <t>DOLPHIN 76</t>
    <phoneticPr fontId="10" type="noConversion"/>
  </si>
  <si>
    <t>WOOYANG FRIEND</t>
    <phoneticPr fontId="10" type="noConversion"/>
  </si>
  <si>
    <t>4/26 ~ 5/6</t>
    <phoneticPr fontId="10" type="noConversion"/>
  </si>
  <si>
    <t>Aquapride</t>
    <phoneticPr fontId="10" type="noConversion"/>
  </si>
  <si>
    <t>SEACON DUBAI</t>
    <phoneticPr fontId="10" type="noConversion"/>
  </si>
  <si>
    <t>Santo Tomas
(Guatemala)</t>
    <phoneticPr fontId="10" type="noConversion"/>
  </si>
  <si>
    <t>#2 10,999톤</t>
    <phoneticPr fontId="10" type="noConversion"/>
  </si>
  <si>
    <t>GOLDEN ROSE</t>
  </si>
  <si>
    <t>TIGER NORTH</t>
  </si>
  <si>
    <t>DBCT</t>
    <phoneticPr fontId="10" type="noConversion"/>
  </si>
  <si>
    <t>BUENAVENTURA</t>
    <phoneticPr fontId="10" type="noConversion"/>
  </si>
  <si>
    <t>떠먹기</t>
    <phoneticPr fontId="10" type="noConversion"/>
  </si>
  <si>
    <t>TIAN CHENG</t>
    <phoneticPr fontId="10" type="noConversion"/>
  </si>
  <si>
    <t>HE SHUN AN</t>
    <phoneticPr fontId="10" type="noConversion"/>
  </si>
  <si>
    <t>BTS</t>
    <phoneticPr fontId="10" type="noConversion"/>
  </si>
  <si>
    <t>MG MERCURY</t>
    <phoneticPr fontId="10" type="noConversion"/>
  </si>
  <si>
    <t>MAKEDONIKOS</t>
    <phoneticPr fontId="10" type="noConversion"/>
  </si>
  <si>
    <t>Medi Perth</t>
    <phoneticPr fontId="10" type="noConversion"/>
  </si>
  <si>
    <t>Nakety(SMT)</t>
    <phoneticPr fontId="10" type="noConversion"/>
  </si>
  <si>
    <t>Karembe(SMT)</t>
    <phoneticPr fontId="10" type="noConversion"/>
  </si>
  <si>
    <t>TANJUNG KAMPEH</t>
  </si>
  <si>
    <t>VISTA</t>
  </si>
  <si>
    <t>ADARO</t>
  </si>
  <si>
    <t>WESTSHORE</t>
  </si>
  <si>
    <t>UMA NAREE</t>
    <phoneticPr fontId="10" type="noConversion"/>
  </si>
  <si>
    <t>CSU#1 Stay bar 교체로 인한 장기 대기</t>
    <phoneticPr fontId="10" type="noConversion"/>
  </si>
  <si>
    <t>#17 43,643톤</t>
    <phoneticPr fontId="10" type="noConversion"/>
  </si>
  <si>
    <t>전량 이적</t>
    <phoneticPr fontId="10" type="noConversion"/>
  </si>
  <si>
    <t>Xin Zhi Sea</t>
    <phoneticPr fontId="10" type="noConversion"/>
  </si>
  <si>
    <t>Kellet Island</t>
    <phoneticPr fontId="10" type="noConversion"/>
  </si>
  <si>
    <t>MING YU 168</t>
    <phoneticPr fontId="10" type="noConversion"/>
  </si>
  <si>
    <t>계약서 미수리, 잠정 반영</t>
    <phoneticPr fontId="10" type="noConversion"/>
  </si>
  <si>
    <t>VOSTONCHINY</t>
    <phoneticPr fontId="10" type="noConversion"/>
  </si>
  <si>
    <t>5/20 ~ 30</t>
    <phoneticPr fontId="10" type="noConversion"/>
  </si>
  <si>
    <t>5/25 ~ 30</t>
    <phoneticPr fontId="10" type="noConversion"/>
  </si>
  <si>
    <t>떠먹기, 대수리 일정 중복으로 장기대기</t>
    <phoneticPr fontId="10" type="noConversion"/>
  </si>
  <si>
    <t xml:space="preserve"> SNNC 요청으로 후순위 작업</t>
    <phoneticPr fontId="10" type="noConversion"/>
  </si>
  <si>
    <t>#13 사일로 40천톤</t>
    <phoneticPr fontId="10" type="noConversion"/>
  </si>
  <si>
    <t>미정</t>
    <phoneticPr fontId="10" type="noConversion"/>
  </si>
  <si>
    <t>PU SHENG 6</t>
    <phoneticPr fontId="10" type="noConversion"/>
  </si>
  <si>
    <t>CCG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</si>
</sst>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176" formatCode="mm\/dd\ hh:mm"/>
    <numFmt numFmtId="177" formatCode="#,##0_ "/>
    <numFmt numFmtId="178" formatCode="#,##0_);[Red]\(#,##0\)"/>
    <numFmt numFmtId="179" formatCode="0.0_);[Red]\(0.0\)"/>
    <numFmt numFmtId="180" formatCode="0.00_);[Red]\(0.00\)"/>
    <numFmt numFmtId="181" formatCode="#,##0.00_);[Red]\(#,##0.00\)"/>
    <numFmt numFmtId="182" formatCode="mm\/dd"/>
    <numFmt numFmtId="183" formatCode="#,##0.00_ "/>
    <numFmt numFmtId="184" formatCode="#,##0.0_ "/>
    <numFmt numFmtId="185" formatCode="_-* #,##0.0_-;\-* #,##0.0_-;_-* &quot;-&quot;_-;_-@_-"/>
    <numFmt numFmtId="186" formatCode="#,###_ "/>
    <numFmt numFmtId="187" formatCode="yyyy\.mm"/>
    <numFmt numFmtId="188" formatCode="[h]:mm"/>
    <numFmt numFmtId="189" formatCode="mm/dd\ hh:mm"/>
    <numFmt numFmtId="190" formatCode="0.0%"/>
    <numFmt numFmtId="191" formatCode="0_);[Red]\(0\)"/>
    <numFmt numFmtId="192" formatCode="#,###.00_ "/>
    <numFmt numFmtId="193" formatCode="mm&quot;월&quot;\ dd&quot;일&quot;"/>
    <numFmt numFmtId="194" formatCode="#,###.##_ "/>
    <numFmt numFmtId="195" formatCode="#,##0_ ;[Red]\-#,##0\ "/>
    <numFmt numFmtId="196" formatCode="#,###_ ;[Red]\-#,###\ "/>
    <numFmt numFmtId="197" formatCode="#,###.0_ "/>
    <numFmt numFmtId="198" formatCode="m\/d"/>
    <numFmt numFmtId="199" formatCode="#,###.0_ ;[Red]\-#,###.0\ "/>
    <numFmt numFmtId="200" formatCode="mm\/dd\ "/>
    <numFmt numFmtId="201" formatCode="#,"/>
    <numFmt numFmtId="202" formatCode="0_ "/>
    <numFmt numFmtId="203" formatCode="0.00_ "/>
    <numFmt numFmtId="204" formatCode="m&quot;/&quot;d;@"/>
  </numFmts>
  <fonts count="7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4"/>
      <color rgb="FFFFFFFF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name val="굴림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name val="굴림"/>
      <family val="3"/>
      <charset val="129"/>
    </font>
    <font>
      <b/>
      <sz val="10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b/>
      <sz val="15"/>
      <color rgb="FFFFFFFF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0"/>
      <color rgb="FFFFFFFF"/>
      <name val="맑은 고딕"/>
      <family val="3"/>
      <charset val="129"/>
      <scheme val="major"/>
    </font>
    <font>
      <b/>
      <sz val="8"/>
      <color rgb="FFFFFFFF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15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2"/>
      <charset val="129"/>
    </font>
    <font>
      <sz val="11"/>
      <name val="맑은 고딕"/>
      <family val="2"/>
      <charset val="129"/>
    </font>
    <font>
      <sz val="9"/>
      <color indexed="81"/>
      <name val="돋움"/>
      <family val="3"/>
      <charset val="129"/>
    </font>
    <font>
      <sz val="10"/>
      <color rgb="FF0000FF"/>
      <name val="맑은 고딕"/>
      <family val="3"/>
      <charset val="129"/>
      <scheme val="major"/>
    </font>
    <font>
      <sz val="1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0"/>
      <color rgb="FF0000FF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0"/>
      <color theme="1"/>
      <name val="Arial"/>
      <family val="2"/>
    </font>
    <font>
      <sz val="11"/>
      <color rgb="FFEE0000"/>
      <name val="맑은 고딕"/>
      <family val="2"/>
      <charset val="129"/>
      <scheme val="minor"/>
    </font>
    <font>
      <b/>
      <sz val="11"/>
      <name val="맑은 고딕"/>
      <family val="3"/>
      <charset val="129"/>
      <scheme val="major"/>
    </font>
    <font>
      <b/>
      <sz val="9"/>
      <color rgb="FFFFFFFF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  <font>
      <sz val="9"/>
      <color rgb="FF000000"/>
      <name val="Malgun Gothic"/>
      <family val="3"/>
      <charset val="129"/>
    </font>
    <font>
      <strike/>
      <sz val="10"/>
      <name val="맑은 고딕"/>
      <family val="3"/>
      <charset val="129"/>
      <scheme val="major"/>
    </font>
  </fonts>
  <fills count="21">
    <fill>
      <patternFill patternType="none"/>
    </fill>
    <fill>
      <patternFill patternType="gray125"/>
    </fill>
    <fill>
      <patternFill patternType="solid">
        <fgColor rgb="FF99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EC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132">
    <border>
      <left/>
      <right/>
      <top/>
      <bottom/>
      <diagonal/>
    </border>
    <border>
      <left style="thin">
        <color rgb="FFEB8764"/>
      </left>
      <right style="thin">
        <color rgb="FFEB87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auto="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rgb="FFEB8764"/>
      </bottom>
      <diagonal/>
    </border>
    <border>
      <left/>
      <right/>
      <top style="thin">
        <color auto="1"/>
      </top>
      <bottom style="thin">
        <color rgb="FFEB8764"/>
      </bottom>
      <diagonal/>
    </border>
    <border>
      <left/>
      <right style="thin">
        <color auto="1"/>
      </right>
      <top style="thin">
        <color auto="1"/>
      </top>
      <bottom style="thin">
        <color rgb="FFEB8764"/>
      </bottom>
      <diagonal/>
    </border>
    <border>
      <left style="thin">
        <color auto="1"/>
      </left>
      <right style="thin">
        <color rgb="FFEB8764"/>
      </right>
      <top/>
      <bottom/>
      <diagonal/>
    </border>
    <border>
      <left style="thin">
        <color rgb="FFEB8764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EB8764"/>
      </bottom>
      <diagonal/>
    </border>
    <border>
      <left/>
      <right/>
      <top style="medium">
        <color indexed="64"/>
      </top>
      <bottom style="thin">
        <color rgb="FFEB8764"/>
      </bottom>
      <diagonal/>
    </border>
    <border>
      <left/>
      <right style="medium">
        <color indexed="64"/>
      </right>
      <top style="medium">
        <color indexed="64"/>
      </top>
      <bottom style="thin">
        <color rgb="FFEB8764"/>
      </bottom>
      <diagonal/>
    </border>
    <border>
      <left style="medium">
        <color indexed="64"/>
      </left>
      <right style="thin">
        <color rgb="FFEB8764"/>
      </right>
      <top/>
      <bottom/>
      <diagonal/>
    </border>
    <border>
      <left style="thin">
        <color rgb="FFEB87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thin">
        <color theme="2" tint="-0.24994659260841701"/>
      </right>
      <top style="medium">
        <color indexed="64"/>
      </top>
      <bottom/>
      <diagonal/>
    </border>
    <border>
      <left style="thin">
        <color theme="2" tint="-0.2499465926084170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2" tint="-0.24994659260841701"/>
      </right>
      <top/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B8764"/>
      </left>
      <right/>
      <top/>
      <bottom/>
      <diagonal/>
    </border>
    <border>
      <left style="thin">
        <color theme="2" tint="-0.24994659260841701"/>
      </left>
      <right/>
      <top/>
      <bottom/>
      <diagonal/>
    </border>
    <border>
      <left style="thin">
        <color theme="2" tint="-0.24994659260841701"/>
      </left>
      <right/>
      <top/>
      <bottom style="medium">
        <color indexed="64"/>
      </bottom>
      <diagonal/>
    </border>
    <border>
      <left style="thin">
        <color theme="2" tint="-0.24994659260841701"/>
      </left>
      <right/>
      <top style="medium">
        <color indexed="64"/>
      </top>
      <bottom/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2" tint="-0.2499465926084170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0" tint="-0.24994659260841701"/>
      </left>
      <right style="thin">
        <color theme="2" tint="-0.2499465926084170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2" tint="-0.24994659260841701"/>
      </left>
      <right style="thin">
        <color theme="0" tint="-0.249977111117893"/>
      </right>
      <top/>
      <bottom/>
      <diagonal/>
    </border>
    <border>
      <left style="thin">
        <color auto="1"/>
      </left>
      <right style="thin">
        <color theme="2" tint="-0.2499465926084170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6">
    <xf numFmtId="0" fontId="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43" fillId="0" borderId="0"/>
    <xf numFmtId="41" fontId="43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43" fillId="0" borderId="0"/>
    <xf numFmtId="41" fontId="2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</cellStyleXfs>
  <cellXfs count="1213">
    <xf numFmtId="0" fontId="0" fillId="0" borderId="0" xfId="0">
      <alignment vertical="center"/>
    </xf>
    <xf numFmtId="0" fontId="12" fillId="3" borderId="0" xfId="0" applyFont="1" applyFill="1" applyAlignment="1"/>
    <xf numFmtId="0" fontId="17" fillId="3" borderId="5" xfId="0" applyFont="1" applyFill="1" applyBorder="1" applyAlignment="1">
      <alignment horizontal="center"/>
    </xf>
    <xf numFmtId="176" fontId="17" fillId="3" borderId="5" xfId="0" applyNumberFormat="1" applyFont="1" applyFill="1" applyBorder="1" applyAlignment="1">
      <alignment horizontal="center"/>
    </xf>
    <xf numFmtId="177" fontId="17" fillId="3" borderId="5" xfId="0" applyNumberFormat="1" applyFont="1" applyFill="1" applyBorder="1" applyAlignment="1">
      <alignment horizontal="center"/>
    </xf>
    <xf numFmtId="0" fontId="14" fillId="3" borderId="0" xfId="0" applyFont="1" applyFill="1" applyAlignment="1"/>
    <xf numFmtId="0" fontId="17" fillId="3" borderId="3" xfId="0" applyFont="1" applyFill="1" applyBorder="1" applyAlignment="1">
      <alignment shrinkToFit="1"/>
    </xf>
    <xf numFmtId="0" fontId="17" fillId="3" borderId="12" xfId="0" applyFont="1" applyFill="1" applyBorder="1" applyAlignment="1">
      <alignment horizontal="center"/>
    </xf>
    <xf numFmtId="0" fontId="17" fillId="3" borderId="12" xfId="0" applyFont="1" applyFill="1" applyBorder="1" applyAlignment="1">
      <alignment horizontal="center" vertical="center"/>
    </xf>
    <xf numFmtId="179" fontId="17" fillId="3" borderId="5" xfId="0" applyNumberFormat="1" applyFont="1" applyFill="1" applyBorder="1" applyAlignment="1">
      <alignment horizontal="center" vertical="center"/>
    </xf>
    <xf numFmtId="176" fontId="12" fillId="3" borderId="0" xfId="0" applyNumberFormat="1" applyFont="1" applyFill="1" applyAlignment="1"/>
    <xf numFmtId="177" fontId="12" fillId="3" borderId="0" xfId="0" applyNumberFormat="1" applyFont="1" applyFill="1" applyAlignment="1"/>
    <xf numFmtId="0" fontId="12" fillId="3" borderId="0" xfId="0" applyFont="1" applyFill="1" applyAlignment="1">
      <alignment shrinkToFit="1"/>
    </xf>
    <xf numFmtId="0" fontId="12" fillId="3" borderId="0" xfId="0" applyFont="1" applyFill="1" applyAlignment="1">
      <alignment horizontal="center" shrinkToFit="1"/>
    </xf>
    <xf numFmtId="0" fontId="12" fillId="3" borderId="0" xfId="0" applyFont="1" applyFill="1" applyAlignment="1">
      <alignment horizontal="center"/>
    </xf>
    <xf numFmtId="178" fontId="12" fillId="3" borderId="0" xfId="0" applyNumberFormat="1" applyFont="1" applyFill="1" applyAlignment="1"/>
    <xf numFmtId="179" fontId="12" fillId="3" borderId="0" xfId="0" applyNumberFormat="1" applyFont="1" applyFill="1" applyAlignment="1"/>
    <xf numFmtId="0" fontId="13" fillId="4" borderId="9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76" fontId="13" fillId="4" borderId="1" xfId="0" applyNumberFormat="1" applyFont="1" applyFill="1" applyBorder="1" applyAlignment="1">
      <alignment horizontal="center" vertical="center" wrapText="1"/>
    </xf>
    <xf numFmtId="177" fontId="13" fillId="4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shrinkToFit="1"/>
    </xf>
    <xf numFmtId="178" fontId="13" fillId="4" borderId="1" xfId="0" applyNumberFormat="1" applyFont="1" applyFill="1" applyBorder="1" applyAlignment="1">
      <alignment horizontal="center" vertical="center" wrapText="1"/>
    </xf>
    <xf numFmtId="179" fontId="13" fillId="4" borderId="1" xfId="0" applyNumberFormat="1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shrinkToFit="1"/>
    </xf>
    <xf numFmtId="181" fontId="18" fillId="5" borderId="5" xfId="0" applyNumberFormat="1" applyFont="1" applyFill="1" applyBorder="1" applyAlignment="1">
      <alignment horizontal="center"/>
    </xf>
    <xf numFmtId="181" fontId="18" fillId="5" borderId="5" xfId="0" applyNumberFormat="1" applyFont="1" applyFill="1" applyBorder="1" applyAlignment="1">
      <alignment horizontal="center" shrinkToFit="1"/>
    </xf>
    <xf numFmtId="177" fontId="18" fillId="5" borderId="5" xfId="0" applyNumberFormat="1" applyFont="1" applyFill="1" applyBorder="1" applyAlignment="1">
      <alignment horizontal="center"/>
    </xf>
    <xf numFmtId="177" fontId="18" fillId="5" borderId="4" xfId="0" applyNumberFormat="1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/>
    </xf>
    <xf numFmtId="176" fontId="17" fillId="5" borderId="5" xfId="0" applyNumberFormat="1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 shrinkToFit="1"/>
    </xf>
    <xf numFmtId="178" fontId="17" fillId="5" borderId="5" xfId="0" applyNumberFormat="1" applyFont="1" applyFill="1" applyBorder="1" applyAlignment="1">
      <alignment horizontal="center"/>
    </xf>
    <xf numFmtId="179" fontId="17" fillId="5" borderId="5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shrinkToFit="1"/>
    </xf>
    <xf numFmtId="0" fontId="17" fillId="5" borderId="11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176" fontId="17" fillId="5" borderId="4" xfId="0" applyNumberFormat="1" applyFont="1" applyFill="1" applyBorder="1" applyAlignment="1">
      <alignment horizontal="center" vertical="center" wrapText="1"/>
    </xf>
    <xf numFmtId="180" fontId="17" fillId="5" borderId="4" xfId="0" applyNumberFormat="1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vertical="center" wrapText="1"/>
    </xf>
    <xf numFmtId="0" fontId="17" fillId="3" borderId="26" xfId="0" applyFont="1" applyFill="1" applyBorder="1" applyAlignment="1">
      <alignment horizontal="center" shrinkToFit="1"/>
    </xf>
    <xf numFmtId="0" fontId="17" fillId="3" borderId="26" xfId="0" applyFont="1" applyFill="1" applyBorder="1" applyAlignment="1">
      <alignment horizontal="center"/>
    </xf>
    <xf numFmtId="178" fontId="17" fillId="3" borderId="26" xfId="0" applyNumberFormat="1" applyFont="1" applyFill="1" applyBorder="1" applyAlignment="1">
      <alignment horizontal="center"/>
    </xf>
    <xf numFmtId="179" fontId="17" fillId="3" borderId="26" xfId="0" applyNumberFormat="1" applyFont="1" applyFill="1" applyBorder="1" applyAlignment="1">
      <alignment horizontal="center"/>
    </xf>
    <xf numFmtId="0" fontId="18" fillId="5" borderId="4" xfId="0" applyFont="1" applyFill="1" applyBorder="1" applyAlignment="1">
      <alignment vertical="center" wrapText="1"/>
    </xf>
    <xf numFmtId="176" fontId="17" fillId="3" borderId="5" xfId="0" applyNumberFormat="1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24" fillId="2" borderId="19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176" fontId="24" fillId="2" borderId="1" xfId="0" applyNumberFormat="1" applyFont="1" applyFill="1" applyBorder="1" applyAlignment="1">
      <alignment horizontal="center" vertical="center" wrapText="1"/>
    </xf>
    <xf numFmtId="176" fontId="25" fillId="2" borderId="1" xfId="0" applyNumberFormat="1" applyFont="1" applyFill="1" applyBorder="1" applyAlignment="1">
      <alignment horizontal="center" vertical="center" shrinkToFit="1"/>
    </xf>
    <xf numFmtId="177" fontId="24" fillId="2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shrinkToFit="1"/>
    </xf>
    <xf numFmtId="178" fontId="24" fillId="2" borderId="1" xfId="0" applyNumberFormat="1" applyFont="1" applyFill="1" applyBorder="1" applyAlignment="1">
      <alignment horizontal="center" vertical="center" wrapText="1"/>
    </xf>
    <xf numFmtId="179" fontId="24" fillId="2" borderId="1" xfId="0" applyNumberFormat="1" applyFont="1" applyFill="1" applyBorder="1" applyAlignment="1">
      <alignment horizontal="center" vertical="center" wrapText="1"/>
    </xf>
    <xf numFmtId="0" fontId="24" fillId="2" borderId="20" xfId="0" applyFont="1" applyFill="1" applyBorder="1" applyAlignment="1">
      <alignment horizontal="center" vertical="center" shrinkToFit="1"/>
    </xf>
    <xf numFmtId="0" fontId="21" fillId="0" borderId="0" xfId="0" applyFont="1">
      <alignment vertical="center"/>
    </xf>
    <xf numFmtId="176" fontId="21" fillId="3" borderId="26" xfId="0" applyNumberFormat="1" applyFont="1" applyFill="1" applyBorder="1">
      <alignment vertical="center"/>
    </xf>
    <xf numFmtId="0" fontId="21" fillId="3" borderId="26" xfId="0" applyFont="1" applyFill="1" applyBorder="1" applyAlignment="1">
      <alignment horizontal="center" vertical="center" shrinkToFit="1"/>
    </xf>
    <xf numFmtId="179" fontId="21" fillId="3" borderId="26" xfId="0" applyNumberFormat="1" applyFont="1" applyFill="1" applyBorder="1">
      <alignment vertical="center"/>
    </xf>
    <xf numFmtId="0" fontId="21" fillId="3" borderId="26" xfId="0" applyFont="1" applyFill="1" applyBorder="1" applyAlignment="1">
      <alignment horizontal="center" vertical="center"/>
    </xf>
    <xf numFmtId="0" fontId="21" fillId="3" borderId="33" xfId="0" applyFont="1" applyFill="1" applyBorder="1" applyAlignment="1">
      <alignment vertical="center" shrinkToFit="1"/>
    </xf>
    <xf numFmtId="0" fontId="21" fillId="3" borderId="34" xfId="0" applyFont="1" applyFill="1" applyBorder="1" applyAlignment="1">
      <alignment horizontal="center" vertical="center"/>
    </xf>
    <xf numFmtId="176" fontId="21" fillId="3" borderId="5" xfId="0" applyNumberFormat="1" applyFont="1" applyFill="1" applyBorder="1" applyAlignment="1">
      <alignment horizontal="center" vertical="center"/>
    </xf>
    <xf numFmtId="180" fontId="21" fillId="3" borderId="5" xfId="0" applyNumberFormat="1" applyFont="1" applyFill="1" applyBorder="1" applyAlignment="1">
      <alignment horizontal="center" vertical="center"/>
    </xf>
    <xf numFmtId="183" fontId="21" fillId="3" borderId="5" xfId="1" applyNumberFormat="1" applyFont="1" applyFill="1" applyBorder="1" applyAlignment="1">
      <alignment horizontal="center" vertical="center"/>
    </xf>
    <xf numFmtId="186" fontId="21" fillId="3" borderId="5" xfId="0" applyNumberFormat="1" applyFont="1" applyFill="1" applyBorder="1" applyAlignment="1">
      <alignment horizontal="center" vertical="center"/>
    </xf>
    <xf numFmtId="187" fontId="21" fillId="3" borderId="5" xfId="0" applyNumberFormat="1" applyFont="1" applyFill="1" applyBorder="1" applyAlignment="1">
      <alignment horizontal="center" vertical="center"/>
    </xf>
    <xf numFmtId="177" fontId="21" fillId="3" borderId="5" xfId="0" applyNumberFormat="1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 shrinkToFit="1"/>
    </xf>
    <xf numFmtId="0" fontId="21" fillId="3" borderId="5" xfId="0" applyFont="1" applyFill="1" applyBorder="1" applyAlignment="1">
      <alignment horizontal="center" vertical="center"/>
    </xf>
    <xf numFmtId="179" fontId="21" fillId="3" borderId="5" xfId="0" applyNumberFormat="1" applyFont="1" applyFill="1" applyBorder="1" applyAlignment="1">
      <alignment horizontal="center" vertical="center"/>
    </xf>
    <xf numFmtId="49" fontId="21" fillId="3" borderId="5" xfId="0" applyNumberFormat="1" applyFont="1" applyFill="1" applyBorder="1" applyAlignment="1">
      <alignment horizontal="center" vertical="center" shrinkToFit="1"/>
    </xf>
    <xf numFmtId="0" fontId="21" fillId="3" borderId="35" xfId="0" applyFont="1" applyFill="1" applyBorder="1" applyAlignment="1">
      <alignment vertical="center" shrinkToFit="1"/>
    </xf>
    <xf numFmtId="0" fontId="21" fillId="3" borderId="5" xfId="0" applyFont="1" applyFill="1" applyBorder="1">
      <alignment vertical="center"/>
    </xf>
    <xf numFmtId="176" fontId="21" fillId="3" borderId="5" xfId="0" applyNumberFormat="1" applyFont="1" applyFill="1" applyBorder="1">
      <alignment vertical="center"/>
    </xf>
    <xf numFmtId="186" fontId="21" fillId="3" borderId="5" xfId="0" applyNumberFormat="1" applyFont="1" applyFill="1" applyBorder="1">
      <alignment vertical="center"/>
    </xf>
    <xf numFmtId="177" fontId="21" fillId="3" borderId="5" xfId="0" applyNumberFormat="1" applyFont="1" applyFill="1" applyBorder="1">
      <alignment vertical="center"/>
    </xf>
    <xf numFmtId="0" fontId="21" fillId="3" borderId="5" xfId="0" applyFont="1" applyFill="1" applyBorder="1" applyAlignment="1">
      <alignment vertical="center" shrinkToFit="1"/>
    </xf>
    <xf numFmtId="179" fontId="21" fillId="3" borderId="5" xfId="0" applyNumberFormat="1" applyFont="1" applyFill="1" applyBorder="1">
      <alignment vertical="center"/>
    </xf>
    <xf numFmtId="0" fontId="27" fillId="3" borderId="35" xfId="0" applyFont="1" applyFill="1" applyBorder="1" applyAlignment="1">
      <alignment vertical="center" wrapText="1" shrinkToFit="1"/>
    </xf>
    <xf numFmtId="0" fontId="21" fillId="3" borderId="0" xfId="0" applyFont="1" applyFill="1">
      <alignment vertical="center"/>
    </xf>
    <xf numFmtId="177" fontId="21" fillId="3" borderId="5" xfId="0" applyNumberFormat="1" applyFont="1" applyFill="1" applyBorder="1" applyAlignment="1">
      <alignment horizontal="center" vertical="center" shrinkToFit="1"/>
    </xf>
    <xf numFmtId="179" fontId="21" fillId="3" borderId="5" xfId="0" applyNumberFormat="1" applyFont="1" applyFill="1" applyBorder="1" applyAlignment="1">
      <alignment horizontal="center" vertical="center" shrinkToFit="1"/>
    </xf>
    <xf numFmtId="0" fontId="21" fillId="3" borderId="35" xfId="0" applyFont="1" applyFill="1" applyBorder="1" applyAlignment="1">
      <alignment vertical="center" wrapText="1" shrinkToFit="1"/>
    </xf>
    <xf numFmtId="182" fontId="21" fillId="3" borderId="5" xfId="0" applyNumberFormat="1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178" fontId="21" fillId="3" borderId="5" xfId="0" applyNumberFormat="1" applyFont="1" applyFill="1" applyBorder="1" applyAlignment="1">
      <alignment horizontal="center" vertical="center"/>
    </xf>
    <xf numFmtId="0" fontId="21" fillId="3" borderId="36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176" fontId="21" fillId="3" borderId="24" xfId="0" applyNumberFormat="1" applyFont="1" applyFill="1" applyBorder="1" applyAlignment="1">
      <alignment horizontal="center" vertical="center" wrapText="1"/>
    </xf>
    <xf numFmtId="186" fontId="26" fillId="3" borderId="24" xfId="0" applyNumberFormat="1" applyFont="1" applyFill="1" applyBorder="1" applyAlignment="1">
      <alignment horizontal="center" vertical="center" wrapText="1"/>
    </xf>
    <xf numFmtId="186" fontId="21" fillId="3" borderId="24" xfId="0" applyNumberFormat="1" applyFont="1" applyFill="1" applyBorder="1" applyAlignment="1">
      <alignment horizontal="center" vertical="center" wrapText="1"/>
    </xf>
    <xf numFmtId="177" fontId="26" fillId="3" borderId="24" xfId="0" applyNumberFormat="1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/>
    </xf>
    <xf numFmtId="0" fontId="21" fillId="3" borderId="24" xfId="0" applyFont="1" applyFill="1" applyBorder="1" applyAlignment="1">
      <alignment horizontal="center" vertical="center" shrinkToFit="1"/>
    </xf>
    <xf numFmtId="177" fontId="21" fillId="3" borderId="24" xfId="0" applyNumberFormat="1" applyFont="1" applyFill="1" applyBorder="1" applyAlignment="1">
      <alignment horizontal="center" vertical="center"/>
    </xf>
    <xf numFmtId="179" fontId="21" fillId="3" borderId="24" xfId="0" applyNumberFormat="1" applyFont="1" applyFill="1" applyBorder="1" applyAlignment="1">
      <alignment horizontal="center" vertical="center"/>
    </xf>
    <xf numFmtId="49" fontId="21" fillId="3" borderId="24" xfId="0" applyNumberFormat="1" applyFont="1" applyFill="1" applyBorder="1" applyAlignment="1">
      <alignment horizontal="center" vertical="center" shrinkToFit="1"/>
    </xf>
    <xf numFmtId="0" fontId="21" fillId="3" borderId="37" xfId="0" applyFont="1" applyFill="1" applyBorder="1">
      <alignment vertical="center"/>
    </xf>
    <xf numFmtId="0" fontId="21" fillId="3" borderId="0" xfId="0" applyFont="1" applyFill="1" applyAlignment="1">
      <alignment horizontal="center" vertical="center"/>
    </xf>
    <xf numFmtId="0" fontId="21" fillId="3" borderId="21" xfId="0" applyFont="1" applyFill="1" applyBorder="1">
      <alignment vertical="center"/>
    </xf>
    <xf numFmtId="0" fontId="21" fillId="3" borderId="22" xfId="0" applyFont="1" applyFill="1" applyBorder="1" applyAlignment="1">
      <alignment vertical="center" shrinkToFit="1"/>
    </xf>
    <xf numFmtId="0" fontId="21" fillId="3" borderId="21" xfId="0" applyFont="1" applyFill="1" applyBorder="1" applyAlignment="1">
      <alignment horizontal="center" vertical="center"/>
    </xf>
    <xf numFmtId="0" fontId="27" fillId="3" borderId="22" xfId="0" applyFont="1" applyFill="1" applyBorder="1" applyAlignment="1">
      <alignment vertical="center" wrapText="1" shrinkToFit="1"/>
    </xf>
    <xf numFmtId="0" fontId="21" fillId="3" borderId="22" xfId="0" applyFont="1" applyFill="1" applyBorder="1" applyAlignment="1">
      <alignment vertical="center" wrapText="1" shrinkToFit="1"/>
    </xf>
    <xf numFmtId="0" fontId="21" fillId="3" borderId="23" xfId="0" applyFont="1" applyFill="1" applyBorder="1" applyAlignment="1">
      <alignment horizontal="center" vertical="center" wrapText="1"/>
    </xf>
    <xf numFmtId="0" fontId="21" fillId="3" borderId="25" xfId="0" applyFont="1" applyFill="1" applyBorder="1">
      <alignment vertical="center"/>
    </xf>
    <xf numFmtId="189" fontId="17" fillId="3" borderId="38" xfId="0" applyNumberFormat="1" applyFont="1" applyFill="1" applyBorder="1" applyAlignment="1">
      <alignment horizontal="center" vertical="center"/>
    </xf>
    <xf numFmtId="186" fontId="17" fillId="3" borderId="38" xfId="1" applyNumberFormat="1" applyFont="1" applyFill="1" applyBorder="1" applyAlignment="1">
      <alignment horizontal="right" vertical="center" shrinkToFit="1"/>
    </xf>
    <xf numFmtId="190" fontId="17" fillId="3" borderId="38" xfId="2" applyNumberFormat="1" applyFont="1" applyFill="1" applyBorder="1" applyAlignment="1">
      <alignment horizontal="center" vertical="center" shrinkToFit="1"/>
    </xf>
    <xf numFmtId="189" fontId="18" fillId="8" borderId="38" xfId="0" applyNumberFormat="1" applyFont="1" applyFill="1" applyBorder="1" applyAlignment="1">
      <alignment horizontal="center" vertical="center"/>
    </xf>
    <xf numFmtId="186" fontId="18" fillId="8" borderId="38" xfId="1" applyNumberFormat="1" applyFont="1" applyFill="1" applyBorder="1" applyAlignment="1">
      <alignment horizontal="right" vertical="center" shrinkToFit="1"/>
    </xf>
    <xf numFmtId="190" fontId="18" fillId="8" borderId="38" xfId="2" applyNumberFormat="1" applyFont="1" applyFill="1" applyBorder="1" applyAlignment="1">
      <alignment horizontal="center" vertical="center" shrinkToFit="1"/>
    </xf>
    <xf numFmtId="186" fontId="18" fillId="6" borderId="38" xfId="0" applyNumberFormat="1" applyFont="1" applyFill="1" applyBorder="1" applyAlignment="1">
      <alignment horizontal="right" vertical="center" shrinkToFit="1"/>
    </xf>
    <xf numFmtId="0" fontId="26" fillId="0" borderId="14" xfId="0" applyFont="1" applyBorder="1" applyAlignment="1">
      <alignment vertical="center" wrapText="1"/>
    </xf>
    <xf numFmtId="0" fontId="26" fillId="0" borderId="15" xfId="0" applyFont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84" fontId="17" fillId="0" borderId="0" xfId="0" applyNumberFormat="1" applyFont="1" applyAlignment="1">
      <alignment horizontal="center" vertical="center"/>
    </xf>
    <xf numFmtId="189" fontId="17" fillId="0" borderId="0" xfId="0" applyNumberFormat="1" applyFont="1" applyAlignment="1">
      <alignment horizontal="center" vertical="center"/>
    </xf>
    <xf numFmtId="188" fontId="17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86" fontId="17" fillId="3" borderId="38" xfId="1" applyNumberFormat="1" applyFont="1" applyFill="1" applyBorder="1" applyAlignment="1">
      <alignment horizontal="center" vertical="center" shrinkToFit="1"/>
    </xf>
    <xf numFmtId="192" fontId="17" fillId="3" borderId="38" xfId="1" applyNumberFormat="1" applyFont="1" applyFill="1" applyBorder="1" applyAlignment="1">
      <alignment horizontal="right" vertical="center" shrinkToFit="1"/>
    </xf>
    <xf numFmtId="192" fontId="19" fillId="3" borderId="38" xfId="1" applyNumberFormat="1" applyFont="1" applyFill="1" applyBorder="1" applyAlignment="1">
      <alignment horizontal="right" vertical="center" shrinkToFit="1"/>
    </xf>
    <xf numFmtId="186" fontId="18" fillId="8" borderId="38" xfId="1" applyNumberFormat="1" applyFont="1" applyFill="1" applyBorder="1" applyAlignment="1">
      <alignment horizontal="center" vertical="center" shrinkToFit="1"/>
    </xf>
    <xf numFmtId="192" fontId="18" fillId="8" borderId="38" xfId="1" applyNumberFormat="1" applyFont="1" applyFill="1" applyBorder="1" applyAlignment="1">
      <alignment horizontal="right" vertical="center" shrinkToFit="1"/>
    </xf>
    <xf numFmtId="192" fontId="18" fillId="8" borderId="39" xfId="1" applyNumberFormat="1" applyFont="1" applyFill="1" applyBorder="1" applyAlignment="1">
      <alignment horizontal="right" vertical="center" shrinkToFit="1"/>
    </xf>
    <xf numFmtId="186" fontId="18" fillId="6" borderId="38" xfId="0" applyNumberFormat="1" applyFont="1" applyFill="1" applyBorder="1" applyAlignment="1">
      <alignment horizontal="center" vertical="center" shrinkToFit="1"/>
    </xf>
    <xf numFmtId="192" fontId="18" fillId="6" borderId="38" xfId="0" applyNumberFormat="1" applyFont="1" applyFill="1" applyBorder="1" applyAlignment="1">
      <alignment horizontal="right" vertical="center" shrinkToFit="1"/>
    </xf>
    <xf numFmtId="192" fontId="29" fillId="6" borderId="41" xfId="0" applyNumberFormat="1" applyFont="1" applyFill="1" applyBorder="1" applyAlignment="1">
      <alignment horizontal="right" vertical="center" shrinkToFit="1"/>
    </xf>
    <xf numFmtId="189" fontId="17" fillId="0" borderId="38" xfId="0" applyNumberFormat="1" applyFont="1" applyBorder="1" applyAlignment="1">
      <alignment horizontal="center" vertical="center"/>
    </xf>
    <xf numFmtId="192" fontId="19" fillId="3" borderId="43" xfId="1" applyNumberFormat="1" applyFont="1" applyFill="1" applyBorder="1" applyAlignment="1">
      <alignment horizontal="right" vertical="center" shrinkToFit="1"/>
    </xf>
    <xf numFmtId="184" fontId="21" fillId="3" borderId="0" xfId="0" applyNumberFormat="1" applyFont="1" applyFill="1">
      <alignment vertical="center"/>
    </xf>
    <xf numFmtId="0" fontId="17" fillId="0" borderId="0" xfId="0" applyFont="1" applyAlignment="1">
      <alignment horizontal="center" vertical="center" shrinkToFit="1"/>
    </xf>
    <xf numFmtId="0" fontId="18" fillId="0" borderId="38" xfId="0" applyFont="1" applyBorder="1" applyAlignment="1">
      <alignment horizontal="center" vertical="center" shrinkToFit="1"/>
    </xf>
    <xf numFmtId="0" fontId="17" fillId="0" borderId="38" xfId="0" applyFont="1" applyBorder="1" applyAlignment="1">
      <alignment horizontal="center" vertical="center" shrinkToFit="1"/>
    </xf>
    <xf numFmtId="41" fontId="32" fillId="6" borderId="0" xfId="1" applyFont="1" applyFill="1" applyAlignment="1">
      <alignment horizontal="center" vertical="center"/>
    </xf>
    <xf numFmtId="192" fontId="18" fillId="3" borderId="38" xfId="1" applyNumberFormat="1" applyFont="1" applyFill="1" applyBorder="1" applyAlignment="1">
      <alignment horizontal="center" vertical="center" shrinkToFit="1"/>
    </xf>
    <xf numFmtId="186" fontId="17" fillId="3" borderId="38" xfId="1" applyNumberFormat="1" applyFont="1" applyFill="1" applyBorder="1" applyAlignment="1">
      <alignment horizontal="left" vertical="center" shrinkToFit="1"/>
    </xf>
    <xf numFmtId="189" fontId="17" fillId="0" borderId="28" xfId="0" applyNumberFormat="1" applyFont="1" applyBorder="1" applyAlignment="1">
      <alignment horizontal="center" vertical="center"/>
    </xf>
    <xf numFmtId="186" fontId="17" fillId="3" borderId="28" xfId="1" applyNumberFormat="1" applyFont="1" applyFill="1" applyBorder="1" applyAlignment="1">
      <alignment horizontal="right" vertical="center" shrinkToFit="1"/>
    </xf>
    <xf numFmtId="0" fontId="17" fillId="0" borderId="28" xfId="0" applyFont="1" applyBorder="1" applyAlignment="1">
      <alignment horizontal="center" vertical="center" shrinkToFit="1"/>
    </xf>
    <xf numFmtId="186" fontId="26" fillId="0" borderId="14" xfId="0" applyNumberFormat="1" applyFont="1" applyBorder="1" applyAlignment="1">
      <alignment vertical="center" wrapText="1"/>
    </xf>
    <xf numFmtId="186" fontId="18" fillId="6" borderId="40" xfId="0" applyNumberFormat="1" applyFont="1" applyFill="1" applyBorder="1" applyAlignment="1">
      <alignment horizontal="right" vertical="center" shrinkToFit="1"/>
    </xf>
    <xf numFmtId="186" fontId="19" fillId="3" borderId="38" xfId="1" applyNumberFormat="1" applyFont="1" applyFill="1" applyBorder="1" applyAlignment="1">
      <alignment horizontal="right" vertical="center" shrinkToFit="1"/>
    </xf>
    <xf numFmtId="186" fontId="18" fillId="6" borderId="42" xfId="0" applyNumberFormat="1" applyFont="1" applyFill="1" applyBorder="1" applyAlignment="1">
      <alignment horizontal="right" vertical="center" shrinkToFit="1"/>
    </xf>
    <xf numFmtId="194" fontId="21" fillId="3" borderId="24" xfId="1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shrinkToFit="1"/>
    </xf>
    <xf numFmtId="189" fontId="18" fillId="0" borderId="0" xfId="0" applyNumberFormat="1" applyFont="1" applyAlignment="1">
      <alignment horizontal="center" vertical="center"/>
    </xf>
    <xf numFmtId="41" fontId="18" fillId="6" borderId="0" xfId="1" applyFont="1" applyFill="1" applyAlignment="1">
      <alignment horizontal="center" vertical="center"/>
    </xf>
    <xf numFmtId="41" fontId="19" fillId="3" borderId="0" xfId="1" applyFont="1" applyFill="1" applyAlignment="1">
      <alignment horizontal="center" vertical="center"/>
    </xf>
    <xf numFmtId="9" fontId="19" fillId="3" borderId="38" xfId="2" applyFont="1" applyFill="1" applyBorder="1" applyAlignment="1">
      <alignment horizontal="center" vertical="center" shrinkToFit="1"/>
    </xf>
    <xf numFmtId="9" fontId="29" fillId="8" borderId="38" xfId="2" applyFont="1" applyFill="1" applyBorder="1" applyAlignment="1">
      <alignment horizontal="center" vertical="center" shrinkToFit="1"/>
    </xf>
    <xf numFmtId="9" fontId="29" fillId="6" borderId="42" xfId="2" applyFont="1" applyFill="1" applyBorder="1" applyAlignment="1">
      <alignment horizontal="center" vertical="center" shrinkToFit="1"/>
    </xf>
    <xf numFmtId="9" fontId="29" fillId="3" borderId="38" xfId="2" applyFont="1" applyFill="1" applyBorder="1" applyAlignment="1">
      <alignment horizontal="center" vertical="center" shrinkToFit="1"/>
    </xf>
    <xf numFmtId="192" fontId="29" fillId="8" borderId="38" xfId="1" applyNumberFormat="1" applyFont="1" applyFill="1" applyBorder="1" applyAlignment="1">
      <alignment horizontal="right" vertical="center" shrinkToFit="1"/>
    </xf>
    <xf numFmtId="186" fontId="29" fillId="8" borderId="38" xfId="1" applyNumberFormat="1" applyFont="1" applyFill="1" applyBorder="1" applyAlignment="1">
      <alignment horizontal="right" vertical="center" shrinkToFit="1"/>
    </xf>
    <xf numFmtId="192" fontId="29" fillId="8" borderId="39" xfId="1" applyNumberFormat="1" applyFont="1" applyFill="1" applyBorder="1" applyAlignment="1">
      <alignment horizontal="right" vertical="center" shrinkToFit="1"/>
    </xf>
    <xf numFmtId="186" fontId="29" fillId="6" borderId="42" xfId="0" applyNumberFormat="1" applyFont="1" applyFill="1" applyBorder="1" applyAlignment="1">
      <alignment horizontal="right" vertical="center" shrinkToFit="1"/>
    </xf>
    <xf numFmtId="192" fontId="29" fillId="3" borderId="38" xfId="1" applyNumberFormat="1" applyFont="1" applyFill="1" applyBorder="1" applyAlignment="1">
      <alignment horizontal="right" vertical="center" shrinkToFit="1"/>
    </xf>
    <xf numFmtId="186" fontId="29" fillId="3" borderId="38" xfId="1" applyNumberFormat="1" applyFont="1" applyFill="1" applyBorder="1" applyAlignment="1">
      <alignment horizontal="right" vertical="center" shrinkToFit="1"/>
    </xf>
    <xf numFmtId="192" fontId="29" fillId="3" borderId="43" xfId="1" applyNumberFormat="1" applyFont="1" applyFill="1" applyBorder="1" applyAlignment="1">
      <alignment horizontal="right" vertical="center" shrinkToFit="1"/>
    </xf>
    <xf numFmtId="186" fontId="18" fillId="8" borderId="40" xfId="1" applyNumberFormat="1" applyFont="1" applyFill="1" applyBorder="1" applyAlignment="1">
      <alignment horizontal="right" vertical="center" shrinkToFit="1"/>
    </xf>
    <xf numFmtId="186" fontId="18" fillId="8" borderId="42" xfId="1" applyNumberFormat="1" applyFont="1" applyFill="1" applyBorder="1" applyAlignment="1">
      <alignment horizontal="right" vertical="center" shrinkToFit="1"/>
    </xf>
    <xf numFmtId="186" fontId="17" fillId="3" borderId="39" xfId="1" applyNumberFormat="1" applyFont="1" applyFill="1" applyBorder="1" applyAlignment="1">
      <alignment horizontal="right" vertical="center" shrinkToFit="1"/>
    </xf>
    <xf numFmtId="186" fontId="17" fillId="3" borderId="0" xfId="1" applyNumberFormat="1" applyFont="1" applyFill="1" applyBorder="1" applyAlignment="1">
      <alignment horizontal="right" vertical="center" shrinkToFit="1"/>
    </xf>
    <xf numFmtId="186" fontId="18" fillId="8" borderId="56" xfId="1" applyNumberFormat="1" applyFont="1" applyFill="1" applyBorder="1" applyAlignment="1">
      <alignment horizontal="right" vertical="center" shrinkToFit="1"/>
    </xf>
    <xf numFmtId="186" fontId="29" fillId="8" borderId="39" xfId="1" applyNumberFormat="1" applyFont="1" applyFill="1" applyBorder="1" applyAlignment="1">
      <alignment horizontal="right" vertical="center" shrinkToFit="1"/>
    </xf>
    <xf numFmtId="186" fontId="29" fillId="3" borderId="43" xfId="1" applyNumberFormat="1" applyFont="1" applyFill="1" applyBorder="1" applyAlignment="1">
      <alignment horizontal="right" vertical="center" shrinkToFit="1"/>
    </xf>
    <xf numFmtId="192" fontId="29" fillId="6" borderId="56" xfId="0" applyNumberFormat="1" applyFont="1" applyFill="1" applyBorder="1" applyAlignment="1">
      <alignment horizontal="right" vertical="center" shrinkToFit="1"/>
    </xf>
    <xf numFmtId="186" fontId="29" fillId="6" borderId="56" xfId="0" applyNumberFormat="1" applyFont="1" applyFill="1" applyBorder="1" applyAlignment="1">
      <alignment horizontal="right" vertical="center" shrinkToFit="1"/>
    </xf>
    <xf numFmtId="186" fontId="18" fillId="6" borderId="57" xfId="0" applyNumberFormat="1" applyFont="1" applyFill="1" applyBorder="1" applyAlignment="1">
      <alignment horizontal="right" vertical="center" shrinkToFit="1"/>
    </xf>
    <xf numFmtId="9" fontId="29" fillId="8" borderId="39" xfId="2" applyFont="1" applyFill="1" applyBorder="1" applyAlignment="1">
      <alignment horizontal="center" vertical="center" shrinkToFit="1"/>
    </xf>
    <xf numFmtId="9" fontId="29" fillId="3" borderId="43" xfId="2" applyFont="1" applyFill="1" applyBorder="1" applyAlignment="1">
      <alignment horizontal="center" vertical="center" shrinkToFit="1"/>
    </xf>
    <xf numFmtId="9" fontId="29" fillId="6" borderId="56" xfId="2" applyFont="1" applyFill="1" applyBorder="1" applyAlignment="1">
      <alignment horizontal="center" vertical="center" shrinkToFit="1"/>
    </xf>
    <xf numFmtId="186" fontId="18" fillId="8" borderId="39" xfId="1" applyNumberFormat="1" applyFont="1" applyFill="1" applyBorder="1" applyAlignment="1">
      <alignment horizontal="right" vertical="center" shrinkToFit="1"/>
    </xf>
    <xf numFmtId="186" fontId="17" fillId="3" borderId="43" xfId="1" applyNumberFormat="1" applyFont="1" applyFill="1" applyBorder="1" applyAlignment="1">
      <alignment horizontal="right" vertical="center" shrinkToFit="1"/>
    </xf>
    <xf numFmtId="9" fontId="19" fillId="3" borderId="43" xfId="2" applyFont="1" applyFill="1" applyBorder="1" applyAlignment="1">
      <alignment horizontal="center" vertical="center" shrinkToFit="1"/>
    </xf>
    <xf numFmtId="186" fontId="18" fillId="6" borderId="56" xfId="0" applyNumberFormat="1" applyFont="1" applyFill="1" applyBorder="1" applyAlignment="1">
      <alignment horizontal="right" vertical="center" shrinkToFit="1"/>
    </xf>
    <xf numFmtId="190" fontId="18" fillId="6" borderId="40" xfId="2" applyNumberFormat="1" applyFont="1" applyFill="1" applyBorder="1" applyAlignment="1">
      <alignment horizontal="center" vertical="center" shrinkToFit="1"/>
    </xf>
    <xf numFmtId="190" fontId="18" fillId="6" borderId="42" xfId="2" applyNumberFormat="1" applyFont="1" applyFill="1" applyBorder="1" applyAlignment="1">
      <alignment horizontal="center" vertical="center" shrinkToFit="1"/>
    </xf>
    <xf numFmtId="190" fontId="18" fillId="8" borderId="39" xfId="2" applyNumberFormat="1" applyFont="1" applyFill="1" applyBorder="1" applyAlignment="1">
      <alignment horizontal="center" vertical="center" shrinkToFit="1"/>
    </xf>
    <xf numFmtId="190" fontId="18" fillId="6" borderId="56" xfId="2" applyNumberFormat="1" applyFont="1" applyFill="1" applyBorder="1" applyAlignment="1">
      <alignment horizontal="center" vertical="center" shrinkToFit="1"/>
    </xf>
    <xf numFmtId="9" fontId="29" fillId="6" borderId="38" xfId="2" applyFont="1" applyFill="1" applyBorder="1" applyAlignment="1">
      <alignment horizontal="center" vertical="center" shrinkToFit="1"/>
    </xf>
    <xf numFmtId="186" fontId="18" fillId="3" borderId="0" xfId="1" applyNumberFormat="1" applyFont="1" applyFill="1" applyBorder="1" applyAlignment="1">
      <alignment horizontal="right" vertical="center" shrinkToFit="1"/>
    </xf>
    <xf numFmtId="192" fontId="18" fillId="8" borderId="40" xfId="1" applyNumberFormat="1" applyFont="1" applyFill="1" applyBorder="1" applyAlignment="1">
      <alignment horizontal="right" vertical="center" shrinkToFit="1"/>
    </xf>
    <xf numFmtId="192" fontId="18" fillId="3" borderId="39" xfId="1" applyNumberFormat="1" applyFont="1" applyFill="1" applyBorder="1" applyAlignment="1">
      <alignment horizontal="center" vertical="center" shrinkToFit="1"/>
    </xf>
    <xf numFmtId="192" fontId="29" fillId="8" borderId="56" xfId="1" applyNumberFormat="1" applyFont="1" applyFill="1" applyBorder="1" applyAlignment="1">
      <alignment horizontal="center" vertical="center" shrinkToFit="1"/>
    </xf>
    <xf numFmtId="181" fontId="21" fillId="3" borderId="5" xfId="0" applyNumberFormat="1" applyFont="1" applyFill="1" applyBorder="1" applyAlignment="1">
      <alignment horizontal="center" vertical="center"/>
    </xf>
    <xf numFmtId="2" fontId="21" fillId="3" borderId="5" xfId="0" applyNumberFormat="1" applyFont="1" applyFill="1" applyBorder="1" applyAlignment="1">
      <alignment horizontal="center" vertical="center"/>
    </xf>
    <xf numFmtId="188" fontId="21" fillId="3" borderId="5" xfId="0" applyNumberFormat="1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vertical="center" wrapText="1"/>
    </xf>
    <xf numFmtId="0" fontId="15" fillId="3" borderId="15" xfId="0" applyFont="1" applyFill="1" applyBorder="1" applyAlignment="1">
      <alignment vertical="center" wrapText="1"/>
    </xf>
    <xf numFmtId="0" fontId="15" fillId="3" borderId="13" xfId="0" applyFont="1" applyFill="1" applyBorder="1" applyAlignment="1">
      <alignment horizontal="left" vertical="center" indent="2"/>
    </xf>
    <xf numFmtId="176" fontId="21" fillId="3" borderId="5" xfId="0" quotePrefix="1" applyNumberFormat="1" applyFont="1" applyFill="1" applyBorder="1" applyAlignment="1">
      <alignment horizontal="center" vertical="center"/>
    </xf>
    <xf numFmtId="41" fontId="32" fillId="6" borderId="41" xfId="1" applyFont="1" applyFill="1" applyBorder="1" applyAlignment="1">
      <alignment horizontal="center" vertical="center"/>
    </xf>
    <xf numFmtId="9" fontId="29" fillId="3" borderId="39" xfId="2" applyFont="1" applyFill="1" applyBorder="1" applyAlignment="1">
      <alignment horizontal="center" vertical="center" shrinkToFit="1"/>
    </xf>
    <xf numFmtId="190" fontId="29" fillId="3" borderId="56" xfId="2" applyNumberFormat="1" applyFont="1" applyFill="1" applyBorder="1" applyAlignment="1">
      <alignment horizontal="center" vertical="center" shrinkToFit="1"/>
    </xf>
    <xf numFmtId="186" fontId="17" fillId="3" borderId="38" xfId="1" applyNumberFormat="1" applyFont="1" applyFill="1" applyBorder="1" applyAlignment="1">
      <alignment vertical="center" shrinkToFit="1"/>
    </xf>
    <xf numFmtId="186" fontId="18" fillId="6" borderId="38" xfId="0" applyNumberFormat="1" applyFont="1" applyFill="1" applyBorder="1" applyAlignment="1">
      <alignment vertical="center" shrinkToFit="1"/>
    </xf>
    <xf numFmtId="191" fontId="21" fillId="3" borderId="5" xfId="0" applyNumberFormat="1" applyFont="1" applyFill="1" applyBorder="1" applyAlignment="1">
      <alignment horizontal="center" vertical="center"/>
    </xf>
    <xf numFmtId="191" fontId="21" fillId="3" borderId="5" xfId="0" applyNumberFormat="1" applyFont="1" applyFill="1" applyBorder="1">
      <alignment vertical="center"/>
    </xf>
    <xf numFmtId="191" fontId="21" fillId="3" borderId="5" xfId="0" applyNumberFormat="1" applyFont="1" applyFill="1" applyBorder="1" applyAlignment="1">
      <alignment horizontal="center" vertical="center" shrinkToFit="1"/>
    </xf>
    <xf numFmtId="191" fontId="21" fillId="3" borderId="24" xfId="0" applyNumberFormat="1" applyFont="1" applyFill="1" applyBorder="1" applyAlignment="1">
      <alignment horizontal="center" vertical="center"/>
    </xf>
    <xf numFmtId="191" fontId="26" fillId="0" borderId="14" xfId="0" applyNumberFormat="1" applyFont="1" applyBorder="1" applyAlignment="1">
      <alignment vertical="center" wrapText="1"/>
    </xf>
    <xf numFmtId="189" fontId="18" fillId="7" borderId="38" xfId="0" applyNumberFormat="1" applyFont="1" applyFill="1" applyBorder="1" applyAlignment="1">
      <alignment horizontal="center" vertical="center" shrinkToFit="1"/>
    </xf>
    <xf numFmtId="0" fontId="24" fillId="2" borderId="1" xfId="0" applyFont="1" applyFill="1" applyBorder="1" applyAlignment="1">
      <alignment horizontal="center" vertical="center" wrapText="1" shrinkToFit="1"/>
    </xf>
    <xf numFmtId="186" fontId="21" fillId="3" borderId="5" xfId="0" applyNumberFormat="1" applyFont="1" applyFill="1" applyBorder="1" applyAlignment="1">
      <alignment horizontal="center" vertical="center" shrinkToFit="1"/>
    </xf>
    <xf numFmtId="196" fontId="18" fillId="8" borderId="38" xfId="1" applyNumberFormat="1" applyFont="1" applyFill="1" applyBorder="1" applyAlignment="1">
      <alignment horizontal="right" vertical="center" shrinkToFit="1"/>
    </xf>
    <xf numFmtId="196" fontId="18" fillId="8" borderId="39" xfId="1" applyNumberFormat="1" applyFont="1" applyFill="1" applyBorder="1" applyAlignment="1">
      <alignment horizontal="right" vertical="center" shrinkToFit="1"/>
    </xf>
    <xf numFmtId="196" fontId="18" fillId="6" borderId="67" xfId="0" applyNumberFormat="1" applyFont="1" applyFill="1" applyBorder="1" applyAlignment="1">
      <alignment horizontal="right" vertical="center" shrinkToFit="1"/>
    </xf>
    <xf numFmtId="196" fontId="19" fillId="3" borderId="38" xfId="2" applyNumberFormat="1" applyFont="1" applyFill="1" applyBorder="1" applyAlignment="1">
      <alignment horizontal="right" vertical="center" shrinkToFit="1"/>
    </xf>
    <xf numFmtId="196" fontId="19" fillId="3" borderId="43" xfId="2" applyNumberFormat="1" applyFont="1" applyFill="1" applyBorder="1" applyAlignment="1">
      <alignment horizontal="right" vertical="center" shrinkToFit="1"/>
    </xf>
    <xf numFmtId="49" fontId="21" fillId="3" borderId="5" xfId="0" applyNumberFormat="1" applyFont="1" applyFill="1" applyBorder="1" applyAlignment="1">
      <alignment horizontal="center" vertical="center"/>
    </xf>
    <xf numFmtId="177" fontId="17" fillId="3" borderId="0" xfId="0" applyNumberFormat="1" applyFont="1" applyFill="1" applyAlignment="1">
      <alignment horizontal="center" vertical="center"/>
    </xf>
    <xf numFmtId="184" fontId="17" fillId="3" borderId="0" xfId="0" applyNumberFormat="1" applyFont="1" applyFill="1" applyAlignment="1">
      <alignment horizontal="center" vertical="center"/>
    </xf>
    <xf numFmtId="177" fontId="21" fillId="0" borderId="0" xfId="0" applyNumberFormat="1" applyFont="1" applyAlignment="1">
      <alignment horizontal="center" vertical="center"/>
    </xf>
    <xf numFmtId="186" fontId="17" fillId="3" borderId="0" xfId="1" applyNumberFormat="1" applyFont="1" applyFill="1" applyBorder="1" applyAlignment="1">
      <alignment vertical="center" shrinkToFit="1"/>
    </xf>
    <xf numFmtId="0" fontId="26" fillId="10" borderId="72" xfId="0" applyFont="1" applyFill="1" applyBorder="1" applyAlignment="1">
      <alignment horizontal="center" vertical="center" wrapText="1"/>
    </xf>
    <xf numFmtId="0" fontId="26" fillId="10" borderId="73" xfId="0" applyFont="1" applyFill="1" applyBorder="1" applyAlignment="1">
      <alignment horizontal="center" vertical="center" wrapText="1"/>
    </xf>
    <xf numFmtId="176" fontId="26" fillId="10" borderId="73" xfId="0" applyNumberFormat="1" applyFont="1" applyFill="1" applyBorder="1" applyAlignment="1">
      <alignment horizontal="center" vertical="center" wrapText="1"/>
    </xf>
    <xf numFmtId="176" fontId="35" fillId="10" borderId="73" xfId="0" applyNumberFormat="1" applyFont="1" applyFill="1" applyBorder="1" applyAlignment="1">
      <alignment horizontal="center" vertical="center" shrinkToFit="1"/>
    </xf>
    <xf numFmtId="177" fontId="26" fillId="10" borderId="73" xfId="0" applyNumberFormat="1" applyFont="1" applyFill="1" applyBorder="1" applyAlignment="1">
      <alignment horizontal="center" vertical="center" wrapText="1"/>
    </xf>
    <xf numFmtId="0" fontId="26" fillId="10" borderId="73" xfId="0" applyFont="1" applyFill="1" applyBorder="1" applyAlignment="1">
      <alignment horizontal="center" vertical="center" shrinkToFit="1"/>
    </xf>
    <xf numFmtId="178" fontId="26" fillId="10" borderId="73" xfId="0" applyNumberFormat="1" applyFont="1" applyFill="1" applyBorder="1" applyAlignment="1">
      <alignment horizontal="center" vertical="center" wrapText="1"/>
    </xf>
    <xf numFmtId="179" fontId="26" fillId="10" borderId="73" xfId="0" applyNumberFormat="1" applyFont="1" applyFill="1" applyBorder="1" applyAlignment="1">
      <alignment horizontal="center" vertical="center" wrapText="1"/>
    </xf>
    <xf numFmtId="0" fontId="26" fillId="10" borderId="73" xfId="0" applyFont="1" applyFill="1" applyBorder="1" applyAlignment="1">
      <alignment horizontal="center" vertical="center" wrapText="1" shrinkToFit="1"/>
    </xf>
    <xf numFmtId="0" fontId="26" fillId="10" borderId="74" xfId="0" applyFont="1" applyFill="1" applyBorder="1" applyAlignment="1">
      <alignment horizontal="center" vertical="center" shrinkToFit="1"/>
    </xf>
    <xf numFmtId="0" fontId="18" fillId="6" borderId="38" xfId="0" applyFont="1" applyFill="1" applyBorder="1" applyAlignment="1">
      <alignment horizontal="center" vertical="center" shrinkToFit="1"/>
    </xf>
    <xf numFmtId="189" fontId="18" fillId="5" borderId="38" xfId="0" applyNumberFormat="1" applyFont="1" applyFill="1" applyBorder="1" applyAlignment="1">
      <alignment horizontal="center" vertical="center"/>
    </xf>
    <xf numFmtId="189" fontId="18" fillId="5" borderId="38" xfId="0" applyNumberFormat="1" applyFont="1" applyFill="1" applyBorder="1" applyAlignment="1">
      <alignment horizontal="center" vertical="center" shrinkToFit="1"/>
    </xf>
    <xf numFmtId="0" fontId="18" fillId="5" borderId="38" xfId="0" applyFont="1" applyFill="1" applyBorder="1" applyAlignment="1">
      <alignment horizontal="center" vertical="center" shrinkToFit="1"/>
    </xf>
    <xf numFmtId="178" fontId="21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center" vertical="center" shrinkToFit="1"/>
    </xf>
    <xf numFmtId="176" fontId="21" fillId="0" borderId="0" xfId="0" applyNumberFormat="1" applyFont="1">
      <alignment vertical="center"/>
    </xf>
    <xf numFmtId="177" fontId="21" fillId="0" borderId="0" xfId="0" applyNumberFormat="1" applyFont="1">
      <alignment vertical="center"/>
    </xf>
    <xf numFmtId="0" fontId="21" fillId="0" borderId="0" xfId="0" applyFont="1" applyAlignment="1">
      <alignment vertical="center" shrinkToFit="1"/>
    </xf>
    <xf numFmtId="0" fontId="21" fillId="0" borderId="0" xfId="0" applyFont="1" applyAlignment="1">
      <alignment horizontal="center" vertical="center" shrinkToFit="1"/>
    </xf>
    <xf numFmtId="178" fontId="21" fillId="0" borderId="0" xfId="0" applyNumberFormat="1" applyFont="1">
      <alignment vertical="center"/>
    </xf>
    <xf numFmtId="179" fontId="21" fillId="0" borderId="0" xfId="0" applyNumberFormat="1" applyFont="1">
      <alignment vertical="center"/>
    </xf>
    <xf numFmtId="0" fontId="23" fillId="0" borderId="0" xfId="0" applyFont="1">
      <alignment vertical="center"/>
    </xf>
    <xf numFmtId="0" fontId="17" fillId="0" borderId="0" xfId="0" applyFont="1">
      <alignment vertical="center"/>
    </xf>
    <xf numFmtId="0" fontId="26" fillId="0" borderId="13" xfId="0" applyFont="1" applyBorder="1" applyAlignment="1">
      <alignment horizontal="left" vertical="center"/>
    </xf>
    <xf numFmtId="186" fontId="21" fillId="0" borderId="0" xfId="0" applyNumberFormat="1" applyFont="1">
      <alignment vertical="center"/>
    </xf>
    <xf numFmtId="176" fontId="26" fillId="0" borderId="0" xfId="0" applyNumberFormat="1" applyFont="1">
      <alignment vertical="center"/>
    </xf>
    <xf numFmtId="176" fontId="26" fillId="0" borderId="44" xfId="0" applyNumberFormat="1" applyFont="1" applyBorder="1">
      <alignment vertical="center"/>
    </xf>
    <xf numFmtId="176" fontId="26" fillId="0" borderId="45" xfId="0" applyNumberFormat="1" applyFont="1" applyBorder="1">
      <alignment vertical="center"/>
    </xf>
    <xf numFmtId="176" fontId="26" fillId="0" borderId="46" xfId="0" applyNumberFormat="1" applyFont="1" applyBorder="1">
      <alignment vertical="center"/>
    </xf>
    <xf numFmtId="176" fontId="21" fillId="0" borderId="45" xfId="0" applyNumberFormat="1" applyFont="1" applyBorder="1">
      <alignment vertical="center"/>
    </xf>
    <xf numFmtId="176" fontId="21" fillId="0" borderId="45" xfId="0" applyNumberFormat="1" applyFont="1" applyBorder="1" applyAlignment="1">
      <alignment horizontal="right" vertical="center"/>
    </xf>
    <xf numFmtId="177" fontId="21" fillId="0" borderId="45" xfId="0" applyNumberFormat="1" applyFont="1" applyBorder="1">
      <alignment vertical="center"/>
    </xf>
    <xf numFmtId="0" fontId="21" fillId="0" borderId="45" xfId="0" applyFont="1" applyBorder="1" applyAlignment="1">
      <alignment vertical="center" shrinkToFit="1"/>
    </xf>
    <xf numFmtId="41" fontId="21" fillId="0" borderId="47" xfId="1" applyFont="1" applyBorder="1" applyAlignment="1">
      <alignment vertical="center" shrinkToFit="1"/>
    </xf>
    <xf numFmtId="176" fontId="26" fillId="0" borderId="12" xfId="0" applyNumberFormat="1" applyFont="1" applyBorder="1">
      <alignment vertical="center"/>
    </xf>
    <xf numFmtId="176" fontId="21" fillId="0" borderId="29" xfId="0" applyNumberFormat="1" applyFont="1" applyBorder="1">
      <alignment vertical="center"/>
    </xf>
    <xf numFmtId="176" fontId="21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right" vertical="center" shrinkToFit="1"/>
    </xf>
    <xf numFmtId="41" fontId="21" fillId="0" borderId="3" xfId="1" applyFont="1" applyBorder="1" applyAlignment="1">
      <alignment vertical="center" shrinkToFit="1"/>
    </xf>
    <xf numFmtId="0" fontId="26" fillId="0" borderId="38" xfId="0" applyFont="1" applyBorder="1" applyAlignment="1">
      <alignment horizontal="center" vertical="center" shrinkToFit="1"/>
    </xf>
    <xf numFmtId="179" fontId="21" fillId="0" borderId="53" xfId="0" applyNumberFormat="1" applyFont="1" applyBorder="1" applyAlignment="1">
      <alignment vertical="center" shrinkToFit="1"/>
    </xf>
    <xf numFmtId="176" fontId="21" fillId="0" borderId="12" xfId="0" applyNumberFormat="1" applyFont="1" applyBorder="1">
      <alignment vertical="center"/>
    </xf>
    <xf numFmtId="176" fontId="21" fillId="0" borderId="30" xfId="0" applyNumberFormat="1" applyFont="1" applyBorder="1">
      <alignment vertical="center"/>
    </xf>
    <xf numFmtId="176" fontId="21" fillId="0" borderId="31" xfId="0" applyNumberFormat="1" applyFont="1" applyBorder="1">
      <alignment vertical="center"/>
    </xf>
    <xf numFmtId="176" fontId="21" fillId="0" borderId="31" xfId="0" applyNumberFormat="1" applyFont="1" applyBorder="1" applyAlignment="1">
      <alignment horizontal="right" vertical="center"/>
    </xf>
    <xf numFmtId="177" fontId="26" fillId="6" borderId="31" xfId="0" applyNumberFormat="1" applyFont="1" applyFill="1" applyBorder="1">
      <alignment vertical="center"/>
    </xf>
    <xf numFmtId="177" fontId="21" fillId="0" borderId="31" xfId="0" applyNumberFormat="1" applyFont="1" applyBorder="1">
      <alignment vertical="center"/>
    </xf>
    <xf numFmtId="9" fontId="21" fillId="0" borderId="0" xfId="2" applyFont="1" applyAlignment="1">
      <alignment vertical="center"/>
    </xf>
    <xf numFmtId="0" fontId="21" fillId="0" borderId="31" xfId="0" applyFont="1" applyBorder="1" applyAlignment="1">
      <alignment vertical="center" shrinkToFit="1"/>
    </xf>
    <xf numFmtId="41" fontId="26" fillId="6" borderId="31" xfId="1" applyFont="1" applyFill="1" applyBorder="1" applyAlignment="1">
      <alignment vertical="center" shrinkToFit="1"/>
    </xf>
    <xf numFmtId="9" fontId="21" fillId="0" borderId="48" xfId="2" applyFont="1" applyBorder="1" applyAlignment="1">
      <alignment vertical="center" shrinkToFit="1"/>
    </xf>
    <xf numFmtId="0" fontId="21" fillId="0" borderId="0" xfId="0" applyFont="1" applyAlignment="1">
      <alignment horizontal="left" vertical="center"/>
    </xf>
    <xf numFmtId="176" fontId="26" fillId="0" borderId="27" xfId="0" applyNumberFormat="1" applyFont="1" applyBorder="1">
      <alignment vertical="center"/>
    </xf>
    <xf numFmtId="176" fontId="21" fillId="0" borderId="28" xfId="0" applyNumberFormat="1" applyFont="1" applyBorder="1">
      <alignment vertical="center"/>
    </xf>
    <xf numFmtId="176" fontId="21" fillId="0" borderId="28" xfId="0" applyNumberFormat="1" applyFont="1" applyBorder="1" applyAlignment="1">
      <alignment horizontal="right" vertical="center"/>
    </xf>
    <xf numFmtId="177" fontId="21" fillId="0" borderId="28" xfId="0" applyNumberFormat="1" applyFont="1" applyBorder="1">
      <alignment vertical="center"/>
    </xf>
    <xf numFmtId="177" fontId="21" fillId="0" borderId="28" xfId="0" applyNumberFormat="1" applyFont="1" applyBorder="1" applyAlignment="1">
      <alignment horizontal="right" vertical="center"/>
    </xf>
    <xf numFmtId="177" fontId="21" fillId="0" borderId="28" xfId="0" applyNumberFormat="1" applyFont="1" applyBorder="1" applyAlignment="1">
      <alignment vertical="center" shrinkToFit="1"/>
    </xf>
    <xf numFmtId="0" fontId="21" fillId="0" borderId="49" xfId="0" applyFont="1" applyBorder="1" applyAlignment="1">
      <alignment vertical="center" shrinkToFit="1"/>
    </xf>
    <xf numFmtId="195" fontId="21" fillId="0" borderId="0" xfId="0" applyNumberFormat="1" applyFont="1">
      <alignment vertical="center"/>
    </xf>
    <xf numFmtId="177" fontId="21" fillId="0" borderId="0" xfId="0" applyNumberFormat="1" applyFont="1" applyAlignment="1">
      <alignment horizontal="right" vertical="center"/>
    </xf>
    <xf numFmtId="177" fontId="21" fillId="0" borderId="0" xfId="0" applyNumberFormat="1" applyFont="1" applyAlignment="1">
      <alignment horizontal="right" vertical="center" shrinkToFit="1"/>
    </xf>
    <xf numFmtId="0" fontId="21" fillId="0" borderId="3" xfId="0" applyFont="1" applyBorder="1" applyAlignment="1">
      <alignment vertical="center" shrinkToFit="1"/>
    </xf>
    <xf numFmtId="9" fontId="26" fillId="6" borderId="31" xfId="2" applyFont="1" applyFill="1" applyBorder="1" applyAlignment="1">
      <alignment vertical="center"/>
    </xf>
    <xf numFmtId="177" fontId="21" fillId="0" borderId="31" xfId="0" applyNumberFormat="1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 shrinkToFit="1"/>
    </xf>
    <xf numFmtId="0" fontId="21" fillId="0" borderId="48" xfId="0" applyFont="1" applyBorder="1" applyAlignment="1">
      <alignment vertical="center" shrinkToFit="1"/>
    </xf>
    <xf numFmtId="177" fontId="26" fillId="6" borderId="28" xfId="0" applyNumberFormat="1" applyFont="1" applyFill="1" applyBorder="1">
      <alignment vertical="center"/>
    </xf>
    <xf numFmtId="177" fontId="21" fillId="0" borderId="28" xfId="0" applyNumberFormat="1" applyFont="1" applyBorder="1" applyAlignment="1">
      <alignment horizontal="left" vertical="center"/>
    </xf>
    <xf numFmtId="0" fontId="21" fillId="0" borderId="28" xfId="0" applyFont="1" applyBorder="1" applyAlignment="1">
      <alignment horizontal="right" vertical="center"/>
    </xf>
    <xf numFmtId="0" fontId="21" fillId="0" borderId="28" xfId="0" applyFont="1" applyBorder="1" applyAlignment="1">
      <alignment vertical="center" shrinkToFit="1"/>
    </xf>
    <xf numFmtId="179" fontId="21" fillId="0" borderId="55" xfId="0" applyNumberFormat="1" applyFont="1" applyBorder="1" applyAlignment="1">
      <alignment vertical="center" shrinkToFit="1"/>
    </xf>
    <xf numFmtId="176" fontId="21" fillId="0" borderId="11" xfId="0" applyNumberFormat="1" applyFont="1" applyBorder="1">
      <alignment vertical="center"/>
    </xf>
    <xf numFmtId="176" fontId="21" fillId="0" borderId="50" xfId="0" applyNumberFormat="1" applyFont="1" applyBorder="1">
      <alignment vertical="center"/>
    </xf>
    <xf numFmtId="176" fontId="21" fillId="0" borderId="51" xfId="0" applyNumberFormat="1" applyFont="1" applyBorder="1">
      <alignment vertical="center"/>
    </xf>
    <xf numFmtId="176" fontId="21" fillId="0" borderId="50" xfId="0" applyNumberFormat="1" applyFont="1" applyBorder="1" applyAlignment="1">
      <alignment horizontal="right" vertical="center"/>
    </xf>
    <xf numFmtId="177" fontId="26" fillId="6" borderId="50" xfId="0" applyNumberFormat="1" applyFont="1" applyFill="1" applyBorder="1">
      <alignment vertical="center"/>
    </xf>
    <xf numFmtId="177" fontId="21" fillId="0" borderId="50" xfId="0" applyNumberFormat="1" applyFont="1" applyBorder="1">
      <alignment vertical="center"/>
    </xf>
    <xf numFmtId="177" fontId="21" fillId="0" borderId="50" xfId="0" applyNumberFormat="1" applyFont="1" applyBorder="1" applyAlignment="1">
      <alignment horizontal="left" vertical="center"/>
    </xf>
    <xf numFmtId="0" fontId="21" fillId="0" borderId="50" xfId="0" applyFont="1" applyBorder="1" applyAlignment="1">
      <alignment horizontal="right" vertical="center" shrinkToFit="1"/>
    </xf>
    <xf numFmtId="0" fontId="21" fillId="0" borderId="50" xfId="0" applyFont="1" applyBorder="1" applyAlignment="1">
      <alignment vertical="center" shrinkToFit="1"/>
    </xf>
    <xf numFmtId="0" fontId="21" fillId="0" borderId="2" xfId="0" applyFont="1" applyBorder="1" applyAlignment="1">
      <alignment vertical="center" shrinkToFit="1"/>
    </xf>
    <xf numFmtId="0" fontId="26" fillId="0" borderId="58" xfId="0" applyFont="1" applyBorder="1" applyAlignment="1">
      <alignment horizontal="center" vertical="center"/>
    </xf>
    <xf numFmtId="186" fontId="26" fillId="0" borderId="59" xfId="0" applyNumberFormat="1" applyFont="1" applyBorder="1">
      <alignment vertical="center"/>
    </xf>
    <xf numFmtId="176" fontId="26" fillId="3" borderId="0" xfId="0" applyNumberFormat="1" applyFont="1" applyFill="1">
      <alignment vertical="center"/>
    </xf>
    <xf numFmtId="176" fontId="21" fillId="3" borderId="0" xfId="0" applyNumberFormat="1" applyFont="1" applyFill="1">
      <alignment vertical="center"/>
    </xf>
    <xf numFmtId="176" fontId="21" fillId="3" borderId="0" xfId="0" applyNumberFormat="1" applyFont="1" applyFill="1" applyAlignment="1">
      <alignment horizontal="right" vertical="center"/>
    </xf>
    <xf numFmtId="177" fontId="26" fillId="3" borderId="0" xfId="0" applyNumberFormat="1" applyFont="1" applyFill="1">
      <alignment vertical="center"/>
    </xf>
    <xf numFmtId="177" fontId="21" fillId="3" borderId="0" xfId="0" applyNumberFormat="1" applyFont="1" applyFill="1">
      <alignment vertical="center"/>
    </xf>
    <xf numFmtId="177" fontId="21" fillId="3" borderId="0" xfId="0" applyNumberFormat="1" applyFont="1" applyFill="1" applyAlignment="1">
      <alignment horizontal="left" vertical="center"/>
    </xf>
    <xf numFmtId="0" fontId="21" fillId="3" borderId="0" xfId="0" applyFont="1" applyFill="1" applyAlignment="1">
      <alignment horizontal="right" vertical="center" shrinkToFit="1"/>
    </xf>
    <xf numFmtId="0" fontId="21" fillId="3" borderId="0" xfId="0" applyFont="1" applyFill="1" applyAlignment="1">
      <alignment vertical="center" shrinkToFit="1"/>
    </xf>
    <xf numFmtId="0" fontId="21" fillId="3" borderId="0" xfId="0" applyFont="1" applyFill="1" applyAlignment="1">
      <alignment horizontal="center" vertical="center" shrinkToFit="1"/>
    </xf>
    <xf numFmtId="0" fontId="26" fillId="3" borderId="0" xfId="0" applyFont="1" applyFill="1" applyAlignment="1">
      <alignment horizontal="center" vertical="center"/>
    </xf>
    <xf numFmtId="186" fontId="26" fillId="3" borderId="0" xfId="0" applyNumberFormat="1" applyFont="1" applyFill="1">
      <alignment vertical="center"/>
    </xf>
    <xf numFmtId="177" fontId="26" fillId="0" borderId="28" xfId="0" applyNumberFormat="1" applyFont="1" applyBorder="1">
      <alignment vertical="center"/>
    </xf>
    <xf numFmtId="177" fontId="26" fillId="0" borderId="28" xfId="0" applyNumberFormat="1" applyFont="1" applyBorder="1" applyAlignment="1">
      <alignment vertical="center" shrinkToFit="1"/>
    </xf>
    <xf numFmtId="0" fontId="26" fillId="0" borderId="68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/>
    </xf>
    <xf numFmtId="186" fontId="26" fillId="0" borderId="55" xfId="0" applyNumberFormat="1" applyFont="1" applyBorder="1">
      <alignment vertical="center"/>
    </xf>
    <xf numFmtId="185" fontId="21" fillId="0" borderId="0" xfId="1" applyNumberFormat="1" applyFont="1" applyAlignment="1">
      <alignment vertical="center"/>
    </xf>
    <xf numFmtId="0" fontId="26" fillId="0" borderId="0" xfId="0" applyFont="1" applyAlignment="1">
      <alignment horizontal="center" vertical="center"/>
    </xf>
    <xf numFmtId="186" fontId="26" fillId="0" borderId="0" xfId="0" applyNumberFormat="1" applyFont="1">
      <alignment vertical="center"/>
    </xf>
    <xf numFmtId="0" fontId="26" fillId="0" borderId="45" xfId="0" applyFont="1" applyBorder="1" applyAlignment="1">
      <alignment horizontal="center" vertical="center"/>
    </xf>
    <xf numFmtId="186" fontId="26" fillId="0" borderId="45" xfId="0" applyNumberFormat="1" applyFont="1" applyBorder="1">
      <alignment vertical="center"/>
    </xf>
    <xf numFmtId="0" fontId="21" fillId="0" borderId="38" xfId="0" applyFont="1" applyBorder="1" applyAlignment="1">
      <alignment horizontal="center" vertical="center"/>
    </xf>
    <xf numFmtId="0" fontId="28" fillId="6" borderId="0" xfId="0" applyFont="1" applyFill="1">
      <alignment vertical="center"/>
    </xf>
    <xf numFmtId="0" fontId="28" fillId="0" borderId="0" xfId="0" applyFont="1">
      <alignment vertical="center"/>
    </xf>
    <xf numFmtId="191" fontId="17" fillId="0" borderId="0" xfId="0" applyNumberFormat="1" applyFont="1">
      <alignment vertical="center"/>
    </xf>
    <xf numFmtId="183" fontId="17" fillId="0" borderId="0" xfId="0" applyNumberFormat="1" applyFont="1">
      <alignment vertical="center"/>
    </xf>
    <xf numFmtId="178" fontId="17" fillId="0" borderId="0" xfId="0" applyNumberFormat="1" applyFont="1">
      <alignment vertical="center"/>
    </xf>
    <xf numFmtId="0" fontId="26" fillId="0" borderId="38" xfId="0" applyFont="1" applyBorder="1" applyAlignment="1">
      <alignment horizontal="center" vertical="center"/>
    </xf>
    <xf numFmtId="196" fontId="21" fillId="0" borderId="38" xfId="0" applyNumberFormat="1" applyFont="1" applyBorder="1" applyAlignment="1">
      <alignment horizontal="center" vertical="center" shrinkToFit="1"/>
    </xf>
    <xf numFmtId="196" fontId="21" fillId="0" borderId="38" xfId="0" applyNumberFormat="1" applyFont="1" applyBorder="1" applyAlignment="1">
      <alignment horizontal="center" vertical="center"/>
    </xf>
    <xf numFmtId="0" fontId="28" fillId="0" borderId="0" xfId="0" applyFont="1" applyAlignment="1">
      <alignment vertical="center" shrinkToFit="1"/>
    </xf>
    <xf numFmtId="196" fontId="26" fillId="8" borderId="38" xfId="0" applyNumberFormat="1" applyFont="1" applyFill="1" applyBorder="1" applyAlignment="1">
      <alignment horizontal="center" vertical="center" shrinkToFit="1"/>
    </xf>
    <xf numFmtId="196" fontId="21" fillId="6" borderId="38" xfId="0" applyNumberFormat="1" applyFont="1" applyFill="1" applyBorder="1" applyAlignment="1">
      <alignment horizontal="center" vertical="center" shrinkToFit="1"/>
    </xf>
    <xf numFmtId="196" fontId="21" fillId="6" borderId="38" xfId="0" applyNumberFormat="1" applyFont="1" applyFill="1" applyBorder="1" applyAlignment="1">
      <alignment horizontal="center" vertical="center"/>
    </xf>
    <xf numFmtId="196" fontId="26" fillId="8" borderId="38" xfId="0" applyNumberFormat="1" applyFont="1" applyFill="1" applyBorder="1" applyAlignment="1">
      <alignment horizontal="center" vertical="center"/>
    </xf>
    <xf numFmtId="196" fontId="26" fillId="6" borderId="38" xfId="0" applyNumberFormat="1" applyFont="1" applyFill="1" applyBorder="1" applyAlignment="1">
      <alignment horizontal="center" vertical="center" shrinkToFit="1"/>
    </xf>
    <xf numFmtId="176" fontId="28" fillId="0" borderId="0" xfId="0" applyNumberFormat="1" applyFont="1">
      <alignment vertical="center"/>
    </xf>
    <xf numFmtId="176" fontId="28" fillId="0" borderId="0" xfId="0" applyNumberFormat="1" applyFont="1" applyAlignment="1">
      <alignment horizontal="center" vertical="center"/>
    </xf>
    <xf numFmtId="0" fontId="21" fillId="0" borderId="38" xfId="0" applyFont="1" applyBorder="1" applyAlignment="1">
      <alignment horizontal="center" vertical="center" shrinkToFit="1"/>
    </xf>
    <xf numFmtId="178" fontId="28" fillId="0" borderId="38" xfId="0" applyNumberFormat="1" applyFont="1" applyBorder="1">
      <alignment vertical="center"/>
    </xf>
    <xf numFmtId="41" fontId="17" fillId="0" borderId="38" xfId="0" applyNumberFormat="1" applyFont="1" applyBorder="1">
      <alignment vertical="center"/>
    </xf>
    <xf numFmtId="186" fontId="26" fillId="0" borderId="40" xfId="0" applyNumberFormat="1" applyFont="1" applyBorder="1">
      <alignment vertical="center"/>
    </xf>
    <xf numFmtId="178" fontId="28" fillId="0" borderId="39" xfId="0" applyNumberFormat="1" applyFont="1" applyBorder="1">
      <alignment vertical="center"/>
    </xf>
    <xf numFmtId="0" fontId="26" fillId="6" borderId="38" xfId="0" applyFont="1" applyFill="1" applyBorder="1" applyAlignment="1">
      <alignment horizontal="center" vertical="center" shrinkToFit="1"/>
    </xf>
    <xf numFmtId="0" fontId="26" fillId="6" borderId="38" xfId="0" applyFont="1" applyFill="1" applyBorder="1" applyAlignment="1">
      <alignment horizontal="center" vertical="center"/>
    </xf>
    <xf numFmtId="178" fontId="28" fillId="6" borderId="40" xfId="0" applyNumberFormat="1" applyFont="1" applyFill="1" applyBorder="1">
      <alignment vertical="center"/>
    </xf>
    <xf numFmtId="178" fontId="28" fillId="6" borderId="56" xfId="0" applyNumberFormat="1" applyFont="1" applyFill="1" applyBorder="1">
      <alignment vertical="center"/>
    </xf>
    <xf numFmtId="186" fontId="26" fillId="6" borderId="42" xfId="0" applyNumberFormat="1" applyFont="1" applyFill="1" applyBorder="1">
      <alignment vertical="center"/>
    </xf>
    <xf numFmtId="178" fontId="21" fillId="0" borderId="38" xfId="0" applyNumberFormat="1" applyFont="1" applyBorder="1">
      <alignment vertical="center"/>
    </xf>
    <xf numFmtId="178" fontId="26" fillId="0" borderId="38" xfId="0" applyNumberFormat="1" applyFont="1" applyBorder="1">
      <alignment vertical="center"/>
    </xf>
    <xf numFmtId="196" fontId="26" fillId="0" borderId="38" xfId="0" applyNumberFormat="1" applyFont="1" applyBorder="1" applyAlignment="1">
      <alignment horizontal="right" vertical="center"/>
    </xf>
    <xf numFmtId="197" fontId="17" fillId="3" borderId="38" xfId="1" applyNumberFormat="1" applyFont="1" applyFill="1" applyBorder="1" applyAlignment="1">
      <alignment vertical="center" shrinkToFit="1"/>
    </xf>
    <xf numFmtId="192" fontId="18" fillId="6" borderId="38" xfId="1" applyNumberFormat="1" applyFont="1" applyFill="1" applyBorder="1" applyAlignment="1">
      <alignment horizontal="right" vertical="center" shrinkToFit="1"/>
    </xf>
    <xf numFmtId="177" fontId="26" fillId="0" borderId="0" xfId="0" applyNumberFormat="1" applyFont="1" applyAlignment="1">
      <alignment horizontal="center" vertical="center"/>
    </xf>
    <xf numFmtId="0" fontId="26" fillId="9" borderId="38" xfId="0" applyFont="1" applyFill="1" applyBorder="1" applyAlignment="1">
      <alignment horizontal="center" vertical="center" shrinkToFit="1"/>
    </xf>
    <xf numFmtId="0" fontId="26" fillId="9" borderId="38" xfId="0" applyFont="1" applyFill="1" applyBorder="1" applyAlignment="1">
      <alignment horizontal="center" vertical="center"/>
    </xf>
    <xf numFmtId="0" fontId="26" fillId="5" borderId="38" xfId="0" applyFont="1" applyFill="1" applyBorder="1" applyAlignment="1">
      <alignment horizontal="center" vertical="center" shrinkToFit="1"/>
    </xf>
    <xf numFmtId="0" fontId="26" fillId="5" borderId="38" xfId="0" applyFont="1" applyFill="1" applyBorder="1" applyAlignment="1">
      <alignment horizontal="center" vertical="center"/>
    </xf>
    <xf numFmtId="0" fontId="21" fillId="3" borderId="32" xfId="0" applyFont="1" applyFill="1" applyBorder="1" applyAlignment="1">
      <alignment horizontal="center" vertical="center"/>
    </xf>
    <xf numFmtId="176" fontId="21" fillId="3" borderId="26" xfId="0" applyNumberFormat="1" applyFont="1" applyFill="1" applyBorder="1" applyAlignment="1">
      <alignment horizontal="center" vertical="center"/>
    </xf>
    <xf numFmtId="177" fontId="21" fillId="3" borderId="26" xfId="0" applyNumberFormat="1" applyFont="1" applyFill="1" applyBorder="1" applyAlignment="1">
      <alignment horizontal="center" vertical="center"/>
    </xf>
    <xf numFmtId="186" fontId="21" fillId="3" borderId="26" xfId="0" applyNumberFormat="1" applyFont="1" applyFill="1" applyBorder="1" applyAlignment="1">
      <alignment horizontal="center" vertical="center"/>
    </xf>
    <xf numFmtId="191" fontId="21" fillId="3" borderId="26" xfId="0" applyNumberFormat="1" applyFont="1" applyFill="1" applyBorder="1" applyAlignment="1">
      <alignment horizontal="center" vertical="center"/>
    </xf>
    <xf numFmtId="179" fontId="21" fillId="3" borderId="26" xfId="0" applyNumberFormat="1" applyFont="1" applyFill="1" applyBorder="1" applyAlignment="1">
      <alignment horizontal="center" vertical="center"/>
    </xf>
    <xf numFmtId="0" fontId="21" fillId="3" borderId="34" xfId="0" applyFont="1" applyFill="1" applyBorder="1" applyAlignment="1">
      <alignment horizontal="center" vertical="center" shrinkToFit="1"/>
    </xf>
    <xf numFmtId="0" fontId="21" fillId="0" borderId="34" xfId="0" applyFont="1" applyBorder="1" applyAlignment="1">
      <alignment horizontal="center" vertical="center"/>
    </xf>
    <xf numFmtId="198" fontId="28" fillId="0" borderId="28" xfId="0" applyNumberFormat="1" applyFont="1" applyBorder="1">
      <alignment vertical="center"/>
    </xf>
    <xf numFmtId="178" fontId="21" fillId="0" borderId="53" xfId="0" applyNumberFormat="1" applyFont="1" applyBorder="1" applyAlignment="1">
      <alignment vertical="center" shrinkToFit="1"/>
    </xf>
    <xf numFmtId="178" fontId="21" fillId="0" borderId="55" xfId="0" applyNumberFormat="1" applyFont="1" applyBorder="1" applyAlignment="1">
      <alignment vertical="center" shrinkToFit="1"/>
    </xf>
    <xf numFmtId="181" fontId="21" fillId="0" borderId="5" xfId="0" applyNumberFormat="1" applyFont="1" applyBorder="1" applyAlignment="1">
      <alignment horizontal="center" vertical="center"/>
    </xf>
    <xf numFmtId="2" fontId="21" fillId="0" borderId="5" xfId="0" applyNumberFormat="1" applyFont="1" applyBorder="1" applyAlignment="1">
      <alignment horizontal="center" vertical="center"/>
    </xf>
    <xf numFmtId="178" fontId="21" fillId="0" borderId="5" xfId="0" applyNumberFormat="1" applyFont="1" applyBorder="1" applyAlignment="1">
      <alignment horizontal="center" vertical="center"/>
    </xf>
    <xf numFmtId="176" fontId="21" fillId="0" borderId="28" xfId="0" applyNumberFormat="1" applyFont="1" applyBorder="1" applyAlignment="1">
      <alignment horizontal="center" vertical="center"/>
    </xf>
    <xf numFmtId="199" fontId="26" fillId="6" borderId="38" xfId="0" applyNumberFormat="1" applyFont="1" applyFill="1" applyBorder="1" applyAlignment="1">
      <alignment horizontal="center" vertical="center" shrinkToFit="1"/>
    </xf>
    <xf numFmtId="184" fontId="21" fillId="0" borderId="0" xfId="0" applyNumberFormat="1" applyFont="1">
      <alignment vertical="center"/>
    </xf>
    <xf numFmtId="186" fontId="21" fillId="0" borderId="0" xfId="0" applyNumberFormat="1" applyFont="1" applyAlignment="1">
      <alignment vertical="center" shrinkToFit="1"/>
    </xf>
    <xf numFmtId="0" fontId="36" fillId="0" borderId="0" xfId="0" applyFont="1" applyAlignment="1">
      <alignment horizontal="center" vertical="center"/>
    </xf>
    <xf numFmtId="177" fontId="21" fillId="0" borderId="0" xfId="0" applyNumberFormat="1" applyFont="1" applyAlignment="1">
      <alignment horizontal="center" vertical="center" shrinkToFit="1"/>
    </xf>
    <xf numFmtId="186" fontId="21" fillId="0" borderId="0" xfId="0" applyNumberFormat="1" applyFont="1" applyAlignment="1">
      <alignment horizontal="center" vertical="center" shrinkToFit="1"/>
    </xf>
    <xf numFmtId="0" fontId="38" fillId="3" borderId="22" xfId="0" applyFont="1" applyFill="1" applyBorder="1" applyAlignment="1">
      <alignment vertical="center" wrapText="1" shrinkToFit="1"/>
    </xf>
    <xf numFmtId="178" fontId="26" fillId="0" borderId="59" xfId="0" applyNumberFormat="1" applyFont="1" applyBorder="1">
      <alignment vertical="center"/>
    </xf>
    <xf numFmtId="178" fontId="26" fillId="0" borderId="55" xfId="0" applyNumberFormat="1" applyFont="1" applyBorder="1">
      <alignment vertical="center"/>
    </xf>
    <xf numFmtId="0" fontId="21" fillId="0" borderId="21" xfId="0" applyFont="1" applyBorder="1">
      <alignment vertical="center"/>
    </xf>
    <xf numFmtId="0" fontId="21" fillId="0" borderId="5" xfId="0" applyFont="1" applyBorder="1">
      <alignment vertical="center"/>
    </xf>
    <xf numFmtId="176" fontId="21" fillId="0" borderId="5" xfId="0" applyNumberFormat="1" applyFont="1" applyBorder="1">
      <alignment vertical="center"/>
    </xf>
    <xf numFmtId="176" fontId="21" fillId="0" borderId="26" xfId="0" applyNumberFormat="1" applyFont="1" applyBorder="1">
      <alignment vertical="center"/>
    </xf>
    <xf numFmtId="177" fontId="21" fillId="0" borderId="5" xfId="0" applyNumberFormat="1" applyFont="1" applyBorder="1">
      <alignment vertical="center"/>
    </xf>
    <xf numFmtId="186" fontId="21" fillId="0" borderId="5" xfId="0" applyNumberFormat="1" applyFont="1" applyBorder="1">
      <alignment vertical="center"/>
    </xf>
    <xf numFmtId="0" fontId="21" fillId="0" borderId="5" xfId="0" applyFont="1" applyBorder="1" applyAlignment="1">
      <alignment vertical="center" shrinkToFit="1"/>
    </xf>
    <xf numFmtId="0" fontId="21" fillId="0" borderId="5" xfId="0" applyFont="1" applyBorder="1" applyAlignment="1">
      <alignment horizontal="center" vertical="center" shrinkToFit="1"/>
    </xf>
    <xf numFmtId="191" fontId="21" fillId="0" borderId="5" xfId="0" applyNumberFormat="1" applyFont="1" applyBorder="1">
      <alignment vertical="center"/>
    </xf>
    <xf numFmtId="179" fontId="21" fillId="0" borderId="5" xfId="0" applyNumberFormat="1" applyFont="1" applyBorder="1">
      <alignment vertical="center"/>
    </xf>
    <xf numFmtId="0" fontId="21" fillId="0" borderId="26" xfId="0" applyFont="1" applyBorder="1" applyAlignment="1">
      <alignment horizontal="center" vertical="center" shrinkToFit="1"/>
    </xf>
    <xf numFmtId="0" fontId="21" fillId="0" borderId="5" xfId="0" applyFont="1" applyBorder="1" applyAlignment="1">
      <alignment horizontal="center" vertical="center"/>
    </xf>
    <xf numFmtId="0" fontId="21" fillId="0" borderId="22" xfId="0" applyFont="1" applyBorder="1" applyAlignment="1">
      <alignment vertical="center" shrinkToFit="1"/>
    </xf>
    <xf numFmtId="0" fontId="21" fillId="0" borderId="21" xfId="0" applyFont="1" applyBorder="1" applyAlignment="1">
      <alignment horizontal="center" vertical="center"/>
    </xf>
    <xf numFmtId="176" fontId="21" fillId="0" borderId="5" xfId="0" applyNumberFormat="1" applyFont="1" applyBorder="1" applyAlignment="1">
      <alignment horizontal="center" vertical="center"/>
    </xf>
    <xf numFmtId="176" fontId="21" fillId="0" borderId="5" xfId="0" quotePrefix="1" applyNumberFormat="1" applyFont="1" applyBorder="1" applyAlignment="1">
      <alignment horizontal="center" vertical="center"/>
    </xf>
    <xf numFmtId="180" fontId="21" fillId="0" borderId="5" xfId="0" applyNumberFormat="1" applyFont="1" applyBorder="1" applyAlignment="1">
      <alignment horizontal="center" vertical="center"/>
    </xf>
    <xf numFmtId="183" fontId="21" fillId="0" borderId="5" xfId="1" applyNumberFormat="1" applyFont="1" applyFill="1" applyBorder="1" applyAlignment="1">
      <alignment horizontal="center" vertical="center"/>
    </xf>
    <xf numFmtId="177" fontId="21" fillId="0" borderId="5" xfId="0" applyNumberFormat="1" applyFont="1" applyBorder="1" applyAlignment="1">
      <alignment horizontal="center" vertical="center"/>
    </xf>
    <xf numFmtId="186" fontId="21" fillId="0" borderId="5" xfId="0" applyNumberFormat="1" applyFont="1" applyBorder="1" applyAlignment="1">
      <alignment horizontal="center" vertical="center"/>
    </xf>
    <xf numFmtId="187" fontId="21" fillId="0" borderId="5" xfId="0" applyNumberFormat="1" applyFont="1" applyBorder="1" applyAlignment="1">
      <alignment horizontal="center" vertical="center"/>
    </xf>
    <xf numFmtId="191" fontId="21" fillId="0" borderId="5" xfId="0" applyNumberFormat="1" applyFont="1" applyBorder="1" applyAlignment="1">
      <alignment horizontal="center" vertical="center"/>
    </xf>
    <xf numFmtId="179" fontId="21" fillId="0" borderId="5" xfId="0" applyNumberFormat="1" applyFont="1" applyBorder="1" applyAlignment="1">
      <alignment horizontal="center" vertical="center"/>
    </xf>
    <xf numFmtId="188" fontId="21" fillId="0" borderId="5" xfId="0" applyNumberFormat="1" applyFont="1" applyBorder="1" applyAlignment="1">
      <alignment horizontal="center" vertical="center"/>
    </xf>
    <xf numFmtId="0" fontId="21" fillId="0" borderId="22" xfId="0" applyFont="1" applyBorder="1" applyAlignment="1">
      <alignment vertical="center" wrapText="1" shrinkToFit="1"/>
    </xf>
    <xf numFmtId="49" fontId="21" fillId="0" borderId="5" xfId="0" applyNumberFormat="1" applyFont="1" applyBorder="1" applyAlignment="1">
      <alignment horizontal="center" vertical="center" shrinkToFit="1"/>
    </xf>
    <xf numFmtId="177" fontId="21" fillId="0" borderId="5" xfId="0" applyNumberFormat="1" applyFont="1" applyBorder="1" applyAlignment="1">
      <alignment horizontal="center" vertical="center" shrinkToFit="1"/>
    </xf>
    <xf numFmtId="191" fontId="21" fillId="0" borderId="5" xfId="0" applyNumberFormat="1" applyFont="1" applyBorder="1" applyAlignment="1">
      <alignment horizontal="center" vertical="center" shrinkToFit="1"/>
    </xf>
    <xf numFmtId="179" fontId="21" fillId="0" borderId="5" xfId="0" applyNumberFormat="1" applyFont="1" applyBorder="1" applyAlignment="1">
      <alignment horizontal="center" vertical="center" shrinkToFit="1"/>
    </xf>
    <xf numFmtId="0" fontId="27" fillId="0" borderId="22" xfId="0" applyFont="1" applyBorder="1" applyAlignment="1">
      <alignment vertical="center" wrapText="1" shrinkToFit="1"/>
    </xf>
    <xf numFmtId="0" fontId="38" fillId="0" borderId="22" xfId="0" applyFont="1" applyBorder="1" applyAlignment="1">
      <alignment vertical="center" wrapText="1" shrinkToFit="1"/>
    </xf>
    <xf numFmtId="0" fontId="21" fillId="0" borderId="5" xfId="0" applyFont="1" applyBorder="1" applyAlignment="1">
      <alignment horizontal="center" vertical="center" wrapText="1"/>
    </xf>
    <xf numFmtId="186" fontId="21" fillId="0" borderId="5" xfId="0" applyNumberFormat="1" applyFont="1" applyBorder="1" applyAlignment="1">
      <alignment horizontal="center" vertical="center" shrinkToFit="1"/>
    </xf>
    <xf numFmtId="0" fontId="0" fillId="3" borderId="0" xfId="0" applyFill="1">
      <alignment vertical="center"/>
    </xf>
    <xf numFmtId="0" fontId="40" fillId="12" borderId="78" xfId="0" applyFont="1" applyFill="1" applyBorder="1" applyAlignment="1">
      <alignment horizontal="center" vertical="center" wrapText="1"/>
    </xf>
    <xf numFmtId="0" fontId="41" fillId="12" borderId="78" xfId="0" applyFont="1" applyFill="1" applyBorder="1" applyAlignment="1">
      <alignment horizontal="center" vertical="center" wrapText="1"/>
    </xf>
    <xf numFmtId="176" fontId="41" fillId="12" borderId="78" xfId="0" applyNumberFormat="1" applyFont="1" applyFill="1" applyBorder="1" applyAlignment="1">
      <alignment horizontal="center" vertical="center" wrapText="1"/>
    </xf>
    <xf numFmtId="177" fontId="41" fillId="12" borderId="78" xfId="0" applyNumberFormat="1" applyFont="1" applyFill="1" applyBorder="1" applyAlignment="1">
      <alignment horizontal="center" vertical="center" wrapText="1"/>
    </xf>
    <xf numFmtId="41" fontId="0" fillId="3" borderId="0" xfId="1" applyFont="1" applyFill="1">
      <alignment vertical="center"/>
    </xf>
    <xf numFmtId="0" fontId="0" fillId="3" borderId="0" xfId="0" applyFill="1" applyAlignment="1">
      <alignment horizontal="center" vertical="center"/>
    </xf>
    <xf numFmtId="0" fontId="0" fillId="13" borderId="78" xfId="0" applyFill="1" applyBorder="1" applyAlignment="1">
      <alignment horizontal="center" vertical="center"/>
    </xf>
    <xf numFmtId="193" fontId="21" fillId="0" borderId="52" xfId="0" applyNumberFormat="1" applyFont="1" applyBorder="1" applyAlignment="1">
      <alignment horizontal="center" vertical="center" shrinkToFit="1"/>
    </xf>
    <xf numFmtId="0" fontId="21" fillId="0" borderId="52" xfId="0" applyFont="1" applyBorder="1" applyAlignment="1">
      <alignment horizontal="center" vertical="center" shrinkToFit="1"/>
    </xf>
    <xf numFmtId="0" fontId="21" fillId="0" borderId="54" xfId="0" applyFont="1" applyBorder="1" applyAlignment="1">
      <alignment horizontal="center" vertical="center" shrinkToFit="1"/>
    </xf>
    <xf numFmtId="0" fontId="21" fillId="0" borderId="52" xfId="0" applyFont="1" applyBorder="1" applyAlignment="1">
      <alignment vertical="center" shrinkToFit="1"/>
    </xf>
    <xf numFmtId="0" fontId="21" fillId="0" borderId="54" xfId="0" applyFont="1" applyBorder="1" applyAlignment="1">
      <alignment vertical="center" shrinkToFit="1"/>
    </xf>
    <xf numFmtId="179" fontId="21" fillId="0" borderId="52" xfId="0" applyNumberFormat="1" applyFont="1" applyBorder="1" applyAlignment="1">
      <alignment vertical="center" shrinkToFit="1"/>
    </xf>
    <xf numFmtId="179" fontId="21" fillId="0" borderId="54" xfId="0" applyNumberFormat="1" applyFont="1" applyBorder="1" applyAlignment="1">
      <alignment vertical="center" shrinkToFit="1"/>
    </xf>
    <xf numFmtId="186" fontId="21" fillId="0" borderId="38" xfId="0" applyNumberFormat="1" applyFont="1" applyBorder="1" applyAlignment="1">
      <alignment vertical="center" shrinkToFit="1"/>
    </xf>
    <xf numFmtId="179" fontId="21" fillId="0" borderId="38" xfId="0" applyNumberFormat="1" applyFont="1" applyBorder="1" applyAlignment="1">
      <alignment vertical="center" shrinkToFit="1"/>
    </xf>
    <xf numFmtId="186" fontId="21" fillId="0" borderId="60" xfId="0" applyNumberFormat="1" applyFont="1" applyBorder="1" applyAlignment="1">
      <alignment vertical="center" shrinkToFit="1"/>
    </xf>
    <xf numFmtId="179" fontId="21" fillId="0" borderId="60" xfId="0" applyNumberFormat="1" applyFont="1" applyBorder="1" applyAlignment="1">
      <alignment vertical="center" shrinkToFit="1"/>
    </xf>
    <xf numFmtId="178" fontId="21" fillId="0" borderId="44" xfId="0" applyNumberFormat="1" applyFont="1" applyBorder="1" applyAlignment="1">
      <alignment vertical="center" shrinkToFit="1"/>
    </xf>
    <xf numFmtId="193" fontId="21" fillId="0" borderId="45" xfId="0" applyNumberFormat="1" applyFont="1" applyBorder="1" applyAlignment="1">
      <alignment horizontal="center" vertical="center" shrinkToFit="1"/>
    </xf>
    <xf numFmtId="186" fontId="21" fillId="0" borderId="45" xfId="0" applyNumberFormat="1" applyFont="1" applyBorder="1" applyAlignment="1">
      <alignment vertical="center" shrinkToFit="1"/>
    </xf>
    <xf numFmtId="179" fontId="21" fillId="0" borderId="45" xfId="0" applyNumberFormat="1" applyFont="1" applyBorder="1" applyAlignment="1">
      <alignment vertical="center" shrinkToFit="1"/>
    </xf>
    <xf numFmtId="178" fontId="21" fillId="0" borderId="45" xfId="0" applyNumberFormat="1" applyFont="1" applyBorder="1" applyAlignment="1">
      <alignment vertical="center" shrinkToFit="1"/>
    </xf>
    <xf numFmtId="0" fontId="24" fillId="2" borderId="79" xfId="0" applyFont="1" applyFill="1" applyBorder="1" applyAlignment="1">
      <alignment horizontal="center" vertical="center" wrapText="1"/>
    </xf>
    <xf numFmtId="0" fontId="21" fillId="3" borderId="82" xfId="0" applyFont="1" applyFill="1" applyBorder="1" applyAlignment="1">
      <alignment horizontal="center" vertical="center"/>
    </xf>
    <xf numFmtId="49" fontId="21" fillId="3" borderId="80" xfId="0" applyNumberFormat="1" applyFont="1" applyFill="1" applyBorder="1" applyAlignment="1">
      <alignment horizontal="center" vertical="center" shrinkToFit="1"/>
    </xf>
    <xf numFmtId="0" fontId="21" fillId="3" borderId="80" xfId="0" applyFont="1" applyFill="1" applyBorder="1" applyAlignment="1">
      <alignment horizontal="center" vertical="center"/>
    </xf>
    <xf numFmtId="0" fontId="21" fillId="3" borderId="81" xfId="0" applyFont="1" applyFill="1" applyBorder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196" fontId="21" fillId="0" borderId="0" xfId="0" applyNumberFormat="1" applyFont="1" applyAlignment="1">
      <alignment horizontal="center" vertical="center"/>
    </xf>
    <xf numFmtId="196" fontId="26" fillId="8" borderId="0" xfId="0" applyNumberFormat="1" applyFont="1" applyFill="1" applyAlignment="1">
      <alignment horizontal="center" vertical="center" shrinkToFit="1"/>
    </xf>
    <xf numFmtId="196" fontId="21" fillId="6" borderId="0" xfId="0" applyNumberFormat="1" applyFont="1" applyFill="1" applyAlignment="1">
      <alignment horizontal="center" vertical="center"/>
    </xf>
    <xf numFmtId="196" fontId="26" fillId="8" borderId="0" xfId="0" applyNumberFormat="1" applyFont="1" applyFill="1" applyAlignment="1">
      <alignment horizontal="center" vertical="center"/>
    </xf>
    <xf numFmtId="196" fontId="26" fillId="6" borderId="0" xfId="0" applyNumberFormat="1" applyFont="1" applyFill="1" applyAlignment="1">
      <alignment horizontal="center" vertical="center" shrinkToFit="1"/>
    </xf>
    <xf numFmtId="0" fontId="26" fillId="9" borderId="0" xfId="0" applyFont="1" applyFill="1" applyAlignment="1">
      <alignment horizontal="center" vertical="center"/>
    </xf>
    <xf numFmtId="0" fontId="26" fillId="10" borderId="84" xfId="0" applyFont="1" applyFill="1" applyBorder="1" applyAlignment="1">
      <alignment horizontal="center" vertical="center" wrapText="1"/>
    </xf>
    <xf numFmtId="0" fontId="27" fillId="3" borderId="5" xfId="0" applyFont="1" applyFill="1" applyBorder="1" applyAlignment="1">
      <alignment horizontal="center" vertical="center"/>
    </xf>
    <xf numFmtId="179" fontId="21" fillId="0" borderId="26" xfId="0" applyNumberFormat="1" applyFont="1" applyBorder="1">
      <alignment vertical="center"/>
    </xf>
    <xf numFmtId="0" fontId="12" fillId="0" borderId="0" xfId="0" applyFont="1" applyAlignment="1"/>
    <xf numFmtId="0" fontId="17" fillId="0" borderId="1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81" fontId="19" fillId="0" borderId="5" xfId="0" applyNumberFormat="1" applyFont="1" applyBorder="1" applyAlignment="1">
      <alignment horizontal="center" vertical="center"/>
    </xf>
    <xf numFmtId="177" fontId="17" fillId="0" borderId="5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shrinkToFit="1"/>
    </xf>
    <xf numFmtId="178" fontId="17" fillId="0" borderId="5" xfId="0" applyNumberFormat="1" applyFont="1" applyBorder="1" applyAlignment="1">
      <alignment horizontal="center" vertical="center"/>
    </xf>
    <xf numFmtId="179" fontId="17" fillId="0" borderId="5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vertical="center" shrinkToFit="1"/>
    </xf>
    <xf numFmtId="0" fontId="45" fillId="3" borderId="5" xfId="6" applyFont="1" applyFill="1" applyBorder="1" applyAlignment="1">
      <alignment horizontal="center" vertical="center" shrinkToFit="1"/>
    </xf>
    <xf numFmtId="182" fontId="21" fillId="0" borderId="5" xfId="0" applyNumberFormat="1" applyFont="1" applyBorder="1" applyAlignment="1">
      <alignment horizontal="center" vertical="center"/>
    </xf>
    <xf numFmtId="0" fontId="45" fillId="0" borderId="5" xfId="6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vertical="center" wrapText="1"/>
    </xf>
    <xf numFmtId="0" fontId="26" fillId="0" borderId="14" xfId="0" applyFont="1" applyBorder="1" applyAlignment="1">
      <alignment vertical="center" shrinkToFit="1"/>
    </xf>
    <xf numFmtId="0" fontId="21" fillId="0" borderId="26" xfId="0" applyFont="1" applyBorder="1" applyAlignment="1">
      <alignment horizontal="center" vertical="center"/>
    </xf>
    <xf numFmtId="0" fontId="27" fillId="3" borderId="22" xfId="0" applyFont="1" applyFill="1" applyBorder="1" applyAlignment="1">
      <alignment vertical="center" shrinkToFit="1"/>
    </xf>
    <xf numFmtId="0" fontId="37" fillId="0" borderId="0" xfId="0" applyFont="1" applyAlignment="1">
      <alignment vertical="center" shrinkToFit="1"/>
    </xf>
    <xf numFmtId="0" fontId="21" fillId="0" borderId="36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176" fontId="21" fillId="0" borderId="24" xfId="0" applyNumberFormat="1" applyFont="1" applyBorder="1" applyAlignment="1">
      <alignment horizontal="center" vertical="center" wrapText="1"/>
    </xf>
    <xf numFmtId="183" fontId="21" fillId="0" borderId="24" xfId="1" applyNumberFormat="1" applyFont="1" applyFill="1" applyBorder="1" applyAlignment="1">
      <alignment horizontal="center" vertical="center" wrapText="1"/>
    </xf>
    <xf numFmtId="186" fontId="26" fillId="0" borderId="24" xfId="0" applyNumberFormat="1" applyFont="1" applyBorder="1" applyAlignment="1">
      <alignment horizontal="center" vertical="center" wrapText="1"/>
    </xf>
    <xf numFmtId="186" fontId="21" fillId="0" borderId="24" xfId="0" applyNumberFormat="1" applyFont="1" applyBorder="1" applyAlignment="1">
      <alignment horizontal="center" vertical="center" wrapText="1"/>
    </xf>
    <xf numFmtId="177" fontId="26" fillId="0" borderId="24" xfId="0" applyNumberFormat="1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shrinkToFit="1"/>
    </xf>
    <xf numFmtId="0" fontId="21" fillId="0" borderId="24" xfId="0" applyFont="1" applyBorder="1" applyAlignment="1">
      <alignment horizontal="center" vertical="center"/>
    </xf>
    <xf numFmtId="177" fontId="21" fillId="0" borderId="24" xfId="0" applyNumberFormat="1" applyFont="1" applyBorder="1" applyAlignment="1">
      <alignment horizontal="center" vertical="center"/>
    </xf>
    <xf numFmtId="191" fontId="21" fillId="0" borderId="24" xfId="0" applyNumberFormat="1" applyFont="1" applyBorder="1" applyAlignment="1">
      <alignment horizontal="center" vertical="center"/>
    </xf>
    <xf numFmtId="179" fontId="21" fillId="0" borderId="24" xfId="0" applyNumberFormat="1" applyFont="1" applyBorder="1" applyAlignment="1">
      <alignment horizontal="center" vertical="center"/>
    </xf>
    <xf numFmtId="49" fontId="21" fillId="0" borderId="24" xfId="0" applyNumberFormat="1" applyFont="1" applyBorder="1" applyAlignment="1">
      <alignment horizontal="center" vertical="center" shrinkToFit="1"/>
    </xf>
    <xf numFmtId="0" fontId="21" fillId="0" borderId="25" xfId="0" applyFont="1" applyBorder="1">
      <alignment vertical="center"/>
    </xf>
    <xf numFmtId="194" fontId="21" fillId="0" borderId="24" xfId="1" applyNumberFormat="1" applyFont="1" applyFill="1" applyBorder="1" applyAlignment="1">
      <alignment horizontal="center" vertical="center" wrapText="1"/>
    </xf>
    <xf numFmtId="192" fontId="21" fillId="0" borderId="24" xfId="1" applyNumberFormat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shrinkToFit="1"/>
    </xf>
    <xf numFmtId="176" fontId="21" fillId="11" borderId="5" xfId="0" applyNumberFormat="1" applyFont="1" applyFill="1" applyBorder="1" applyAlignment="1">
      <alignment horizontal="center" vertical="center"/>
    </xf>
    <xf numFmtId="0" fontId="26" fillId="0" borderId="75" xfId="0" applyFont="1" applyBorder="1" applyAlignment="1">
      <alignment horizontal="center" vertical="center" shrinkToFit="1"/>
    </xf>
    <xf numFmtId="178" fontId="26" fillId="0" borderId="76" xfId="0" applyNumberFormat="1" applyFont="1" applyBorder="1" applyAlignment="1">
      <alignment horizontal="center" vertical="center" shrinkToFit="1"/>
    </xf>
    <xf numFmtId="178" fontId="26" fillId="0" borderId="77" xfId="0" applyNumberFormat="1" applyFont="1" applyBorder="1" applyAlignment="1">
      <alignment horizontal="center" vertical="center" shrinkToFit="1"/>
    </xf>
    <xf numFmtId="193" fontId="21" fillId="0" borderId="61" xfId="0" applyNumberFormat="1" applyFont="1" applyBorder="1" applyAlignment="1">
      <alignment horizontal="center" vertical="center" shrinkToFit="1"/>
    </xf>
    <xf numFmtId="186" fontId="21" fillId="0" borderId="62" xfId="0" applyNumberFormat="1" applyFont="1" applyBorder="1" applyAlignment="1">
      <alignment vertical="center" shrinkToFit="1"/>
    </xf>
    <xf numFmtId="178" fontId="21" fillId="0" borderId="63" xfId="0" applyNumberFormat="1" applyFont="1" applyBorder="1" applyAlignment="1">
      <alignment vertical="center" shrinkToFit="1"/>
    </xf>
    <xf numFmtId="0" fontId="21" fillId="0" borderId="61" xfId="0" applyFont="1" applyBorder="1" applyAlignment="1">
      <alignment vertical="center" shrinkToFit="1"/>
    </xf>
    <xf numFmtId="179" fontId="21" fillId="0" borderId="62" xfId="0" applyNumberFormat="1" applyFont="1" applyBorder="1" applyAlignment="1">
      <alignment vertical="center" shrinkToFit="1"/>
    </xf>
    <xf numFmtId="179" fontId="21" fillId="0" borderId="63" xfId="0" applyNumberFormat="1" applyFont="1" applyBorder="1" applyAlignment="1">
      <alignment vertical="center" shrinkToFit="1"/>
    </xf>
    <xf numFmtId="179" fontId="21" fillId="0" borderId="61" xfId="0" applyNumberFormat="1" applyFont="1" applyBorder="1" applyAlignment="1">
      <alignment vertical="center" shrinkToFit="1"/>
    </xf>
    <xf numFmtId="176" fontId="27" fillId="0" borderId="5" xfId="0" applyNumberFormat="1" applyFont="1" applyBorder="1" applyAlignment="1">
      <alignment horizontal="center" vertical="center"/>
    </xf>
    <xf numFmtId="177" fontId="27" fillId="0" borderId="5" xfId="0" applyNumberFormat="1" applyFont="1" applyBorder="1" applyAlignment="1">
      <alignment horizontal="center" vertical="center"/>
    </xf>
    <xf numFmtId="0" fontId="21" fillId="0" borderId="25" xfId="0" applyFont="1" applyBorder="1" applyAlignment="1">
      <alignment vertical="center" wrapText="1" shrinkToFit="1"/>
    </xf>
    <xf numFmtId="0" fontId="27" fillId="3" borderId="0" xfId="0" applyFont="1" applyFill="1">
      <alignment vertical="center"/>
    </xf>
    <xf numFmtId="180" fontId="27" fillId="0" borderId="5" xfId="0" applyNumberFormat="1" applyFont="1" applyBorder="1" applyAlignment="1">
      <alignment horizontal="center" vertical="center"/>
    </xf>
    <xf numFmtId="183" fontId="27" fillId="0" borderId="5" xfId="1" applyNumberFormat="1" applyFont="1" applyFill="1" applyBorder="1" applyAlignment="1">
      <alignment horizontal="center" vertical="center"/>
    </xf>
    <xf numFmtId="186" fontId="27" fillId="0" borderId="5" xfId="0" applyNumberFormat="1" applyFont="1" applyBorder="1" applyAlignment="1">
      <alignment horizontal="center" vertical="center"/>
    </xf>
    <xf numFmtId="187" fontId="27" fillId="0" borderId="5" xfId="0" applyNumberFormat="1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 shrinkToFit="1"/>
    </xf>
    <xf numFmtId="49" fontId="27" fillId="0" borderId="5" xfId="0" applyNumberFormat="1" applyFont="1" applyBorder="1" applyAlignment="1">
      <alignment horizontal="center" vertical="center" shrinkToFit="1"/>
    </xf>
    <xf numFmtId="177" fontId="27" fillId="0" borderId="5" xfId="0" applyNumberFormat="1" applyFont="1" applyBorder="1" applyAlignment="1">
      <alignment horizontal="center" vertical="center" shrinkToFit="1"/>
    </xf>
    <xf numFmtId="191" fontId="27" fillId="0" borderId="5" xfId="0" applyNumberFormat="1" applyFont="1" applyBorder="1" applyAlignment="1">
      <alignment horizontal="center" vertical="center" shrinkToFit="1"/>
    </xf>
    <xf numFmtId="179" fontId="27" fillId="0" borderId="5" xfId="0" applyNumberFormat="1" applyFont="1" applyBorder="1" applyAlignment="1">
      <alignment horizontal="center" vertical="center" shrinkToFit="1"/>
    </xf>
    <xf numFmtId="178" fontId="27" fillId="0" borderId="5" xfId="0" applyNumberFormat="1" applyFont="1" applyBorder="1" applyAlignment="1">
      <alignment horizontal="center" vertical="center"/>
    </xf>
    <xf numFmtId="179" fontId="27" fillId="0" borderId="5" xfId="0" applyNumberFormat="1" applyFont="1" applyBorder="1" applyAlignment="1">
      <alignment horizontal="center" vertical="center"/>
    </xf>
    <xf numFmtId="179" fontId="27" fillId="0" borderId="5" xfId="0" applyNumberFormat="1" applyFont="1" applyBorder="1">
      <alignment vertical="center"/>
    </xf>
    <xf numFmtId="0" fontId="21" fillId="11" borderId="5" xfId="0" applyFont="1" applyFill="1" applyBorder="1" applyAlignment="1">
      <alignment horizontal="center" vertical="center"/>
    </xf>
    <xf numFmtId="0" fontId="21" fillId="11" borderId="21" xfId="0" applyFont="1" applyFill="1" applyBorder="1" applyAlignment="1">
      <alignment horizontal="center" vertical="center"/>
    </xf>
    <xf numFmtId="180" fontId="21" fillId="11" borderId="5" xfId="0" applyNumberFormat="1" applyFont="1" applyFill="1" applyBorder="1" applyAlignment="1">
      <alignment horizontal="center" vertical="center"/>
    </xf>
    <xf numFmtId="183" fontId="21" fillId="11" borderId="5" xfId="1" applyNumberFormat="1" applyFont="1" applyFill="1" applyBorder="1" applyAlignment="1">
      <alignment horizontal="center" vertical="center"/>
    </xf>
    <xf numFmtId="177" fontId="21" fillId="11" borderId="5" xfId="0" applyNumberFormat="1" applyFont="1" applyFill="1" applyBorder="1" applyAlignment="1">
      <alignment horizontal="center" vertical="center"/>
    </xf>
    <xf numFmtId="186" fontId="21" fillId="11" borderId="5" xfId="0" applyNumberFormat="1" applyFont="1" applyFill="1" applyBorder="1" applyAlignment="1">
      <alignment horizontal="center" vertical="center"/>
    </xf>
    <xf numFmtId="187" fontId="21" fillId="11" borderId="5" xfId="0" applyNumberFormat="1" applyFont="1" applyFill="1" applyBorder="1" applyAlignment="1">
      <alignment horizontal="center" vertical="center"/>
    </xf>
    <xf numFmtId="0" fontId="21" fillId="11" borderId="5" xfId="0" applyFont="1" applyFill="1" applyBorder="1" applyAlignment="1">
      <alignment horizontal="center" vertical="center" shrinkToFit="1"/>
    </xf>
    <xf numFmtId="191" fontId="21" fillId="11" borderId="5" xfId="0" applyNumberFormat="1" applyFont="1" applyFill="1" applyBorder="1" applyAlignment="1">
      <alignment horizontal="center" vertical="center"/>
    </xf>
    <xf numFmtId="179" fontId="21" fillId="11" borderId="5" xfId="0" applyNumberFormat="1" applyFont="1" applyFill="1" applyBorder="1" applyAlignment="1">
      <alignment horizontal="center" vertical="center"/>
    </xf>
    <xf numFmtId="179" fontId="21" fillId="11" borderId="5" xfId="0" applyNumberFormat="1" applyFont="1" applyFill="1" applyBorder="1">
      <alignment vertical="center"/>
    </xf>
    <xf numFmtId="49" fontId="21" fillId="11" borderId="5" xfId="0" applyNumberFormat="1" applyFont="1" applyFill="1" applyBorder="1" applyAlignment="1">
      <alignment horizontal="center" vertical="center" shrinkToFit="1"/>
    </xf>
    <xf numFmtId="0" fontId="21" fillId="11" borderId="22" xfId="0" applyFont="1" applyFill="1" applyBorder="1" applyAlignment="1">
      <alignment vertical="center" shrinkToFit="1"/>
    </xf>
    <xf numFmtId="178" fontId="21" fillId="11" borderId="5" xfId="0" applyNumberFormat="1" applyFont="1" applyFill="1" applyBorder="1" applyAlignment="1">
      <alignment horizontal="center" vertical="center"/>
    </xf>
    <xf numFmtId="0" fontId="27" fillId="11" borderId="22" xfId="0" applyFont="1" applyFill="1" applyBorder="1" applyAlignment="1">
      <alignment vertical="center" wrapText="1" shrinkToFit="1"/>
    </xf>
    <xf numFmtId="0" fontId="21" fillId="3" borderId="32" xfId="0" applyFont="1" applyFill="1" applyBorder="1">
      <alignment vertical="center"/>
    </xf>
    <xf numFmtId="0" fontId="21" fillId="3" borderId="26" xfId="0" applyFont="1" applyFill="1" applyBorder="1">
      <alignment vertical="center"/>
    </xf>
    <xf numFmtId="177" fontId="21" fillId="3" borderId="26" xfId="0" applyNumberFormat="1" applyFont="1" applyFill="1" applyBorder="1">
      <alignment vertical="center"/>
    </xf>
    <xf numFmtId="186" fontId="21" fillId="3" borderId="26" xfId="0" applyNumberFormat="1" applyFont="1" applyFill="1" applyBorder="1">
      <alignment vertical="center"/>
    </xf>
    <xf numFmtId="0" fontId="21" fillId="3" borderId="26" xfId="0" applyFont="1" applyFill="1" applyBorder="1" applyAlignment="1">
      <alignment vertical="center" shrinkToFit="1"/>
    </xf>
    <xf numFmtId="191" fontId="21" fillId="3" borderId="26" xfId="0" applyNumberFormat="1" applyFont="1" applyFill="1" applyBorder="1">
      <alignment vertical="center"/>
    </xf>
    <xf numFmtId="0" fontId="21" fillId="3" borderId="85" xfId="0" applyFont="1" applyFill="1" applyBorder="1" applyAlignment="1">
      <alignment vertical="center" shrinkToFit="1"/>
    </xf>
    <xf numFmtId="0" fontId="26" fillId="11" borderId="13" xfId="0" applyFont="1" applyFill="1" applyBorder="1" applyAlignment="1">
      <alignment horizontal="left" vertical="center"/>
    </xf>
    <xf numFmtId="0" fontId="26" fillId="11" borderId="14" xfId="0" applyFont="1" applyFill="1" applyBorder="1" applyAlignment="1">
      <alignment vertical="center" wrapText="1"/>
    </xf>
    <xf numFmtId="0" fontId="26" fillId="11" borderId="15" xfId="0" applyFont="1" applyFill="1" applyBorder="1" applyAlignment="1">
      <alignment vertical="center" wrapText="1"/>
    </xf>
    <xf numFmtId="176" fontId="21" fillId="11" borderId="26" xfId="0" applyNumberFormat="1" applyFont="1" applyFill="1" applyBorder="1">
      <alignment vertical="center"/>
    </xf>
    <xf numFmtId="179" fontId="21" fillId="11" borderId="26" xfId="0" applyNumberFormat="1" applyFont="1" applyFill="1" applyBorder="1">
      <alignment vertical="center"/>
    </xf>
    <xf numFmtId="0" fontId="21" fillId="11" borderId="26" xfId="0" applyFont="1" applyFill="1" applyBorder="1" applyAlignment="1">
      <alignment horizontal="center" vertical="center" shrinkToFit="1"/>
    </xf>
    <xf numFmtId="0" fontId="21" fillId="11" borderId="26" xfId="0" applyFont="1" applyFill="1" applyBorder="1" applyAlignment="1">
      <alignment horizontal="center" vertical="center"/>
    </xf>
    <xf numFmtId="181" fontId="21" fillId="11" borderId="5" xfId="0" applyNumberFormat="1" applyFont="1" applyFill="1" applyBorder="1" applyAlignment="1">
      <alignment horizontal="center" vertical="center"/>
    </xf>
    <xf numFmtId="2" fontId="21" fillId="11" borderId="5" xfId="0" applyNumberFormat="1" applyFont="1" applyFill="1" applyBorder="1" applyAlignment="1">
      <alignment horizontal="center" vertical="center"/>
    </xf>
    <xf numFmtId="188" fontId="21" fillId="11" borderId="5" xfId="0" applyNumberFormat="1" applyFont="1" applyFill="1" applyBorder="1" applyAlignment="1">
      <alignment horizontal="center" vertical="center"/>
    </xf>
    <xf numFmtId="186" fontId="21" fillId="11" borderId="5" xfId="0" applyNumberFormat="1" applyFont="1" applyFill="1" applyBorder="1">
      <alignment vertical="center"/>
    </xf>
    <xf numFmtId="177" fontId="21" fillId="11" borderId="5" xfId="0" applyNumberFormat="1" applyFont="1" applyFill="1" applyBorder="1">
      <alignment vertical="center"/>
    </xf>
    <xf numFmtId="0" fontId="45" fillId="11" borderId="5" xfId="6" applyFont="1" applyFill="1" applyBorder="1" applyAlignment="1">
      <alignment horizontal="center" vertical="center" shrinkToFit="1"/>
    </xf>
    <xf numFmtId="200" fontId="27" fillId="11" borderId="5" xfId="0" applyNumberFormat="1" applyFont="1" applyFill="1" applyBorder="1" applyAlignment="1">
      <alignment horizontal="center" vertical="center"/>
    </xf>
    <xf numFmtId="176" fontId="27" fillId="11" borderId="5" xfId="0" applyNumberFormat="1" applyFont="1" applyFill="1" applyBorder="1" applyAlignment="1">
      <alignment horizontal="center" vertical="center"/>
    </xf>
    <xf numFmtId="177" fontId="27" fillId="11" borderId="5" xfId="0" applyNumberFormat="1" applyFont="1" applyFill="1" applyBorder="1" applyAlignment="1">
      <alignment horizontal="center" vertical="center"/>
    </xf>
    <xf numFmtId="0" fontId="21" fillId="11" borderId="36" xfId="0" applyFont="1" applyFill="1" applyBorder="1" applyAlignment="1">
      <alignment horizontal="center" vertical="center" wrapText="1"/>
    </xf>
    <xf numFmtId="0" fontId="21" fillId="11" borderId="24" xfId="0" applyFont="1" applyFill="1" applyBorder="1" applyAlignment="1">
      <alignment horizontal="center" vertical="center" wrapText="1"/>
    </xf>
    <xf numFmtId="176" fontId="21" fillId="11" borderId="24" xfId="0" applyNumberFormat="1" applyFont="1" applyFill="1" applyBorder="1" applyAlignment="1">
      <alignment horizontal="center" vertical="center" wrapText="1"/>
    </xf>
    <xf numFmtId="183" fontId="21" fillId="11" borderId="24" xfId="1" applyNumberFormat="1" applyFont="1" applyFill="1" applyBorder="1" applyAlignment="1">
      <alignment horizontal="center" vertical="center" wrapText="1"/>
    </xf>
    <xf numFmtId="186" fontId="26" fillId="11" borderId="24" xfId="0" applyNumberFormat="1" applyFont="1" applyFill="1" applyBorder="1" applyAlignment="1">
      <alignment horizontal="center" vertical="center" wrapText="1"/>
    </xf>
    <xf numFmtId="186" fontId="21" fillId="11" borderId="24" xfId="0" applyNumberFormat="1" applyFont="1" applyFill="1" applyBorder="1" applyAlignment="1">
      <alignment horizontal="center" vertical="center" wrapText="1"/>
    </xf>
    <xf numFmtId="177" fontId="26" fillId="11" borderId="24" xfId="0" applyNumberFormat="1" applyFont="1" applyFill="1" applyBorder="1" applyAlignment="1">
      <alignment horizontal="center" vertical="center" wrapText="1"/>
    </xf>
    <xf numFmtId="0" fontId="21" fillId="11" borderId="24" xfId="0" applyFont="1" applyFill="1" applyBorder="1" applyAlignment="1">
      <alignment horizontal="center" vertical="center" shrinkToFit="1"/>
    </xf>
    <xf numFmtId="0" fontId="21" fillId="11" borderId="24" xfId="0" applyFont="1" applyFill="1" applyBorder="1" applyAlignment="1">
      <alignment horizontal="center" vertical="center"/>
    </xf>
    <xf numFmtId="177" fontId="21" fillId="11" borderId="24" xfId="0" applyNumberFormat="1" applyFont="1" applyFill="1" applyBorder="1" applyAlignment="1">
      <alignment horizontal="center" vertical="center"/>
    </xf>
    <xf numFmtId="191" fontId="21" fillId="11" borderId="24" xfId="0" applyNumberFormat="1" applyFont="1" applyFill="1" applyBorder="1" applyAlignment="1">
      <alignment horizontal="center" vertical="center"/>
    </xf>
    <xf numFmtId="179" fontId="21" fillId="11" borderId="24" xfId="0" applyNumberFormat="1" applyFont="1" applyFill="1" applyBorder="1" applyAlignment="1">
      <alignment horizontal="center" vertical="center"/>
    </xf>
    <xf numFmtId="49" fontId="21" fillId="11" borderId="24" xfId="0" applyNumberFormat="1" applyFont="1" applyFill="1" applyBorder="1" applyAlignment="1">
      <alignment horizontal="center" vertical="center" shrinkToFit="1"/>
    </xf>
    <xf numFmtId="0" fontId="21" fillId="11" borderId="25" xfId="0" applyFont="1" applyFill="1" applyBorder="1">
      <alignment vertical="center"/>
    </xf>
    <xf numFmtId="49" fontId="21" fillId="0" borderId="26" xfId="0" applyNumberFormat="1" applyFont="1" applyBorder="1" applyAlignment="1">
      <alignment horizontal="center" vertical="center" shrinkToFit="1"/>
    </xf>
    <xf numFmtId="49" fontId="21" fillId="0" borderId="5" xfId="0" applyNumberFormat="1" applyFont="1" applyBorder="1" applyAlignment="1">
      <alignment horizontal="center" vertical="center"/>
    </xf>
    <xf numFmtId="0" fontId="48" fillId="0" borderId="0" xfId="3" applyFont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176" fontId="27" fillId="0" borderId="5" xfId="0" quotePrefix="1" applyNumberFormat="1" applyFont="1" applyBorder="1" applyAlignment="1">
      <alignment horizontal="center" vertical="center"/>
    </xf>
    <xf numFmtId="0" fontId="38" fillId="0" borderId="22" xfId="0" applyFont="1" applyBorder="1" applyAlignment="1">
      <alignment vertical="center" shrinkToFit="1"/>
    </xf>
    <xf numFmtId="0" fontId="47" fillId="0" borderId="22" xfId="0" applyFont="1" applyBorder="1" applyAlignment="1">
      <alignment vertical="center" wrapText="1" shrinkToFit="1"/>
    </xf>
    <xf numFmtId="0" fontId="21" fillId="0" borderId="86" xfId="0" applyFont="1" applyBorder="1" applyAlignment="1">
      <alignment vertical="center" shrinkToFit="1"/>
    </xf>
    <xf numFmtId="0" fontId="21" fillId="0" borderId="26" xfId="0" applyFont="1" applyBorder="1">
      <alignment vertical="center"/>
    </xf>
    <xf numFmtId="177" fontId="21" fillId="0" borderId="26" xfId="0" applyNumberFormat="1" applyFont="1" applyBorder="1">
      <alignment vertical="center"/>
    </xf>
    <xf numFmtId="186" fontId="21" fillId="0" borderId="26" xfId="0" applyNumberFormat="1" applyFont="1" applyBorder="1">
      <alignment vertical="center"/>
    </xf>
    <xf numFmtId="0" fontId="21" fillId="0" borderId="26" xfId="0" applyFont="1" applyBorder="1" applyAlignment="1">
      <alignment vertical="center" shrinkToFit="1"/>
    </xf>
    <xf numFmtId="191" fontId="21" fillId="0" borderId="26" xfId="0" applyNumberFormat="1" applyFont="1" applyBorder="1">
      <alignment vertical="center"/>
    </xf>
    <xf numFmtId="0" fontId="21" fillId="0" borderId="85" xfId="0" applyFont="1" applyBorder="1" applyAlignment="1">
      <alignment vertical="center" shrinkToFit="1"/>
    </xf>
    <xf numFmtId="0" fontId="21" fillId="0" borderId="21" xfId="0" applyFont="1" applyBorder="1" applyAlignment="1">
      <alignment vertical="center" shrinkToFit="1"/>
    </xf>
    <xf numFmtId="0" fontId="21" fillId="11" borderId="34" xfId="0" applyFont="1" applyFill="1" applyBorder="1" applyAlignment="1">
      <alignment horizontal="center" vertical="center"/>
    </xf>
    <xf numFmtId="0" fontId="21" fillId="14" borderId="21" xfId="0" applyFont="1" applyFill="1" applyBorder="1">
      <alignment vertical="center"/>
    </xf>
    <xf numFmtId="0" fontId="21" fillId="14" borderId="5" xfId="0" applyFont="1" applyFill="1" applyBorder="1">
      <alignment vertical="center"/>
    </xf>
    <xf numFmtId="176" fontId="21" fillId="14" borderId="5" xfId="0" applyNumberFormat="1" applyFont="1" applyFill="1" applyBorder="1">
      <alignment vertical="center"/>
    </xf>
    <xf numFmtId="176" fontId="21" fillId="14" borderId="26" xfId="0" applyNumberFormat="1" applyFont="1" applyFill="1" applyBorder="1">
      <alignment vertical="center"/>
    </xf>
    <xf numFmtId="177" fontId="21" fillId="14" borderId="5" xfId="0" applyNumberFormat="1" applyFont="1" applyFill="1" applyBorder="1">
      <alignment vertical="center"/>
    </xf>
    <xf numFmtId="186" fontId="21" fillId="14" borderId="5" xfId="0" applyNumberFormat="1" applyFont="1" applyFill="1" applyBorder="1">
      <alignment vertical="center"/>
    </xf>
    <xf numFmtId="0" fontId="21" fillId="14" borderId="5" xfId="0" applyFont="1" applyFill="1" applyBorder="1" applyAlignment="1">
      <alignment vertical="center" shrinkToFit="1"/>
    </xf>
    <xf numFmtId="0" fontId="21" fillId="14" borderId="5" xfId="0" applyFont="1" applyFill="1" applyBorder="1" applyAlignment="1">
      <alignment horizontal="center" vertical="center" shrinkToFit="1"/>
    </xf>
    <xf numFmtId="191" fontId="21" fillId="14" borderId="5" xfId="0" applyNumberFormat="1" applyFont="1" applyFill="1" applyBorder="1">
      <alignment vertical="center"/>
    </xf>
    <xf numFmtId="179" fontId="21" fillId="14" borderId="5" xfId="0" applyNumberFormat="1" applyFont="1" applyFill="1" applyBorder="1">
      <alignment vertical="center"/>
    </xf>
    <xf numFmtId="179" fontId="21" fillId="14" borderId="26" xfId="0" applyNumberFormat="1" applyFont="1" applyFill="1" applyBorder="1">
      <alignment vertical="center"/>
    </xf>
    <xf numFmtId="0" fontId="21" fillId="14" borderId="26" xfId="0" applyFont="1" applyFill="1" applyBorder="1" applyAlignment="1">
      <alignment horizontal="center" vertical="center" shrinkToFit="1"/>
    </xf>
    <xf numFmtId="0" fontId="21" fillId="14" borderId="5" xfId="0" applyFont="1" applyFill="1" applyBorder="1" applyAlignment="1">
      <alignment horizontal="center" vertical="center"/>
    </xf>
    <xf numFmtId="0" fontId="21" fillId="14" borderId="26" xfId="0" applyFont="1" applyFill="1" applyBorder="1" applyAlignment="1">
      <alignment horizontal="center" vertical="center"/>
    </xf>
    <xf numFmtId="0" fontId="21" fillId="14" borderId="22" xfId="0" applyFont="1" applyFill="1" applyBorder="1" applyAlignment="1">
      <alignment vertical="center" shrinkToFit="1"/>
    </xf>
    <xf numFmtId="0" fontId="21" fillId="14" borderId="34" xfId="0" applyFont="1" applyFill="1" applyBorder="1" applyAlignment="1">
      <alignment horizontal="center" vertical="center"/>
    </xf>
    <xf numFmtId="176" fontId="21" fillId="14" borderId="5" xfId="0" applyNumberFormat="1" applyFont="1" applyFill="1" applyBorder="1" applyAlignment="1">
      <alignment horizontal="center" vertical="center"/>
    </xf>
    <xf numFmtId="180" fontId="21" fillId="14" borderId="5" xfId="0" applyNumberFormat="1" applyFont="1" applyFill="1" applyBorder="1" applyAlignment="1">
      <alignment horizontal="center" vertical="center"/>
    </xf>
    <xf numFmtId="183" fontId="21" fillId="14" borderId="5" xfId="1" applyNumberFormat="1" applyFont="1" applyFill="1" applyBorder="1" applyAlignment="1">
      <alignment horizontal="center" vertical="center"/>
    </xf>
    <xf numFmtId="177" fontId="21" fillId="14" borderId="5" xfId="0" applyNumberFormat="1" applyFont="1" applyFill="1" applyBorder="1" applyAlignment="1">
      <alignment horizontal="center" vertical="center"/>
    </xf>
    <xf numFmtId="186" fontId="21" fillId="14" borderId="5" xfId="0" applyNumberFormat="1" applyFont="1" applyFill="1" applyBorder="1" applyAlignment="1">
      <alignment horizontal="center" vertical="center"/>
    </xf>
    <xf numFmtId="187" fontId="21" fillId="14" borderId="5" xfId="0" applyNumberFormat="1" applyFont="1" applyFill="1" applyBorder="1" applyAlignment="1">
      <alignment horizontal="center" vertical="center"/>
    </xf>
    <xf numFmtId="191" fontId="21" fillId="14" borderId="5" xfId="0" applyNumberFormat="1" applyFont="1" applyFill="1" applyBorder="1" applyAlignment="1">
      <alignment horizontal="center" vertical="center"/>
    </xf>
    <xf numFmtId="179" fontId="21" fillId="14" borderId="5" xfId="0" applyNumberFormat="1" applyFont="1" applyFill="1" applyBorder="1" applyAlignment="1">
      <alignment horizontal="center" vertical="center"/>
    </xf>
    <xf numFmtId="181" fontId="21" fillId="14" borderId="5" xfId="0" applyNumberFormat="1" applyFont="1" applyFill="1" applyBorder="1" applyAlignment="1">
      <alignment horizontal="center" vertical="center"/>
    </xf>
    <xf numFmtId="2" fontId="21" fillId="14" borderId="5" xfId="0" applyNumberFormat="1" applyFont="1" applyFill="1" applyBorder="1" applyAlignment="1">
      <alignment horizontal="center" vertical="center"/>
    </xf>
    <xf numFmtId="178" fontId="21" fillId="14" borderId="5" xfId="0" applyNumberFormat="1" applyFont="1" applyFill="1" applyBorder="1" applyAlignment="1">
      <alignment horizontal="center" vertical="center"/>
    </xf>
    <xf numFmtId="188" fontId="21" fillId="14" borderId="5" xfId="0" applyNumberFormat="1" applyFont="1" applyFill="1" applyBorder="1" applyAlignment="1">
      <alignment horizontal="center" vertical="center"/>
    </xf>
    <xf numFmtId="49" fontId="21" fillId="14" borderId="5" xfId="0" applyNumberFormat="1" applyFont="1" applyFill="1" applyBorder="1" applyAlignment="1">
      <alignment horizontal="center" vertical="center" shrinkToFit="1"/>
    </xf>
    <xf numFmtId="0" fontId="21" fillId="14" borderId="22" xfId="0" applyFont="1" applyFill="1" applyBorder="1" applyAlignment="1">
      <alignment vertical="center" wrapText="1" shrinkToFit="1"/>
    </xf>
    <xf numFmtId="0" fontId="27" fillId="14" borderId="22" xfId="0" applyFont="1" applyFill="1" applyBorder="1" applyAlignment="1">
      <alignment vertical="center" wrapText="1" shrinkToFit="1"/>
    </xf>
    <xf numFmtId="0" fontId="47" fillId="14" borderId="22" xfId="0" applyFont="1" applyFill="1" applyBorder="1" applyAlignment="1">
      <alignment vertical="center" wrapText="1" shrinkToFit="1"/>
    </xf>
    <xf numFmtId="189" fontId="18" fillId="9" borderId="38" xfId="0" applyNumberFormat="1" applyFont="1" applyFill="1" applyBorder="1" applyAlignment="1">
      <alignment horizontal="center" vertical="center" shrinkToFit="1"/>
    </xf>
    <xf numFmtId="0" fontId="18" fillId="9" borderId="38" xfId="0" applyFont="1" applyFill="1" applyBorder="1" applyAlignment="1">
      <alignment horizontal="center" vertical="center" shrinkToFit="1"/>
    </xf>
    <xf numFmtId="189" fontId="18" fillId="9" borderId="38" xfId="0" applyNumberFormat="1" applyFont="1" applyFill="1" applyBorder="1" applyAlignment="1">
      <alignment horizontal="center" vertical="center"/>
    </xf>
    <xf numFmtId="0" fontId="0" fillId="15" borderId="78" xfId="0" applyFill="1" applyBorder="1" applyAlignment="1">
      <alignment horizontal="center" vertical="center"/>
    </xf>
    <xf numFmtId="0" fontId="42" fillId="11" borderId="78" xfId="0" applyFont="1" applyFill="1" applyBorder="1" applyAlignment="1">
      <alignment horizontal="center" vertical="center"/>
    </xf>
    <xf numFmtId="182" fontId="42" fillId="11" borderId="78" xfId="0" quotePrefix="1" applyNumberFormat="1" applyFont="1" applyFill="1" applyBorder="1" applyAlignment="1">
      <alignment horizontal="center" vertical="center"/>
    </xf>
    <xf numFmtId="1" fontId="0" fillId="11" borderId="78" xfId="0" applyNumberFormat="1" applyFill="1" applyBorder="1" applyAlignment="1">
      <alignment horizontal="center" vertical="center"/>
    </xf>
    <xf numFmtId="0" fontId="0" fillId="11" borderId="78" xfId="0" applyFill="1" applyBorder="1" applyAlignment="1">
      <alignment horizontal="center" vertical="center"/>
    </xf>
    <xf numFmtId="0" fontId="42" fillId="13" borderId="78" xfId="0" applyFont="1" applyFill="1" applyBorder="1" applyAlignment="1">
      <alignment horizontal="center" vertical="center"/>
    </xf>
    <xf numFmtId="182" fontId="42" fillId="13" borderId="78" xfId="0" quotePrefix="1" applyNumberFormat="1" applyFont="1" applyFill="1" applyBorder="1" applyAlignment="1">
      <alignment horizontal="center" vertical="center"/>
    </xf>
    <xf numFmtId="1" fontId="0" fillId="13" borderId="78" xfId="0" applyNumberFormat="1" applyFill="1" applyBorder="1" applyAlignment="1">
      <alignment horizontal="center" vertical="center"/>
    </xf>
    <xf numFmtId="182" fontId="51" fillId="13" borderId="78" xfId="0" quotePrefix="1" applyNumberFormat="1" applyFont="1" applyFill="1" applyBorder="1" applyAlignment="1">
      <alignment horizontal="center" vertical="center"/>
    </xf>
    <xf numFmtId="0" fontId="42" fillId="15" borderId="78" xfId="0" applyFont="1" applyFill="1" applyBorder="1" applyAlignment="1">
      <alignment horizontal="center" vertical="center"/>
    </xf>
    <xf numFmtId="182" fontId="42" fillId="15" borderId="78" xfId="0" quotePrefix="1" applyNumberFormat="1" applyFont="1" applyFill="1" applyBorder="1" applyAlignment="1">
      <alignment horizontal="center" vertical="center"/>
    </xf>
    <xf numFmtId="1" fontId="0" fillId="15" borderId="78" xfId="0" applyNumberFormat="1" applyFill="1" applyBorder="1" applyAlignment="1">
      <alignment horizontal="center" vertical="center"/>
    </xf>
    <xf numFmtId="0" fontId="50" fillId="15" borderId="78" xfId="0" applyFont="1" applyFill="1" applyBorder="1" applyAlignment="1">
      <alignment horizontal="center" vertical="center"/>
    </xf>
    <xf numFmtId="182" fontId="51" fillId="15" borderId="78" xfId="0" quotePrefix="1" applyNumberFormat="1" applyFont="1" applyFill="1" applyBorder="1" applyAlignment="1">
      <alignment horizontal="center" vertical="center"/>
    </xf>
    <xf numFmtId="183" fontId="21" fillId="3" borderId="24" xfId="1" applyNumberFormat="1" applyFont="1" applyFill="1" applyBorder="1" applyAlignment="1">
      <alignment horizontal="center" vertical="center" wrapText="1"/>
    </xf>
    <xf numFmtId="0" fontId="26" fillId="3" borderId="13" xfId="0" applyFont="1" applyFill="1" applyBorder="1" applyAlignment="1">
      <alignment horizontal="left" vertical="center"/>
    </xf>
    <xf numFmtId="0" fontId="26" fillId="3" borderId="14" xfId="0" applyFont="1" applyFill="1" applyBorder="1" applyAlignment="1">
      <alignment vertical="center" wrapText="1"/>
    </xf>
    <xf numFmtId="0" fontId="26" fillId="3" borderId="14" xfId="0" applyFont="1" applyFill="1" applyBorder="1" applyAlignment="1">
      <alignment vertical="center" shrinkToFit="1"/>
    </xf>
    <xf numFmtId="191" fontId="26" fillId="3" borderId="14" xfId="0" applyNumberFormat="1" applyFont="1" applyFill="1" applyBorder="1" applyAlignment="1">
      <alignment vertical="center" wrapText="1"/>
    </xf>
    <xf numFmtId="0" fontId="26" fillId="3" borderId="15" xfId="0" applyFont="1" applyFill="1" applyBorder="1" applyAlignment="1">
      <alignment vertical="center" wrapText="1"/>
    </xf>
    <xf numFmtId="0" fontId="17" fillId="15" borderId="12" xfId="0" applyFont="1" applyFill="1" applyBorder="1" applyAlignment="1">
      <alignment horizontal="center" vertical="center"/>
    </xf>
    <xf numFmtId="0" fontId="17" fillId="15" borderId="5" xfId="0" applyFont="1" applyFill="1" applyBorder="1" applyAlignment="1">
      <alignment horizontal="center" vertical="center"/>
    </xf>
    <xf numFmtId="176" fontId="17" fillId="15" borderId="5" xfId="0" applyNumberFormat="1" applyFont="1" applyFill="1" applyBorder="1" applyAlignment="1">
      <alignment horizontal="center" vertical="center"/>
    </xf>
    <xf numFmtId="177" fontId="17" fillId="15" borderId="5" xfId="0" applyNumberFormat="1" applyFont="1" applyFill="1" applyBorder="1" applyAlignment="1">
      <alignment horizontal="center" vertical="center"/>
    </xf>
    <xf numFmtId="0" fontId="17" fillId="15" borderId="5" xfId="0" applyFont="1" applyFill="1" applyBorder="1" applyAlignment="1">
      <alignment horizontal="center" vertical="center" wrapText="1"/>
    </xf>
    <xf numFmtId="0" fontId="17" fillId="15" borderId="5" xfId="0" applyFont="1" applyFill="1" applyBorder="1" applyAlignment="1">
      <alignment horizontal="center" vertical="center" shrinkToFit="1"/>
    </xf>
    <xf numFmtId="178" fontId="17" fillId="15" borderId="5" xfId="0" applyNumberFormat="1" applyFont="1" applyFill="1" applyBorder="1" applyAlignment="1">
      <alignment horizontal="center" vertical="center"/>
    </xf>
    <xf numFmtId="179" fontId="17" fillId="15" borderId="5" xfId="0" applyNumberFormat="1" applyFont="1" applyFill="1" applyBorder="1" applyAlignment="1">
      <alignment horizontal="center" vertical="center"/>
    </xf>
    <xf numFmtId="0" fontId="17" fillId="15" borderId="3" xfId="0" applyFont="1" applyFill="1" applyBorder="1" applyAlignment="1">
      <alignment vertical="center" shrinkToFit="1"/>
    </xf>
    <xf numFmtId="0" fontId="42" fillId="0" borderId="78" xfId="0" applyFont="1" applyBorder="1" applyAlignment="1">
      <alignment horizontal="center" vertical="center"/>
    </xf>
    <xf numFmtId="0" fontId="0" fillId="15" borderId="91" xfId="0" applyFill="1" applyBorder="1" applyAlignment="1">
      <alignment horizontal="center" vertical="center"/>
    </xf>
    <xf numFmtId="0" fontId="42" fillId="15" borderId="91" xfId="0" applyFont="1" applyFill="1" applyBorder="1" applyAlignment="1">
      <alignment horizontal="center" vertical="center"/>
    </xf>
    <xf numFmtId="182" fontId="42" fillId="15" borderId="91" xfId="0" quotePrefix="1" applyNumberFormat="1" applyFont="1" applyFill="1" applyBorder="1" applyAlignment="1">
      <alignment horizontal="center" vertical="center"/>
    </xf>
    <xf numFmtId="182" fontId="52" fillId="15" borderId="78" xfId="0" quotePrefix="1" applyNumberFormat="1" applyFont="1" applyFill="1" applyBorder="1" applyAlignment="1">
      <alignment horizontal="center" vertical="center"/>
    </xf>
    <xf numFmtId="1" fontId="52" fillId="15" borderId="78" xfId="0" applyNumberFormat="1" applyFont="1" applyFill="1" applyBorder="1" applyAlignment="1">
      <alignment horizontal="center" vertical="center"/>
    </xf>
    <xf numFmtId="1" fontId="42" fillId="15" borderId="78" xfId="0" applyNumberFormat="1" applyFont="1" applyFill="1" applyBorder="1" applyAlignment="1">
      <alignment horizontal="center" vertical="center"/>
    </xf>
    <xf numFmtId="1" fontId="42" fillId="0" borderId="78" xfId="0" applyNumberFormat="1" applyFont="1" applyBorder="1" applyAlignment="1">
      <alignment horizontal="center" vertical="center"/>
    </xf>
    <xf numFmtId="1" fontId="42" fillId="13" borderId="78" xfId="0" applyNumberFormat="1" applyFont="1" applyFill="1" applyBorder="1" applyAlignment="1">
      <alignment horizontal="center" vertical="center"/>
    </xf>
    <xf numFmtId="182" fontId="52" fillId="13" borderId="78" xfId="0" quotePrefix="1" applyNumberFormat="1" applyFont="1" applyFill="1" applyBorder="1" applyAlignment="1">
      <alignment horizontal="center" vertical="center"/>
    </xf>
    <xf numFmtId="182" fontId="42" fillId="3" borderId="78" xfId="0" quotePrefix="1" applyNumberFormat="1" applyFont="1" applyFill="1" applyBorder="1" applyAlignment="1">
      <alignment horizontal="center" vertical="center"/>
    </xf>
    <xf numFmtId="182" fontId="51" fillId="3" borderId="78" xfId="0" quotePrefix="1" applyNumberFormat="1" applyFont="1" applyFill="1" applyBorder="1" applyAlignment="1">
      <alignment horizontal="center" vertical="center"/>
    </xf>
    <xf numFmtId="1" fontId="42" fillId="11" borderId="78" xfId="0" applyNumberFormat="1" applyFont="1" applyFill="1" applyBorder="1" applyAlignment="1">
      <alignment horizontal="center" vertical="center"/>
    </xf>
    <xf numFmtId="0" fontId="20" fillId="0" borderId="0" xfId="7">
      <alignment vertical="center"/>
    </xf>
    <xf numFmtId="0" fontId="20" fillId="0" borderId="0" xfId="7" applyAlignment="1">
      <alignment horizontal="center" vertical="center"/>
    </xf>
    <xf numFmtId="41" fontId="56" fillId="0" borderId="78" xfId="9" applyFont="1" applyFill="1" applyBorder="1" applyAlignment="1">
      <alignment horizontal="center"/>
    </xf>
    <xf numFmtId="41" fontId="57" fillId="0" borderId="78" xfId="9" applyFont="1" applyFill="1" applyBorder="1" applyAlignment="1">
      <alignment horizontal="center"/>
    </xf>
    <xf numFmtId="0" fontId="57" fillId="0" borderId="78" xfId="7" applyFont="1" applyBorder="1" applyAlignment="1">
      <alignment horizontal="center" vertical="center"/>
    </xf>
    <xf numFmtId="41" fontId="57" fillId="0" borderId="78" xfId="1" applyFont="1" applyFill="1" applyBorder="1">
      <alignment vertical="center"/>
    </xf>
    <xf numFmtId="0" fontId="57" fillId="0" borderId="78" xfId="7" applyFont="1" applyBorder="1">
      <alignment vertical="center"/>
    </xf>
    <xf numFmtId="201" fontId="57" fillId="0" borderId="78" xfId="7" applyNumberFormat="1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182" fontId="51" fillId="3" borderId="0" xfId="0" quotePrefix="1" applyNumberFormat="1" applyFont="1" applyFill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0" fontId="42" fillId="0" borderId="90" xfId="0" applyFont="1" applyBorder="1" applyAlignment="1">
      <alignment horizontal="center" vertical="center"/>
    </xf>
    <xf numFmtId="1" fontId="42" fillId="0" borderId="90" xfId="0" applyNumberFormat="1" applyFont="1" applyBorder="1" applyAlignment="1">
      <alignment horizontal="center" vertical="center"/>
    </xf>
    <xf numFmtId="182" fontId="42" fillId="0" borderId="90" xfId="0" quotePrefix="1" applyNumberFormat="1" applyFont="1" applyBorder="1" applyAlignment="1">
      <alignment horizontal="center" vertical="center"/>
    </xf>
    <xf numFmtId="182" fontId="51" fillId="0" borderId="90" xfId="0" quotePrefix="1" applyNumberFormat="1" applyFont="1" applyBorder="1" applyAlignment="1">
      <alignment horizontal="center" vertical="center"/>
    </xf>
    <xf numFmtId="0" fontId="0" fillId="3" borderId="78" xfId="0" applyFill="1" applyBorder="1" applyAlignment="1">
      <alignment horizontal="center" vertical="center"/>
    </xf>
    <xf numFmtId="0" fontId="58" fillId="3" borderId="0" xfId="0" applyFont="1" applyFill="1">
      <alignment vertical="center"/>
    </xf>
    <xf numFmtId="41" fontId="56" fillId="16" borderId="98" xfId="7" applyNumberFormat="1" applyFont="1" applyFill="1" applyBorder="1" applyAlignment="1">
      <alignment horizontal="center" vertical="center"/>
    </xf>
    <xf numFmtId="41" fontId="56" fillId="16" borderId="98" xfId="7" applyNumberFormat="1" applyFont="1" applyFill="1" applyBorder="1">
      <alignment vertical="center"/>
    </xf>
    <xf numFmtId="0" fontId="56" fillId="16" borderId="99" xfId="7" applyFont="1" applyFill="1" applyBorder="1">
      <alignment vertical="center"/>
    </xf>
    <xf numFmtId="0" fontId="57" fillId="0" borderId="78" xfId="7" applyFont="1" applyBorder="1" applyAlignment="1">
      <alignment vertical="center" wrapText="1"/>
    </xf>
    <xf numFmtId="0" fontId="0" fillId="5" borderId="87" xfId="7" applyFont="1" applyFill="1" applyBorder="1" applyAlignment="1">
      <alignment horizontal="center" vertical="center"/>
    </xf>
    <xf numFmtId="0" fontId="54" fillId="11" borderId="0" xfId="7" applyFont="1" applyFill="1" applyAlignment="1">
      <alignment horizontal="center" vertical="center"/>
    </xf>
    <xf numFmtId="41" fontId="57" fillId="0" borderId="78" xfId="1" applyFont="1" applyFill="1" applyBorder="1" applyAlignment="1">
      <alignment horizontal="center"/>
    </xf>
    <xf numFmtId="41" fontId="57" fillId="0" borderId="78" xfId="1" applyFont="1" applyFill="1" applyBorder="1" applyAlignment="1">
      <alignment horizontal="center" vertical="center"/>
    </xf>
    <xf numFmtId="186" fontId="26" fillId="3" borderId="14" xfId="0" applyNumberFormat="1" applyFont="1" applyFill="1" applyBorder="1" applyAlignment="1">
      <alignment vertical="center" wrapText="1"/>
    </xf>
    <xf numFmtId="186" fontId="26" fillId="3" borderId="14" xfId="0" applyNumberFormat="1" applyFont="1" applyFill="1" applyBorder="1" applyAlignment="1">
      <alignment horizontal="center" vertical="center" wrapText="1"/>
    </xf>
    <xf numFmtId="0" fontId="21" fillId="3" borderId="23" xfId="0" applyFont="1" applyFill="1" applyBorder="1" applyAlignment="1">
      <alignment horizontal="center" vertical="center" shrinkToFit="1"/>
    </xf>
    <xf numFmtId="0" fontId="21" fillId="3" borderId="25" xfId="0" applyFont="1" applyFill="1" applyBorder="1" applyAlignment="1">
      <alignment vertical="center" wrapText="1" shrinkToFit="1"/>
    </xf>
    <xf numFmtId="181" fontId="17" fillId="15" borderId="5" xfId="0" applyNumberFormat="1" applyFont="1" applyFill="1" applyBorder="1" applyAlignment="1">
      <alignment horizontal="center" vertical="center"/>
    </xf>
    <xf numFmtId="0" fontId="0" fillId="17" borderId="0" xfId="7" applyFont="1" applyFill="1" applyAlignment="1">
      <alignment horizontal="center" vertical="center"/>
    </xf>
    <xf numFmtId="41" fontId="12" fillId="3" borderId="0" xfId="1" applyFont="1" applyFill="1" applyAlignment="1"/>
    <xf numFmtId="0" fontId="21" fillId="0" borderId="80" xfId="0" applyFont="1" applyBorder="1" applyAlignment="1">
      <alignment horizontal="center" vertical="center"/>
    </xf>
    <xf numFmtId="0" fontId="58" fillId="5" borderId="92" xfId="7" applyFont="1" applyFill="1" applyBorder="1" applyAlignment="1">
      <alignment horizontal="center" vertical="center"/>
    </xf>
    <xf numFmtId="0" fontId="58" fillId="5" borderId="78" xfId="7" applyFont="1" applyFill="1" applyBorder="1" applyAlignment="1">
      <alignment horizontal="center" vertical="center"/>
    </xf>
    <xf numFmtId="41" fontId="21" fillId="0" borderId="0" xfId="1" applyFont="1" applyBorder="1" applyAlignment="1">
      <alignment vertical="center" shrinkToFit="1"/>
    </xf>
    <xf numFmtId="0" fontId="26" fillId="0" borderId="0" xfId="0" applyFont="1" applyAlignment="1">
      <alignment horizontal="center" vertical="center" shrinkToFit="1"/>
    </xf>
    <xf numFmtId="178" fontId="26" fillId="0" borderId="0" xfId="0" applyNumberFormat="1" applyFont="1" applyAlignment="1">
      <alignment horizontal="center" vertical="center" shrinkToFit="1"/>
    </xf>
    <xf numFmtId="179" fontId="21" fillId="0" borderId="0" xfId="0" applyNumberFormat="1" applyFont="1" applyAlignment="1">
      <alignment vertical="center" shrinkToFit="1"/>
    </xf>
    <xf numFmtId="0" fontId="26" fillId="0" borderId="0" xfId="0" applyFont="1">
      <alignment vertical="center"/>
    </xf>
    <xf numFmtId="41" fontId="56" fillId="0" borderId="92" xfId="1" applyFont="1" applyBorder="1" applyAlignment="1">
      <alignment horizontal="center" vertical="center"/>
    </xf>
    <xf numFmtId="41" fontId="56" fillId="0" borderId="78" xfId="1" applyFont="1" applyBorder="1" applyAlignment="1">
      <alignment horizontal="center" vertical="center"/>
    </xf>
    <xf numFmtId="9" fontId="56" fillId="0" borderId="78" xfId="2" applyFont="1" applyBorder="1" applyAlignment="1">
      <alignment horizontal="center" vertical="center"/>
    </xf>
    <xf numFmtId="0" fontId="56" fillId="0" borderId="93" xfId="7" applyFont="1" applyBorder="1" applyAlignment="1">
      <alignment horizontal="center" vertical="center"/>
    </xf>
    <xf numFmtId="41" fontId="56" fillId="0" borderId="93" xfId="1" applyFont="1" applyBorder="1" applyAlignment="1">
      <alignment horizontal="center" vertical="center"/>
    </xf>
    <xf numFmtId="41" fontId="56" fillId="0" borderId="94" xfId="1" applyFont="1" applyBorder="1" applyAlignment="1">
      <alignment horizontal="center" vertical="center"/>
    </xf>
    <xf numFmtId="41" fontId="56" fillId="0" borderId="95" xfId="1" applyFont="1" applyBorder="1" applyAlignment="1">
      <alignment horizontal="center" vertical="center"/>
    </xf>
    <xf numFmtId="41" fontId="56" fillId="0" borderId="96" xfId="1" applyFont="1" applyBorder="1" applyAlignment="1">
      <alignment horizontal="center" vertical="center"/>
    </xf>
    <xf numFmtId="41" fontId="56" fillId="17" borderId="0" xfId="7" applyNumberFormat="1" applyFont="1" applyFill="1" applyAlignment="1">
      <alignment horizontal="center" vertical="center"/>
    </xf>
    <xf numFmtId="9" fontId="56" fillId="17" borderId="78" xfId="2" applyFont="1" applyFill="1" applyBorder="1" applyAlignment="1">
      <alignment horizontal="center" vertical="center"/>
    </xf>
    <xf numFmtId="0" fontId="56" fillId="17" borderId="0" xfId="7" applyFont="1" applyFill="1" applyAlignment="1">
      <alignment horizontal="center" vertical="center"/>
    </xf>
    <xf numFmtId="0" fontId="21" fillId="15" borderId="5" xfId="0" applyFont="1" applyFill="1" applyBorder="1" applyAlignment="1">
      <alignment horizontal="center" vertical="center" shrinkToFit="1"/>
    </xf>
    <xf numFmtId="179" fontId="21" fillId="15" borderId="5" xfId="0" applyNumberFormat="1" applyFont="1" applyFill="1" applyBorder="1">
      <alignment vertical="center"/>
    </xf>
    <xf numFmtId="0" fontId="21" fillId="15" borderId="5" xfId="0" applyFont="1" applyFill="1" applyBorder="1" applyAlignment="1">
      <alignment horizontal="center" vertical="center"/>
    </xf>
    <xf numFmtId="0" fontId="21" fillId="15" borderId="21" xfId="0" applyFont="1" applyFill="1" applyBorder="1" applyAlignment="1">
      <alignment horizontal="center" vertical="center"/>
    </xf>
    <xf numFmtId="176" fontId="21" fillId="15" borderId="5" xfId="0" applyNumberFormat="1" applyFont="1" applyFill="1" applyBorder="1" applyAlignment="1">
      <alignment horizontal="center" vertical="center"/>
    </xf>
    <xf numFmtId="180" fontId="21" fillId="15" borderId="5" xfId="0" applyNumberFormat="1" applyFont="1" applyFill="1" applyBorder="1" applyAlignment="1">
      <alignment horizontal="center" vertical="center"/>
    </xf>
    <xf numFmtId="183" fontId="21" fillId="15" borderId="5" xfId="1" applyNumberFormat="1" applyFont="1" applyFill="1" applyBorder="1" applyAlignment="1">
      <alignment horizontal="center" vertical="center"/>
    </xf>
    <xf numFmtId="177" fontId="21" fillId="15" borderId="5" xfId="0" applyNumberFormat="1" applyFont="1" applyFill="1" applyBorder="1" applyAlignment="1">
      <alignment horizontal="center" vertical="center"/>
    </xf>
    <xf numFmtId="186" fontId="21" fillId="15" borderId="5" xfId="0" applyNumberFormat="1" applyFont="1" applyFill="1" applyBorder="1" applyAlignment="1">
      <alignment horizontal="center" vertical="center"/>
    </xf>
    <xf numFmtId="187" fontId="21" fillId="15" borderId="5" xfId="0" applyNumberFormat="1" applyFont="1" applyFill="1" applyBorder="1" applyAlignment="1">
      <alignment horizontal="center" vertical="center"/>
    </xf>
    <xf numFmtId="49" fontId="21" fillId="15" borderId="5" xfId="0" applyNumberFormat="1" applyFont="1" applyFill="1" applyBorder="1" applyAlignment="1">
      <alignment horizontal="center" vertical="center" shrinkToFit="1"/>
    </xf>
    <xf numFmtId="179" fontId="21" fillId="15" borderId="5" xfId="0" applyNumberFormat="1" applyFont="1" applyFill="1" applyBorder="1" applyAlignment="1">
      <alignment horizontal="center" vertical="center"/>
    </xf>
    <xf numFmtId="178" fontId="21" fillId="15" borderId="5" xfId="0" applyNumberFormat="1" applyFont="1" applyFill="1" applyBorder="1" applyAlignment="1">
      <alignment horizontal="center" vertical="center"/>
    </xf>
    <xf numFmtId="177" fontId="21" fillId="15" borderId="5" xfId="0" applyNumberFormat="1" applyFont="1" applyFill="1" applyBorder="1" applyAlignment="1">
      <alignment horizontal="center" vertical="center" shrinkToFit="1"/>
    </xf>
    <xf numFmtId="181" fontId="21" fillId="15" borderId="5" xfId="0" applyNumberFormat="1" applyFont="1" applyFill="1" applyBorder="1" applyAlignment="1">
      <alignment horizontal="center" vertical="center"/>
    </xf>
    <xf numFmtId="2" fontId="21" fillId="15" borderId="5" xfId="0" applyNumberFormat="1" applyFont="1" applyFill="1" applyBorder="1" applyAlignment="1">
      <alignment horizontal="center" vertical="center"/>
    </xf>
    <xf numFmtId="188" fontId="21" fillId="15" borderId="5" xfId="0" applyNumberFormat="1" applyFont="1" applyFill="1" applyBorder="1" applyAlignment="1">
      <alignment horizontal="center" vertical="center"/>
    </xf>
    <xf numFmtId="193" fontId="61" fillId="11" borderId="78" xfId="8" applyNumberFormat="1" applyFont="1" applyFill="1" applyBorder="1" applyAlignment="1">
      <alignment horizontal="center"/>
    </xf>
    <xf numFmtId="193" fontId="12" fillId="3" borderId="0" xfId="0" applyNumberFormat="1" applyFont="1" applyFill="1" applyAlignment="1"/>
    <xf numFmtId="181" fontId="21" fillId="3" borderId="24" xfId="0" applyNumberFormat="1" applyFont="1" applyFill="1" applyBorder="1" applyAlignment="1">
      <alignment horizontal="center" vertical="center"/>
    </xf>
    <xf numFmtId="176" fontId="17" fillId="0" borderId="5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176" fontId="17" fillId="0" borderId="5" xfId="0" applyNumberFormat="1" applyFont="1" applyBorder="1" applyAlignment="1">
      <alignment horizontal="center"/>
    </xf>
    <xf numFmtId="180" fontId="17" fillId="0" borderId="5" xfId="0" applyNumberFormat="1" applyFont="1" applyBorder="1" applyAlignment="1">
      <alignment horizontal="center"/>
    </xf>
    <xf numFmtId="177" fontId="17" fillId="0" borderId="5" xfId="0" applyNumberFormat="1" applyFont="1" applyBorder="1" applyAlignment="1">
      <alignment horizontal="center"/>
    </xf>
    <xf numFmtId="0" fontId="17" fillId="0" borderId="3" xfId="0" applyFont="1" applyBorder="1" applyAlignment="1">
      <alignment shrinkToFit="1"/>
    </xf>
    <xf numFmtId="181" fontId="17" fillId="0" borderId="5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shrinkToFit="1"/>
    </xf>
    <xf numFmtId="178" fontId="17" fillId="0" borderId="5" xfId="0" applyNumberFormat="1" applyFont="1" applyBorder="1" applyAlignment="1">
      <alignment horizontal="center"/>
    </xf>
    <xf numFmtId="179" fontId="17" fillId="0" borderId="5" xfId="0" applyNumberFormat="1" applyFont="1" applyBorder="1" applyAlignment="1">
      <alignment horizontal="center"/>
    </xf>
    <xf numFmtId="0" fontId="61" fillId="16" borderId="97" xfId="7" applyFont="1" applyFill="1" applyBorder="1" applyAlignment="1">
      <alignment horizontal="center" vertical="center"/>
    </xf>
    <xf numFmtId="0" fontId="21" fillId="15" borderId="22" xfId="0" applyFont="1" applyFill="1" applyBorder="1" applyAlignment="1">
      <alignment vertical="center" shrinkToFit="1"/>
    </xf>
    <xf numFmtId="191" fontId="44" fillId="0" borderId="78" xfId="10" applyNumberFormat="1" applyFont="1" applyBorder="1">
      <alignment vertical="center"/>
    </xf>
    <xf numFmtId="191" fontId="57" fillId="0" borderId="78" xfId="1" applyNumberFormat="1" applyFont="1" applyFill="1" applyBorder="1">
      <alignment vertical="center"/>
    </xf>
    <xf numFmtId="202" fontId="44" fillId="16" borderId="98" xfId="10" applyNumberFormat="1" applyFont="1" applyFill="1" applyBorder="1">
      <alignment vertical="center"/>
    </xf>
    <xf numFmtId="41" fontId="56" fillId="0" borderId="78" xfId="1" applyFont="1" applyFill="1" applyBorder="1" applyAlignment="1">
      <alignment horizontal="center"/>
    </xf>
    <xf numFmtId="41" fontId="56" fillId="0" borderId="78" xfId="1" applyFont="1" applyFill="1" applyBorder="1" applyAlignment="1">
      <alignment horizontal="center" vertical="center"/>
    </xf>
    <xf numFmtId="41" fontId="56" fillId="0" borderId="78" xfId="1" applyFont="1" applyFill="1" applyBorder="1">
      <alignment vertical="center"/>
    </xf>
    <xf numFmtId="191" fontId="4" fillId="0" borderId="78" xfId="10" applyNumberFormat="1" applyFont="1" applyBorder="1" applyAlignment="1">
      <alignment horizontal="right" vertical="center"/>
    </xf>
    <xf numFmtId="191" fontId="20" fillId="0" borderId="78" xfId="9" applyNumberFormat="1" applyFont="1" applyFill="1" applyBorder="1" applyAlignment="1">
      <alignment horizontal="right"/>
    </xf>
    <xf numFmtId="191" fontId="20" fillId="0" borderId="78" xfId="1" applyNumberFormat="1" applyFont="1" applyFill="1" applyBorder="1" applyAlignment="1">
      <alignment horizontal="right"/>
    </xf>
    <xf numFmtId="191" fontId="20" fillId="0" borderId="78" xfId="1" applyNumberFormat="1" applyFont="1" applyFill="1" applyBorder="1" applyAlignment="1">
      <alignment horizontal="right" vertical="center"/>
    </xf>
    <xf numFmtId="202" fontId="4" fillId="16" borderId="98" xfId="10" applyNumberFormat="1" applyFont="1" applyFill="1" applyBorder="1" applyAlignment="1">
      <alignment horizontal="right" vertical="center"/>
    </xf>
    <xf numFmtId="0" fontId="54" fillId="6" borderId="91" xfId="7" applyFont="1" applyFill="1" applyBorder="1" applyAlignment="1">
      <alignment horizontal="center" vertical="center"/>
    </xf>
    <xf numFmtId="191" fontId="3" fillId="0" borderId="78" xfId="10" applyNumberFormat="1" applyFont="1" applyBorder="1">
      <alignment vertical="center"/>
    </xf>
    <xf numFmtId="191" fontId="20" fillId="0" borderId="78" xfId="9" applyNumberFormat="1" applyFont="1" applyFill="1" applyBorder="1" applyAlignment="1">
      <alignment horizontal="center"/>
    </xf>
    <xf numFmtId="191" fontId="20" fillId="0" borderId="78" xfId="1" applyNumberFormat="1" applyFont="1" applyFill="1" applyBorder="1" applyAlignment="1">
      <alignment horizontal="center"/>
    </xf>
    <xf numFmtId="191" fontId="20" fillId="0" borderId="78" xfId="1" applyNumberFormat="1" applyFont="1" applyFill="1" applyBorder="1" applyAlignment="1">
      <alignment horizontal="center" vertical="center"/>
    </xf>
    <xf numFmtId="191" fontId="20" fillId="0" borderId="78" xfId="1" applyNumberFormat="1" applyFont="1" applyFill="1" applyBorder="1">
      <alignment vertical="center"/>
    </xf>
    <xf numFmtId="202" fontId="3" fillId="16" borderId="98" xfId="10" applyNumberFormat="1" applyFont="1" applyFill="1" applyBorder="1">
      <alignment vertical="center"/>
    </xf>
    <xf numFmtId="0" fontId="21" fillId="3" borderId="25" xfId="0" applyFont="1" applyFill="1" applyBorder="1" applyAlignment="1">
      <alignment horizontal="center" vertical="center"/>
    </xf>
    <xf numFmtId="191" fontId="2" fillId="0" borderId="78" xfId="10" applyNumberFormat="1" applyFont="1" applyBorder="1">
      <alignment vertical="center"/>
    </xf>
    <xf numFmtId="191" fontId="57" fillId="0" borderId="78" xfId="9" applyNumberFormat="1" applyFont="1" applyFill="1" applyBorder="1" applyAlignment="1">
      <alignment horizontal="center"/>
    </xf>
    <xf numFmtId="191" fontId="57" fillId="0" borderId="78" xfId="1" applyNumberFormat="1" applyFont="1" applyFill="1" applyBorder="1" applyAlignment="1">
      <alignment horizontal="center"/>
    </xf>
    <xf numFmtId="191" fontId="57" fillId="0" borderId="78" xfId="1" applyNumberFormat="1" applyFont="1" applyFill="1" applyBorder="1" applyAlignment="1">
      <alignment horizontal="center" vertical="center"/>
    </xf>
    <xf numFmtId="191" fontId="45" fillId="0" borderId="78" xfId="10" applyNumberFormat="1" applyFont="1" applyBorder="1">
      <alignment vertical="center"/>
    </xf>
    <xf numFmtId="191" fontId="56" fillId="0" borderId="78" xfId="9" applyNumberFormat="1" applyFont="1" applyFill="1" applyBorder="1" applyAlignment="1">
      <alignment horizontal="center"/>
    </xf>
    <xf numFmtId="177" fontId="21" fillId="0" borderId="5" xfId="1" applyNumberFormat="1" applyFont="1" applyFill="1" applyBorder="1" applyAlignment="1">
      <alignment horizontal="center" vertical="center" shrinkToFit="1"/>
    </xf>
    <xf numFmtId="0" fontId="38" fillId="0" borderId="80" xfId="0" applyFont="1" applyBorder="1" applyAlignment="1">
      <alignment horizontal="center" vertical="center"/>
    </xf>
    <xf numFmtId="41" fontId="20" fillId="0" borderId="78" xfId="9" applyFont="1" applyFill="1" applyBorder="1" applyAlignment="1">
      <alignment horizontal="center"/>
    </xf>
    <xf numFmtId="41" fontId="20" fillId="0" borderId="78" xfId="1" applyFont="1" applyFill="1" applyBorder="1" applyAlignment="1">
      <alignment horizontal="center"/>
    </xf>
    <xf numFmtId="41" fontId="20" fillId="0" borderId="78" xfId="1" applyFont="1" applyFill="1" applyBorder="1" applyAlignment="1">
      <alignment horizontal="center" vertical="center"/>
    </xf>
    <xf numFmtId="41" fontId="20" fillId="0" borderId="78" xfId="1" applyFont="1" applyFill="1" applyBorder="1">
      <alignment vertical="center"/>
    </xf>
    <xf numFmtId="0" fontId="17" fillId="15" borderId="26" xfId="0" applyFont="1" applyFill="1" applyBorder="1" applyAlignment="1">
      <alignment horizontal="center" vertical="center" shrinkToFit="1"/>
    </xf>
    <xf numFmtId="0" fontId="17" fillId="0" borderId="12" xfId="0" applyFont="1" applyBorder="1" applyAlignment="1">
      <alignment horizontal="center" vertical="center" shrinkToFit="1"/>
    </xf>
    <xf numFmtId="0" fontId="17" fillId="15" borderId="5" xfId="0" applyFont="1" applyFill="1" applyBorder="1" applyAlignment="1">
      <alignment horizontal="center"/>
    </xf>
    <xf numFmtId="176" fontId="17" fillId="15" borderId="5" xfId="0" applyNumberFormat="1" applyFont="1" applyFill="1" applyBorder="1" applyAlignment="1">
      <alignment horizontal="center"/>
    </xf>
    <xf numFmtId="177" fontId="21" fillId="15" borderId="5" xfId="1" applyNumberFormat="1" applyFont="1" applyFill="1" applyBorder="1" applyAlignment="1">
      <alignment horizontal="center" vertical="center" shrinkToFit="1"/>
    </xf>
    <xf numFmtId="177" fontId="17" fillId="15" borderId="5" xfId="0" applyNumberFormat="1" applyFont="1" applyFill="1" applyBorder="1" applyAlignment="1">
      <alignment horizontal="center"/>
    </xf>
    <xf numFmtId="0" fontId="17" fillId="15" borderId="5" xfId="0" applyFont="1" applyFill="1" applyBorder="1" applyAlignment="1">
      <alignment horizontal="center" shrinkToFit="1"/>
    </xf>
    <xf numFmtId="178" fontId="17" fillId="15" borderId="5" xfId="0" applyNumberFormat="1" applyFont="1" applyFill="1" applyBorder="1" applyAlignment="1">
      <alignment horizontal="center"/>
    </xf>
    <xf numFmtId="179" fontId="17" fillId="15" borderId="5" xfId="0" applyNumberFormat="1" applyFont="1" applyFill="1" applyBorder="1" applyAlignment="1">
      <alignment horizontal="center"/>
    </xf>
    <xf numFmtId="0" fontId="17" fillId="15" borderId="3" xfId="0" applyFont="1" applyFill="1" applyBorder="1" applyAlignment="1">
      <alignment shrinkToFit="1"/>
    </xf>
    <xf numFmtId="0" fontId="17" fillId="15" borderId="26" xfId="0" applyFont="1" applyFill="1" applyBorder="1" applyAlignment="1">
      <alignment horizontal="center"/>
    </xf>
    <xf numFmtId="178" fontId="17" fillId="15" borderId="26" xfId="0" applyNumberFormat="1" applyFont="1" applyFill="1" applyBorder="1" applyAlignment="1">
      <alignment horizontal="center"/>
    </xf>
    <xf numFmtId="179" fontId="17" fillId="15" borderId="26" xfId="0" applyNumberFormat="1" applyFont="1" applyFill="1" applyBorder="1" applyAlignment="1">
      <alignment horizontal="center"/>
    </xf>
    <xf numFmtId="191" fontId="1" fillId="0" borderId="78" xfId="10" applyNumberFormat="1" applyFont="1" applyBorder="1">
      <alignment vertical="center"/>
    </xf>
    <xf numFmtId="202" fontId="1" fillId="16" borderId="98" xfId="10" applyNumberFormat="1" applyFont="1" applyFill="1" applyBorder="1">
      <alignment vertical="center"/>
    </xf>
    <xf numFmtId="0" fontId="1" fillId="0" borderId="0" xfId="15">
      <alignment vertical="center"/>
    </xf>
    <xf numFmtId="0" fontId="1" fillId="0" borderId="78" xfId="15" applyBorder="1">
      <alignment vertical="center"/>
    </xf>
    <xf numFmtId="14" fontId="64" fillId="0" borderId="111" xfId="0" applyNumberFormat="1" applyFont="1" applyBorder="1" applyAlignment="1">
      <alignment horizontal="right" vertical="center" wrapText="1"/>
    </xf>
    <xf numFmtId="3" fontId="64" fillId="0" borderId="111" xfId="0" applyNumberFormat="1" applyFont="1" applyBorder="1" applyAlignment="1">
      <alignment horizontal="right" vertical="center" wrapText="1"/>
    </xf>
    <xf numFmtId="4" fontId="64" fillId="19" borderId="111" xfId="0" applyNumberFormat="1" applyFont="1" applyFill="1" applyBorder="1" applyAlignment="1">
      <alignment horizontal="right" vertical="center" wrapText="1"/>
    </xf>
    <xf numFmtId="0" fontId="64" fillId="0" borderId="111" xfId="0" applyFont="1" applyBorder="1" applyAlignment="1">
      <alignment vertical="center" wrapText="1"/>
    </xf>
    <xf numFmtId="0" fontId="64" fillId="0" borderId="111" xfId="0" applyFont="1" applyBorder="1" applyAlignment="1">
      <alignment horizontal="right" vertical="center" wrapText="1"/>
    </xf>
    <xf numFmtId="41" fontId="65" fillId="0" borderId="78" xfId="9" applyFont="1" applyFill="1" applyBorder="1" applyAlignment="1">
      <alignment horizontal="center"/>
    </xf>
    <xf numFmtId="41" fontId="65" fillId="0" borderId="78" xfId="1" applyFont="1" applyFill="1" applyBorder="1" applyAlignment="1">
      <alignment horizontal="center"/>
    </xf>
    <xf numFmtId="41" fontId="65" fillId="0" borderId="78" xfId="1" applyFont="1" applyFill="1" applyBorder="1" applyAlignment="1">
      <alignment horizontal="center" vertical="center"/>
    </xf>
    <xf numFmtId="41" fontId="65" fillId="0" borderId="78" xfId="1" applyFont="1" applyFill="1" applyBorder="1">
      <alignment vertical="center"/>
    </xf>
    <xf numFmtId="0" fontId="38" fillId="3" borderId="78" xfId="0" applyFont="1" applyFill="1" applyBorder="1" applyAlignment="1">
      <alignment horizontal="center" vertical="center"/>
    </xf>
    <xf numFmtId="0" fontId="38" fillId="0" borderId="78" xfId="0" applyFont="1" applyBorder="1" applyAlignment="1">
      <alignment horizontal="center" vertical="center"/>
    </xf>
    <xf numFmtId="0" fontId="21" fillId="0" borderId="78" xfId="0" applyFont="1" applyBorder="1" applyAlignment="1">
      <alignment horizontal="center" vertical="center"/>
    </xf>
    <xf numFmtId="14" fontId="24" fillId="2" borderId="19" xfId="0" applyNumberFormat="1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26" fillId="3" borderId="87" xfId="0" applyFont="1" applyFill="1" applyBorder="1" applyAlignment="1">
      <alignment horizontal="left" vertical="center"/>
    </xf>
    <xf numFmtId="0" fontId="26" fillId="3" borderId="87" xfId="0" applyFont="1" applyFill="1" applyBorder="1">
      <alignment vertical="center"/>
    </xf>
    <xf numFmtId="0" fontId="26" fillId="3" borderId="88" xfId="0" applyFont="1" applyFill="1" applyBorder="1">
      <alignment vertical="center"/>
    </xf>
    <xf numFmtId="41" fontId="24" fillId="2" borderId="19" xfId="1" applyFont="1" applyFill="1" applyBorder="1" applyAlignment="1">
      <alignment horizontal="center" vertical="center" wrapText="1"/>
    </xf>
    <xf numFmtId="41" fontId="26" fillId="3" borderId="88" xfId="1" applyFont="1" applyFill="1" applyBorder="1" applyAlignment="1">
      <alignment vertical="center"/>
    </xf>
    <xf numFmtId="41" fontId="0" fillId="0" borderId="78" xfId="1" applyFont="1" applyBorder="1">
      <alignment vertical="center"/>
    </xf>
    <xf numFmtId="41" fontId="0" fillId="0" borderId="0" xfId="1" applyFont="1">
      <alignment vertical="center"/>
    </xf>
    <xf numFmtId="14" fontId="26" fillId="3" borderId="88" xfId="0" applyNumberFormat="1" applyFont="1" applyFill="1" applyBorder="1">
      <alignment vertical="center"/>
    </xf>
    <xf numFmtId="0" fontId="21" fillId="0" borderId="78" xfId="0" applyFont="1" applyBorder="1" applyAlignment="1">
      <alignment horizontal="center" vertical="center" shrinkToFit="1"/>
    </xf>
    <xf numFmtId="0" fontId="55" fillId="3" borderId="88" xfId="0" applyFont="1" applyFill="1" applyBorder="1">
      <alignment vertical="center"/>
    </xf>
    <xf numFmtId="41" fontId="55" fillId="3" borderId="78" xfId="1" applyFont="1" applyFill="1" applyBorder="1" applyAlignment="1">
      <alignment vertical="center"/>
    </xf>
    <xf numFmtId="41" fontId="55" fillId="3" borderId="88" xfId="1" applyFont="1" applyFill="1" applyBorder="1" applyAlignment="1">
      <alignment vertical="center"/>
    </xf>
    <xf numFmtId="41" fontId="54" fillId="0" borderId="78" xfId="1" applyFont="1" applyBorder="1">
      <alignment vertical="center"/>
    </xf>
    <xf numFmtId="14" fontId="26" fillId="3" borderId="88" xfId="0" applyNumberFormat="1" applyFont="1" applyFill="1" applyBorder="1" applyAlignment="1">
      <alignment horizontal="center" vertical="center"/>
    </xf>
    <xf numFmtId="14" fontId="55" fillId="3" borderId="78" xfId="0" applyNumberFormat="1" applyFont="1" applyFill="1" applyBorder="1" applyAlignment="1">
      <alignment horizontal="center" vertical="center"/>
    </xf>
    <xf numFmtId="14" fontId="55" fillId="3" borderId="88" xfId="0" applyNumberFormat="1" applyFont="1" applyFill="1" applyBorder="1" applyAlignment="1">
      <alignment horizontal="center" vertical="center"/>
    </xf>
    <xf numFmtId="14" fontId="54" fillId="0" borderId="78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66" fillId="3" borderId="78" xfId="0" applyNumberFormat="1" applyFont="1" applyFill="1" applyBorder="1" applyAlignment="1">
      <alignment horizontal="center" vertical="center"/>
    </xf>
    <xf numFmtId="20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21" fillId="0" borderId="0" xfId="0" applyNumberFormat="1" applyFont="1">
      <alignment vertical="center"/>
    </xf>
    <xf numFmtId="14" fontId="23" fillId="0" borderId="0" xfId="0" applyNumberFormat="1" applyFont="1">
      <alignment vertical="center"/>
    </xf>
    <xf numFmtId="14" fontId="21" fillId="3" borderId="0" xfId="0" applyNumberFormat="1" applyFont="1" applyFill="1">
      <alignment vertical="center"/>
    </xf>
    <xf numFmtId="14" fontId="21" fillId="3" borderId="0" xfId="0" applyNumberFormat="1" applyFont="1" applyFill="1" applyAlignment="1">
      <alignment horizontal="center" vertical="center"/>
    </xf>
    <xf numFmtId="0" fontId="67" fillId="2" borderId="19" xfId="0" applyFont="1" applyFill="1" applyBorder="1" applyAlignment="1">
      <alignment horizontal="center" vertical="center" wrapText="1"/>
    </xf>
    <xf numFmtId="0" fontId="67" fillId="2" borderId="1" xfId="0" applyFont="1" applyFill="1" applyBorder="1" applyAlignment="1">
      <alignment horizontal="center" vertical="center" wrapText="1"/>
    </xf>
    <xf numFmtId="176" fontId="67" fillId="2" borderId="1" xfId="0" applyNumberFormat="1" applyFont="1" applyFill="1" applyBorder="1" applyAlignment="1">
      <alignment horizontal="center" vertical="center" wrapText="1"/>
    </xf>
    <xf numFmtId="176" fontId="67" fillId="2" borderId="1" xfId="0" applyNumberFormat="1" applyFont="1" applyFill="1" applyBorder="1" applyAlignment="1">
      <alignment horizontal="center" vertical="center" shrinkToFit="1"/>
    </xf>
    <xf numFmtId="177" fontId="67" fillId="2" borderId="1" xfId="0" applyNumberFormat="1" applyFont="1" applyFill="1" applyBorder="1" applyAlignment="1">
      <alignment horizontal="center" vertical="center" wrapText="1"/>
    </xf>
    <xf numFmtId="0" fontId="67" fillId="2" borderId="1" xfId="0" applyFont="1" applyFill="1" applyBorder="1" applyAlignment="1">
      <alignment horizontal="center" vertical="center" shrinkToFit="1"/>
    </xf>
    <xf numFmtId="0" fontId="68" fillId="0" borderId="0" xfId="0" applyFont="1">
      <alignment vertical="center"/>
    </xf>
    <xf numFmtId="179" fontId="26" fillId="3" borderId="14" xfId="0" applyNumberFormat="1" applyFont="1" applyFill="1" applyBorder="1" applyAlignment="1">
      <alignment vertical="center" wrapText="1"/>
    </xf>
    <xf numFmtId="202" fontId="45" fillId="16" borderId="98" xfId="10" applyNumberFormat="1" applyFont="1" applyFill="1" applyBorder="1">
      <alignment vertical="center"/>
    </xf>
    <xf numFmtId="0" fontId="56" fillId="0" borderId="0" xfId="7" applyFont="1" applyAlignment="1">
      <alignment horizontal="center" vertical="center"/>
    </xf>
    <xf numFmtId="191" fontId="56" fillId="0" borderId="78" xfId="1" applyNumberFormat="1" applyFont="1" applyFill="1" applyBorder="1" applyAlignment="1">
      <alignment horizontal="center"/>
    </xf>
    <xf numFmtId="191" fontId="56" fillId="0" borderId="78" xfId="1" applyNumberFormat="1" applyFont="1" applyFill="1" applyBorder="1" applyAlignment="1">
      <alignment horizontal="center" vertical="center"/>
    </xf>
    <xf numFmtId="191" fontId="56" fillId="0" borderId="78" xfId="1" applyNumberFormat="1" applyFont="1" applyFill="1" applyBorder="1">
      <alignment vertical="center"/>
    </xf>
    <xf numFmtId="186" fontId="21" fillId="15" borderId="5" xfId="0" applyNumberFormat="1" applyFont="1" applyFill="1" applyBorder="1">
      <alignment vertical="center"/>
    </xf>
    <xf numFmtId="177" fontId="21" fillId="15" borderId="5" xfId="0" applyNumberFormat="1" applyFont="1" applyFill="1" applyBorder="1">
      <alignment vertical="center"/>
    </xf>
    <xf numFmtId="179" fontId="21" fillId="15" borderId="26" xfId="0" applyNumberFormat="1" applyFont="1" applyFill="1" applyBorder="1">
      <alignment vertical="center"/>
    </xf>
    <xf numFmtId="41" fontId="69" fillId="3" borderId="78" xfId="1" applyFont="1" applyFill="1" applyBorder="1" applyAlignment="1">
      <alignment vertical="center"/>
    </xf>
    <xf numFmtId="41" fontId="52" fillId="0" borderId="78" xfId="9" applyFont="1" applyFill="1" applyBorder="1" applyAlignment="1">
      <alignment horizontal="center"/>
    </xf>
    <xf numFmtId="41" fontId="66" fillId="3" borderId="78" xfId="1" applyFont="1" applyFill="1" applyBorder="1" applyAlignment="1">
      <alignment vertical="center"/>
    </xf>
    <xf numFmtId="41" fontId="70" fillId="3" borderId="78" xfId="1" applyFont="1" applyFill="1" applyBorder="1" applyAlignment="1">
      <alignment vertical="center"/>
    </xf>
    <xf numFmtId="41" fontId="66" fillId="3" borderId="88" xfId="1" applyFont="1" applyFill="1" applyBorder="1" applyAlignment="1">
      <alignment vertical="center"/>
    </xf>
    <xf numFmtId="41" fontId="71" fillId="0" borderId="78" xfId="1" applyFont="1" applyBorder="1">
      <alignment vertical="center"/>
    </xf>
    <xf numFmtId="41" fontId="72" fillId="0" borderId="78" xfId="1" applyFont="1" applyBorder="1">
      <alignment vertical="center"/>
    </xf>
    <xf numFmtId="41" fontId="58" fillId="0" borderId="0" xfId="1" applyFont="1">
      <alignment vertical="center"/>
    </xf>
    <xf numFmtId="176" fontId="21" fillId="15" borderId="5" xfId="0" applyNumberFormat="1" applyFont="1" applyFill="1" applyBorder="1">
      <alignment vertical="center"/>
    </xf>
    <xf numFmtId="0" fontId="21" fillId="15" borderId="0" xfId="0" applyFont="1" applyFill="1" applyAlignment="1">
      <alignment horizontal="center" vertical="center" shrinkToFit="1"/>
    </xf>
    <xf numFmtId="0" fontId="21" fillId="15" borderId="26" xfId="0" applyFont="1" applyFill="1" applyBorder="1" applyAlignment="1">
      <alignment horizontal="center" vertical="center" shrinkToFit="1"/>
    </xf>
    <xf numFmtId="194" fontId="21" fillId="3" borderId="0" xfId="1" applyNumberFormat="1" applyFont="1" applyFill="1" applyBorder="1" applyAlignment="1">
      <alignment horizontal="center" vertical="center" wrapText="1"/>
    </xf>
    <xf numFmtId="177" fontId="21" fillId="3" borderId="0" xfId="0" applyNumberFormat="1" applyFont="1" applyFill="1" applyAlignment="1">
      <alignment horizontal="center" vertical="center"/>
    </xf>
    <xf numFmtId="179" fontId="21" fillId="3" borderId="0" xfId="0" applyNumberFormat="1" applyFont="1" applyFill="1" applyAlignment="1">
      <alignment horizontal="center" vertical="center"/>
    </xf>
    <xf numFmtId="183" fontId="21" fillId="15" borderId="5" xfId="0" applyNumberFormat="1" applyFont="1" applyFill="1" applyBorder="1" applyAlignment="1">
      <alignment horizontal="center" vertical="center" shrinkToFit="1"/>
    </xf>
    <xf numFmtId="41" fontId="56" fillId="3" borderId="78" xfId="9" applyFont="1" applyFill="1" applyBorder="1" applyAlignment="1">
      <alignment horizontal="center"/>
    </xf>
    <xf numFmtId="41" fontId="57" fillId="3" borderId="78" xfId="9" applyFont="1" applyFill="1" applyBorder="1" applyAlignment="1">
      <alignment horizontal="center"/>
    </xf>
    <xf numFmtId="41" fontId="20" fillId="3" borderId="78" xfId="9" applyFont="1" applyFill="1" applyBorder="1" applyAlignment="1">
      <alignment horizontal="center"/>
    </xf>
    <xf numFmtId="41" fontId="65" fillId="3" borderId="78" xfId="9" applyFont="1" applyFill="1" applyBorder="1" applyAlignment="1">
      <alignment horizontal="center"/>
    </xf>
    <xf numFmtId="41" fontId="57" fillId="3" borderId="78" xfId="1" applyFont="1" applyFill="1" applyBorder="1" applyAlignment="1">
      <alignment horizontal="center"/>
    </xf>
    <xf numFmtId="41" fontId="65" fillId="3" borderId="78" xfId="1" applyFont="1" applyFill="1" applyBorder="1" applyAlignment="1">
      <alignment horizontal="center"/>
    </xf>
    <xf numFmtId="41" fontId="65" fillId="3" borderId="78" xfId="1" applyFont="1" applyFill="1" applyBorder="1" applyAlignment="1">
      <alignment horizontal="center" vertical="center"/>
    </xf>
    <xf numFmtId="41" fontId="57" fillId="3" borderId="78" xfId="1" applyFont="1" applyFill="1" applyBorder="1" applyAlignment="1">
      <alignment horizontal="center" vertical="center"/>
    </xf>
    <xf numFmtId="41" fontId="65" fillId="3" borderId="78" xfId="1" applyFont="1" applyFill="1" applyBorder="1">
      <alignment vertical="center"/>
    </xf>
    <xf numFmtId="41" fontId="57" fillId="3" borderId="78" xfId="1" applyFont="1" applyFill="1" applyBorder="1">
      <alignment vertical="center"/>
    </xf>
    <xf numFmtId="177" fontId="21" fillId="15" borderId="110" xfId="0" applyNumberFormat="1" applyFont="1" applyFill="1" applyBorder="1" applyAlignment="1">
      <alignment horizontal="center" vertical="center"/>
    </xf>
    <xf numFmtId="41" fontId="21" fillId="0" borderId="0" xfId="0" applyNumberFormat="1" applyFont="1" applyAlignment="1">
      <alignment vertical="center" shrinkToFit="1"/>
    </xf>
    <xf numFmtId="181" fontId="17" fillId="3" borderId="5" xfId="0" applyNumberFormat="1" applyFont="1" applyFill="1" applyBorder="1" applyAlignment="1">
      <alignment horizontal="center" vertical="center"/>
    </xf>
    <xf numFmtId="183" fontId="21" fillId="15" borderId="5" xfId="1" applyNumberFormat="1" applyFont="1" applyFill="1" applyBorder="1" applyAlignment="1">
      <alignment horizontal="center" vertical="center" shrinkToFit="1"/>
    </xf>
    <xf numFmtId="177" fontId="21" fillId="3" borderId="114" xfId="0" applyNumberFormat="1" applyFont="1" applyFill="1" applyBorder="1" applyAlignment="1">
      <alignment horizontal="center" vertical="center"/>
    </xf>
    <xf numFmtId="177" fontId="21" fillId="0" borderId="110" xfId="0" applyNumberFormat="1" applyFont="1" applyBorder="1" applyAlignment="1">
      <alignment horizontal="center" vertical="center"/>
    </xf>
    <xf numFmtId="41" fontId="58" fillId="3" borderId="78" xfId="9" applyFont="1" applyFill="1" applyBorder="1" applyAlignment="1">
      <alignment horizontal="center"/>
    </xf>
    <xf numFmtId="41" fontId="52" fillId="3" borderId="78" xfId="9" applyFont="1" applyFill="1" applyBorder="1" applyAlignment="1">
      <alignment horizontal="center"/>
    </xf>
    <xf numFmtId="183" fontId="21" fillId="0" borderId="5" xfId="0" applyNumberFormat="1" applyFont="1" applyBorder="1" applyAlignment="1">
      <alignment horizontal="center" vertical="center" shrinkToFit="1"/>
    </xf>
    <xf numFmtId="183" fontId="21" fillId="0" borderId="110" xfId="0" applyNumberFormat="1" applyFont="1" applyBorder="1" applyAlignment="1">
      <alignment horizontal="center" vertical="center"/>
    </xf>
    <xf numFmtId="183" fontId="21" fillId="15" borderId="110" xfId="0" applyNumberFormat="1" applyFont="1" applyFill="1" applyBorder="1" applyAlignment="1">
      <alignment horizontal="center" vertical="center"/>
    </xf>
    <xf numFmtId="14" fontId="38" fillId="3" borderId="0" xfId="0" applyNumberFormat="1" applyFont="1" applyFill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38" fillId="3" borderId="21" xfId="0" applyFont="1" applyFill="1" applyBorder="1" applyAlignment="1">
      <alignment horizontal="center" vertical="center"/>
    </xf>
    <xf numFmtId="0" fontId="38" fillId="3" borderId="5" xfId="0" applyFont="1" applyFill="1" applyBorder="1" applyAlignment="1">
      <alignment horizontal="center" vertical="center"/>
    </xf>
    <xf numFmtId="176" fontId="38" fillId="0" borderId="5" xfId="0" applyNumberFormat="1" applyFont="1" applyBorder="1" applyAlignment="1">
      <alignment horizontal="center" vertical="center"/>
    </xf>
    <xf numFmtId="176" fontId="38" fillId="3" borderId="5" xfId="0" applyNumberFormat="1" applyFont="1" applyFill="1" applyBorder="1" applyAlignment="1">
      <alignment horizontal="center" vertical="center"/>
    </xf>
    <xf numFmtId="180" fontId="38" fillId="3" borderId="5" xfId="0" applyNumberFormat="1" applyFont="1" applyFill="1" applyBorder="1" applyAlignment="1">
      <alignment horizontal="center" vertical="center"/>
    </xf>
    <xf numFmtId="183" fontId="38" fillId="3" borderId="5" xfId="1" applyNumberFormat="1" applyFont="1" applyFill="1" applyBorder="1" applyAlignment="1">
      <alignment horizontal="center" vertical="center"/>
    </xf>
    <xf numFmtId="177" fontId="38" fillId="3" borderId="5" xfId="0" applyNumberFormat="1" applyFont="1" applyFill="1" applyBorder="1" applyAlignment="1">
      <alignment horizontal="center" vertical="center"/>
    </xf>
    <xf numFmtId="186" fontId="38" fillId="3" borderId="5" xfId="0" applyNumberFormat="1" applyFont="1" applyFill="1" applyBorder="1" applyAlignment="1">
      <alignment horizontal="center" vertical="center"/>
    </xf>
    <xf numFmtId="186" fontId="38" fillId="0" borderId="5" xfId="0" applyNumberFormat="1" applyFont="1" applyBorder="1" applyAlignment="1">
      <alignment horizontal="center" vertical="center"/>
    </xf>
    <xf numFmtId="187" fontId="38" fillId="3" borderId="5" xfId="0" applyNumberFormat="1" applyFont="1" applyFill="1" applyBorder="1" applyAlignment="1">
      <alignment horizontal="center" vertical="center"/>
    </xf>
    <xf numFmtId="0" fontId="73" fillId="3" borderId="5" xfId="6" applyFont="1" applyFill="1" applyBorder="1" applyAlignment="1">
      <alignment horizontal="center" vertical="center" shrinkToFit="1"/>
    </xf>
    <xf numFmtId="0" fontId="38" fillId="3" borderId="5" xfId="0" applyFont="1" applyFill="1" applyBorder="1" applyAlignment="1">
      <alignment horizontal="center" vertical="center" shrinkToFit="1"/>
    </xf>
    <xf numFmtId="181" fontId="38" fillId="0" borderId="5" xfId="0" applyNumberFormat="1" applyFont="1" applyBorder="1" applyAlignment="1">
      <alignment horizontal="center" vertical="center"/>
    </xf>
    <xf numFmtId="2" fontId="38" fillId="0" borderId="5" xfId="0" applyNumberFormat="1" applyFont="1" applyBorder="1" applyAlignment="1">
      <alignment horizontal="center" vertical="center"/>
    </xf>
    <xf numFmtId="178" fontId="38" fillId="0" borderId="5" xfId="0" applyNumberFormat="1" applyFont="1" applyBorder="1" applyAlignment="1">
      <alignment horizontal="center" vertical="center"/>
    </xf>
    <xf numFmtId="188" fontId="38" fillId="0" borderId="5" xfId="0" applyNumberFormat="1" applyFont="1" applyBorder="1" applyAlignment="1">
      <alignment horizontal="center" vertical="center"/>
    </xf>
    <xf numFmtId="179" fontId="38" fillId="0" borderId="5" xfId="0" applyNumberFormat="1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 shrinkToFit="1"/>
    </xf>
    <xf numFmtId="0" fontId="38" fillId="3" borderId="0" xfId="0" applyFont="1" applyFill="1">
      <alignment vertical="center"/>
    </xf>
    <xf numFmtId="177" fontId="38" fillId="3" borderId="0" xfId="0" applyNumberFormat="1" applyFont="1" applyFill="1">
      <alignment vertical="center"/>
    </xf>
    <xf numFmtId="177" fontId="36" fillId="3" borderId="0" xfId="0" applyNumberFormat="1" applyFont="1" applyFill="1" applyAlignment="1">
      <alignment horizontal="center" vertical="center"/>
    </xf>
    <xf numFmtId="184" fontId="36" fillId="3" borderId="0" xfId="0" applyNumberFormat="1" applyFont="1" applyFill="1" applyAlignment="1">
      <alignment horizontal="center" vertical="center"/>
    </xf>
    <xf numFmtId="184" fontId="38" fillId="3" borderId="0" xfId="0" applyNumberFormat="1" applyFont="1" applyFill="1">
      <alignment vertical="center"/>
    </xf>
    <xf numFmtId="0" fontId="21" fillId="0" borderId="110" xfId="0" applyFont="1" applyBorder="1" applyAlignment="1">
      <alignment horizontal="center" vertical="center" shrinkToFit="1"/>
    </xf>
    <xf numFmtId="177" fontId="21" fillId="0" borderId="110" xfId="1" applyNumberFormat="1" applyFont="1" applyFill="1" applyBorder="1" applyAlignment="1">
      <alignment horizontal="center" vertical="center" shrinkToFit="1"/>
    </xf>
    <xf numFmtId="177" fontId="21" fillId="0" borderId="110" xfId="0" applyNumberFormat="1" applyFont="1" applyBorder="1" applyAlignment="1">
      <alignment horizontal="center" vertical="center" shrinkToFit="1"/>
    </xf>
    <xf numFmtId="0" fontId="54" fillId="11" borderId="78" xfId="7" applyFont="1" applyFill="1" applyBorder="1" applyAlignment="1">
      <alignment horizontal="center" vertical="center"/>
    </xf>
    <xf numFmtId="0" fontId="21" fillId="3" borderId="21" xfId="0" applyFont="1" applyFill="1" applyBorder="1" applyAlignment="1">
      <alignment horizontal="center" vertical="center" shrinkToFit="1"/>
    </xf>
    <xf numFmtId="0" fontId="21" fillId="3" borderId="22" xfId="0" applyFont="1" applyFill="1" applyBorder="1" applyAlignment="1">
      <alignment horizontal="left" vertical="center" shrinkToFit="1"/>
    </xf>
    <xf numFmtId="177" fontId="21" fillId="3" borderId="5" xfId="1" applyNumberFormat="1" applyFont="1" applyFill="1" applyBorder="1" applyAlignment="1">
      <alignment horizontal="center" vertical="center" shrinkToFit="1"/>
    </xf>
    <xf numFmtId="203" fontId="21" fillId="3" borderId="5" xfId="0" applyNumberFormat="1" applyFont="1" applyFill="1" applyBorder="1" applyAlignment="1">
      <alignment horizontal="center" vertical="center" shrinkToFit="1"/>
    </xf>
    <xf numFmtId="0" fontId="21" fillId="3" borderId="22" xfId="0" applyFont="1" applyFill="1" applyBorder="1" applyAlignment="1">
      <alignment horizontal="center" vertical="center" wrapText="1" shrinkToFit="1"/>
    </xf>
    <xf numFmtId="0" fontId="21" fillId="3" borderId="22" xfId="0" applyFont="1" applyFill="1" applyBorder="1" applyAlignment="1">
      <alignment horizontal="center" vertical="center" shrinkToFit="1"/>
    </xf>
    <xf numFmtId="0" fontId="38" fillId="3" borderId="80" xfId="0" applyFont="1" applyFill="1" applyBorder="1" applyAlignment="1">
      <alignment horizontal="center" vertical="center"/>
    </xf>
    <xf numFmtId="176" fontId="26" fillId="3" borderId="5" xfId="0" applyNumberFormat="1" applyFont="1" applyFill="1" applyBorder="1" applyAlignment="1">
      <alignment horizontal="center" vertical="center"/>
    </xf>
    <xf numFmtId="176" fontId="21" fillId="3" borderId="109" xfId="0" applyNumberFormat="1" applyFont="1" applyFill="1" applyBorder="1" applyAlignment="1">
      <alignment horizontal="center" vertical="center"/>
    </xf>
    <xf numFmtId="0" fontId="27" fillId="3" borderId="80" xfId="0" applyFont="1" applyFill="1" applyBorder="1" applyAlignment="1">
      <alignment horizontal="center" vertical="center"/>
    </xf>
    <xf numFmtId="176" fontId="28" fillId="3" borderId="109" xfId="0" applyNumberFormat="1" applyFont="1" applyFill="1" applyBorder="1" applyAlignment="1">
      <alignment horizontal="center" vertical="center"/>
    </xf>
    <xf numFmtId="177" fontId="27" fillId="3" borderId="110" xfId="0" applyNumberFormat="1" applyFont="1" applyFill="1" applyBorder="1" applyAlignment="1">
      <alignment horizontal="center" vertical="center"/>
    </xf>
    <xf numFmtId="176" fontId="38" fillId="3" borderId="109" xfId="0" applyNumberFormat="1" applyFont="1" applyFill="1" applyBorder="1" applyAlignment="1">
      <alignment horizontal="center" vertical="center"/>
    </xf>
    <xf numFmtId="184" fontId="21" fillId="3" borderId="5" xfId="1" applyNumberFormat="1" applyFont="1" applyFill="1" applyBorder="1" applyAlignment="1">
      <alignment horizontal="center" vertical="center"/>
    </xf>
    <xf numFmtId="177" fontId="38" fillId="3" borderId="110" xfId="0" applyNumberFormat="1" applyFont="1" applyFill="1" applyBorder="1" applyAlignment="1">
      <alignment horizontal="center" vertical="center"/>
    </xf>
    <xf numFmtId="0" fontId="38" fillId="3" borderId="80" xfId="0" applyFont="1" applyFill="1" applyBorder="1" applyAlignment="1">
      <alignment horizontal="center" vertical="center" wrapText="1"/>
    </xf>
    <xf numFmtId="178" fontId="21" fillId="3" borderId="80" xfId="0" applyNumberFormat="1" applyFont="1" applyFill="1" applyBorder="1" applyAlignment="1">
      <alignment horizontal="center" vertical="center"/>
    </xf>
    <xf numFmtId="183" fontId="21" fillId="3" borderId="80" xfId="0" applyNumberFormat="1" applyFont="1" applyFill="1" applyBorder="1" applyAlignment="1">
      <alignment horizontal="center" vertical="center"/>
    </xf>
    <xf numFmtId="0" fontId="26" fillId="3" borderId="22" xfId="0" applyFont="1" applyFill="1" applyBorder="1" applyAlignment="1">
      <alignment vertical="center" wrapText="1"/>
    </xf>
    <xf numFmtId="177" fontId="38" fillId="3" borderId="112" xfId="0" applyNumberFormat="1" applyFont="1" applyFill="1" applyBorder="1" applyAlignment="1">
      <alignment horizontal="center" vertical="center"/>
    </xf>
    <xf numFmtId="183" fontId="21" fillId="3" borderId="80" xfId="0" applyNumberFormat="1" applyFont="1" applyFill="1" applyBorder="1" applyAlignment="1">
      <alignment horizontal="center" vertical="center" shrinkToFit="1"/>
    </xf>
    <xf numFmtId="0" fontId="21" fillId="3" borderId="80" xfId="0" applyFont="1" applyFill="1" applyBorder="1" applyAlignment="1">
      <alignment horizontal="center" vertical="center" shrinkToFit="1"/>
    </xf>
    <xf numFmtId="0" fontId="21" fillId="3" borderId="113" xfId="0" applyFont="1" applyFill="1" applyBorder="1" applyAlignment="1">
      <alignment horizontal="center" vertical="center" shrinkToFit="1"/>
    </xf>
    <xf numFmtId="183" fontId="21" fillId="3" borderId="5" xfId="0" applyNumberFormat="1" applyFont="1" applyFill="1" applyBorder="1" applyAlignment="1">
      <alignment horizontal="center" vertical="center" shrinkToFit="1"/>
    </xf>
    <xf numFmtId="177" fontId="53" fillId="3" borderId="5" xfId="0" applyNumberFormat="1" applyFont="1" applyFill="1" applyBorder="1" applyAlignment="1">
      <alignment horizontal="center" vertical="center"/>
    </xf>
    <xf numFmtId="49" fontId="27" fillId="3" borderId="5" xfId="0" applyNumberFormat="1" applyFont="1" applyFill="1" applyBorder="1" applyAlignment="1">
      <alignment horizontal="center" vertical="center" shrinkToFit="1"/>
    </xf>
    <xf numFmtId="177" fontId="21" fillId="3" borderId="110" xfId="0" applyNumberFormat="1" applyFont="1" applyFill="1" applyBorder="1" applyAlignment="1">
      <alignment horizontal="center" vertical="center"/>
    </xf>
    <xf numFmtId="0" fontId="21" fillId="3" borderId="110" xfId="0" applyFont="1" applyFill="1" applyBorder="1" applyAlignment="1">
      <alignment horizontal="center" vertical="center" shrinkToFit="1"/>
    </xf>
    <xf numFmtId="179" fontId="53" fillId="3" borderId="5" xfId="0" applyNumberFormat="1" applyFont="1" applyFill="1" applyBorder="1" applyAlignment="1">
      <alignment horizontal="center" vertical="center"/>
    </xf>
    <xf numFmtId="177" fontId="21" fillId="3" borderId="0" xfId="0" applyNumberFormat="1" applyFont="1" applyFill="1" applyAlignment="1">
      <alignment horizontal="center" vertical="center" shrinkToFit="1"/>
    </xf>
    <xf numFmtId="183" fontId="21" fillId="3" borderId="5" xfId="1" applyNumberFormat="1" applyFont="1" applyFill="1" applyBorder="1" applyAlignment="1">
      <alignment horizontal="center" vertical="center" shrinkToFit="1"/>
    </xf>
    <xf numFmtId="176" fontId="21" fillId="3" borderId="0" xfId="0" applyNumberFormat="1" applyFont="1" applyFill="1" applyAlignment="1">
      <alignment horizontal="center" vertical="center"/>
    </xf>
    <xf numFmtId="177" fontId="21" fillId="3" borderId="80" xfId="0" applyNumberFormat="1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 wrapText="1"/>
    </xf>
    <xf numFmtId="183" fontId="21" fillId="3" borderId="110" xfId="0" applyNumberFormat="1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shrinkToFit="1"/>
    </xf>
    <xf numFmtId="0" fontId="17" fillId="3" borderId="26" xfId="0" applyFont="1" applyFill="1" applyBorder="1" applyAlignment="1">
      <alignment horizontal="center" vertical="center" shrinkToFit="1"/>
    </xf>
    <xf numFmtId="177" fontId="17" fillId="3" borderId="5" xfId="0" applyNumberFormat="1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shrinkToFit="1"/>
    </xf>
    <xf numFmtId="178" fontId="17" fillId="3" borderId="5" xfId="0" applyNumberFormat="1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vertical="center" shrinkToFit="1"/>
    </xf>
    <xf numFmtId="178" fontId="17" fillId="3" borderId="5" xfId="0" applyNumberFormat="1" applyFont="1" applyFill="1" applyBorder="1" applyAlignment="1">
      <alignment horizontal="center"/>
    </xf>
    <xf numFmtId="179" fontId="17" fillId="3" borderId="5" xfId="0" applyNumberFormat="1" applyFont="1" applyFill="1" applyBorder="1" applyAlignment="1">
      <alignment horizontal="center"/>
    </xf>
    <xf numFmtId="180" fontId="27" fillId="3" borderId="5" xfId="0" applyNumberFormat="1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 shrinkToFit="1"/>
    </xf>
    <xf numFmtId="0" fontId="62" fillId="3" borderId="3" xfId="0" applyFont="1" applyFill="1" applyBorder="1" applyAlignment="1">
      <alignment shrinkToFi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/>
    </xf>
    <xf numFmtId="178" fontId="17" fillId="3" borderId="26" xfId="0" applyNumberFormat="1" applyFont="1" applyFill="1" applyBorder="1" applyAlignment="1">
      <alignment horizontal="center" vertical="center"/>
    </xf>
    <xf numFmtId="179" fontId="17" fillId="3" borderId="26" xfId="0" applyNumberFormat="1" applyFont="1" applyFill="1" applyBorder="1" applyAlignment="1">
      <alignment horizontal="center" vertical="center"/>
    </xf>
    <xf numFmtId="0" fontId="63" fillId="3" borderId="3" xfId="0" applyFont="1" applyFill="1" applyBorder="1">
      <alignment vertical="center"/>
    </xf>
    <xf numFmtId="177" fontId="17" fillId="15" borderId="5" xfId="0" applyNumberFormat="1" applyFont="1" applyFill="1" applyBorder="1">
      <alignment vertical="center"/>
    </xf>
    <xf numFmtId="0" fontId="21" fillId="15" borderId="80" xfId="0" applyFont="1" applyFill="1" applyBorder="1" applyAlignment="1">
      <alignment horizontal="center" vertical="center"/>
    </xf>
    <xf numFmtId="177" fontId="21" fillId="15" borderId="114" xfId="0" applyNumberFormat="1" applyFont="1" applyFill="1" applyBorder="1" applyAlignment="1">
      <alignment horizontal="center" vertical="center"/>
    </xf>
    <xf numFmtId="177" fontId="21" fillId="0" borderId="114" xfId="0" applyNumberFormat="1" applyFont="1" applyBorder="1" applyAlignment="1">
      <alignment horizontal="center" vertical="center"/>
    </xf>
    <xf numFmtId="181" fontId="19" fillId="15" borderId="5" xfId="0" applyNumberFormat="1" applyFont="1" applyFill="1" applyBorder="1" applyAlignment="1">
      <alignment horizontal="center" vertical="center"/>
    </xf>
    <xf numFmtId="176" fontId="38" fillId="15" borderId="5" xfId="0" applyNumberFormat="1" applyFont="1" applyFill="1" applyBorder="1" applyAlignment="1">
      <alignment horizontal="center" vertical="center"/>
    </xf>
    <xf numFmtId="177" fontId="38" fillId="15" borderId="5" xfId="0" applyNumberFormat="1" applyFont="1" applyFill="1" applyBorder="1" applyAlignment="1">
      <alignment horizontal="center" vertical="center"/>
    </xf>
    <xf numFmtId="186" fontId="38" fillId="15" borderId="5" xfId="0" applyNumberFormat="1" applyFont="1" applyFill="1" applyBorder="1" applyAlignment="1">
      <alignment horizontal="center" vertical="center"/>
    </xf>
    <xf numFmtId="187" fontId="38" fillId="15" borderId="5" xfId="0" applyNumberFormat="1" applyFont="1" applyFill="1" applyBorder="1" applyAlignment="1">
      <alignment horizontal="center" vertical="center"/>
    </xf>
    <xf numFmtId="0" fontId="73" fillId="15" borderId="5" xfId="6" applyFont="1" applyFill="1" applyBorder="1" applyAlignment="1">
      <alignment horizontal="center" vertical="center" shrinkToFit="1"/>
    </xf>
    <xf numFmtId="0" fontId="38" fillId="15" borderId="80" xfId="0" applyFont="1" applyFill="1" applyBorder="1" applyAlignment="1">
      <alignment horizontal="center" vertical="center"/>
    </xf>
    <xf numFmtId="181" fontId="38" fillId="15" borderId="5" xfId="0" applyNumberFormat="1" applyFont="1" applyFill="1" applyBorder="1" applyAlignment="1">
      <alignment horizontal="center" vertical="center"/>
    </xf>
    <xf numFmtId="2" fontId="38" fillId="15" borderId="5" xfId="0" applyNumberFormat="1" applyFont="1" applyFill="1" applyBorder="1" applyAlignment="1">
      <alignment horizontal="center" vertical="center"/>
    </xf>
    <xf numFmtId="178" fontId="38" fillId="15" borderId="5" xfId="0" applyNumberFormat="1" applyFont="1" applyFill="1" applyBorder="1" applyAlignment="1">
      <alignment horizontal="center" vertical="center"/>
    </xf>
    <xf numFmtId="188" fontId="38" fillId="15" borderId="5" xfId="0" applyNumberFormat="1" applyFont="1" applyFill="1" applyBorder="1" applyAlignment="1">
      <alignment horizontal="center" vertical="center"/>
    </xf>
    <xf numFmtId="179" fontId="38" fillId="15" borderId="5" xfId="0" applyNumberFormat="1" applyFont="1" applyFill="1" applyBorder="1" applyAlignment="1">
      <alignment horizontal="center" vertical="center"/>
    </xf>
    <xf numFmtId="0" fontId="38" fillId="15" borderId="5" xfId="0" applyFont="1" applyFill="1" applyBorder="1" applyAlignment="1">
      <alignment horizontal="center" vertical="center" shrinkToFit="1"/>
    </xf>
    <xf numFmtId="0" fontId="21" fillId="15" borderId="5" xfId="0" applyFont="1" applyFill="1" applyBorder="1" applyAlignment="1">
      <alignment horizontal="center" vertical="center" wrapText="1"/>
    </xf>
    <xf numFmtId="0" fontId="38" fillId="15" borderId="5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 shrinkToFit="1"/>
    </xf>
    <xf numFmtId="177" fontId="21" fillId="11" borderId="5" xfId="1" applyNumberFormat="1" applyFont="1" applyFill="1" applyBorder="1" applyAlignment="1">
      <alignment horizontal="center" vertical="center" shrinkToFit="1"/>
    </xf>
    <xf numFmtId="177" fontId="21" fillId="11" borderId="5" xfId="0" applyNumberFormat="1" applyFont="1" applyFill="1" applyBorder="1" applyAlignment="1">
      <alignment horizontal="center" vertical="center" shrinkToFit="1"/>
    </xf>
    <xf numFmtId="183" fontId="21" fillId="11" borderId="5" xfId="0" applyNumberFormat="1" applyFont="1" applyFill="1" applyBorder="1" applyAlignment="1">
      <alignment horizontal="center" vertical="center" shrinkToFit="1"/>
    </xf>
    <xf numFmtId="0" fontId="38" fillId="11" borderId="5" xfId="0" applyFont="1" applyFill="1" applyBorder="1" applyAlignment="1">
      <alignment horizontal="center" vertical="center" shrinkToFit="1"/>
    </xf>
    <xf numFmtId="191" fontId="21" fillId="11" borderId="5" xfId="0" applyNumberFormat="1" applyFont="1" applyFill="1" applyBorder="1" applyAlignment="1">
      <alignment horizontal="center" vertical="center" shrinkToFit="1"/>
    </xf>
    <xf numFmtId="179" fontId="21" fillId="11" borderId="5" xfId="0" applyNumberFormat="1" applyFont="1" applyFill="1" applyBorder="1" applyAlignment="1">
      <alignment horizontal="center" vertical="center" shrinkToFit="1"/>
    </xf>
    <xf numFmtId="0" fontId="21" fillId="3" borderId="0" xfId="0" applyFont="1" applyFill="1" applyAlignment="1">
      <alignment horizontal="center" vertical="center" wrapText="1"/>
    </xf>
    <xf numFmtId="176" fontId="21" fillId="3" borderId="0" xfId="0" applyNumberFormat="1" applyFont="1" applyFill="1" applyAlignment="1">
      <alignment horizontal="center" vertical="center" wrapText="1"/>
    </xf>
    <xf numFmtId="177" fontId="26" fillId="3" borderId="0" xfId="0" applyNumberFormat="1" applyFont="1" applyFill="1" applyAlignment="1">
      <alignment horizontal="center" vertical="center" wrapText="1"/>
    </xf>
    <xf numFmtId="186" fontId="26" fillId="3" borderId="0" xfId="0" applyNumberFormat="1" applyFont="1" applyFill="1" applyAlignment="1">
      <alignment horizontal="center" vertical="center" wrapText="1"/>
    </xf>
    <xf numFmtId="191" fontId="21" fillId="3" borderId="0" xfId="0" applyNumberFormat="1" applyFont="1" applyFill="1" applyAlignment="1">
      <alignment horizontal="center" vertical="center"/>
    </xf>
    <xf numFmtId="49" fontId="21" fillId="3" borderId="0" xfId="0" applyNumberFormat="1" applyFont="1" applyFill="1" applyAlignment="1">
      <alignment horizontal="center" vertical="center" shrinkToFit="1"/>
    </xf>
    <xf numFmtId="41" fontId="21" fillId="0" borderId="91" xfId="1" applyFont="1" applyBorder="1" applyAlignment="1">
      <alignment horizontal="center" vertical="center"/>
    </xf>
    <xf numFmtId="41" fontId="21" fillId="0" borderId="91" xfId="1" applyFont="1" applyBorder="1">
      <alignment vertical="center"/>
    </xf>
    <xf numFmtId="41" fontId="21" fillId="0" borderId="116" xfId="1" applyFont="1" applyBorder="1" applyAlignment="1">
      <alignment horizontal="center" vertical="center"/>
    </xf>
    <xf numFmtId="41" fontId="26" fillId="0" borderId="117" xfId="1" applyFont="1" applyBorder="1" applyAlignment="1">
      <alignment horizontal="center" vertical="center" shrinkToFit="1"/>
    </xf>
    <xf numFmtId="41" fontId="26" fillId="0" borderId="96" xfId="1" applyFont="1" applyBorder="1" applyAlignment="1">
      <alignment horizontal="center" vertical="center" shrinkToFit="1"/>
    </xf>
    <xf numFmtId="41" fontId="21" fillId="0" borderId="118" xfId="1" applyFont="1" applyBorder="1" applyAlignment="1">
      <alignment horizontal="center" vertical="center"/>
    </xf>
    <xf numFmtId="41" fontId="21" fillId="0" borderId="118" xfId="1" applyFont="1" applyBorder="1">
      <alignment vertical="center"/>
    </xf>
    <xf numFmtId="41" fontId="26" fillId="0" borderId="91" xfId="1" applyFont="1" applyBorder="1" applyAlignment="1">
      <alignment horizontal="center" vertical="center"/>
    </xf>
    <xf numFmtId="41" fontId="26" fillId="0" borderId="98" xfId="1" applyFont="1" applyBorder="1" applyAlignment="1">
      <alignment horizontal="center" vertical="center"/>
    </xf>
    <xf numFmtId="41" fontId="26" fillId="0" borderId="99" xfId="1" applyFont="1" applyBorder="1" applyAlignment="1">
      <alignment horizontal="center" vertical="center" shrinkToFit="1"/>
    </xf>
    <xf numFmtId="41" fontId="26" fillId="0" borderId="120" xfId="1" applyFont="1" applyBorder="1" applyAlignment="1">
      <alignment horizontal="center" vertical="center" shrinkToFit="1"/>
    </xf>
    <xf numFmtId="41" fontId="27" fillId="0" borderId="116" xfId="1" applyFont="1" applyBorder="1">
      <alignment vertical="center"/>
    </xf>
    <xf numFmtId="41" fontId="27" fillId="0" borderId="116" xfId="1" applyFont="1" applyBorder="1" applyAlignment="1">
      <alignment horizontal="center" vertical="center"/>
    </xf>
    <xf numFmtId="41" fontId="26" fillId="0" borderId="108" xfId="1" applyFont="1" applyBorder="1" applyAlignment="1">
      <alignment horizontal="center" vertical="center" shrinkToFit="1"/>
    </xf>
    <xf numFmtId="41" fontId="26" fillId="0" borderId="101" xfId="1" applyFont="1" applyBorder="1" applyAlignment="1">
      <alignment horizontal="center" vertical="center"/>
    </xf>
    <xf numFmtId="41" fontId="26" fillId="0" borderId="95" xfId="1" applyFont="1" applyBorder="1">
      <alignment vertical="center"/>
    </xf>
    <xf numFmtId="41" fontId="26" fillId="0" borderId="96" xfId="1" applyFont="1" applyBorder="1">
      <alignment vertical="center"/>
    </xf>
    <xf numFmtId="41" fontId="21" fillId="0" borderId="121" xfId="1" applyFont="1" applyBorder="1" applyAlignment="1">
      <alignment horizontal="center" vertical="center"/>
    </xf>
    <xf numFmtId="41" fontId="21" fillId="0" borderId="3" xfId="1" applyFont="1" applyBorder="1" applyAlignment="1">
      <alignment horizontal="center" vertical="center"/>
    </xf>
    <xf numFmtId="41" fontId="21" fillId="0" borderId="2" xfId="1" applyFont="1" applyBorder="1" applyAlignment="1">
      <alignment horizontal="center" vertical="center"/>
    </xf>
    <xf numFmtId="41" fontId="26" fillId="0" borderId="123" xfId="1" applyFont="1" applyBorder="1">
      <alignment vertical="center"/>
    </xf>
    <xf numFmtId="0" fontId="21" fillId="3" borderId="125" xfId="0" applyFont="1" applyFill="1" applyBorder="1" applyAlignment="1">
      <alignment horizontal="center" vertical="center"/>
    </xf>
    <xf numFmtId="0" fontId="21" fillId="18" borderId="128" xfId="0" applyFont="1" applyFill="1" applyBorder="1" applyAlignment="1">
      <alignment horizontal="center" vertical="center"/>
    </xf>
    <xf numFmtId="0" fontId="21" fillId="18" borderId="56" xfId="0" applyFont="1" applyFill="1" applyBorder="1" applyAlignment="1">
      <alignment horizontal="center" vertical="center"/>
    </xf>
    <xf numFmtId="0" fontId="21" fillId="18" borderId="129" xfId="0" applyFont="1" applyFill="1" applyBorder="1" applyAlignment="1">
      <alignment horizontal="center" vertical="center"/>
    </xf>
    <xf numFmtId="0" fontId="26" fillId="18" borderId="127" xfId="0" applyFont="1" applyFill="1" applyBorder="1" applyAlignment="1">
      <alignment horizontal="center" vertical="center"/>
    </xf>
    <xf numFmtId="176" fontId="21" fillId="0" borderId="124" xfId="0" applyNumberFormat="1" applyFont="1" applyBorder="1" applyAlignment="1">
      <alignment horizontal="center" vertical="center"/>
    </xf>
    <xf numFmtId="176" fontId="21" fillId="0" borderId="98" xfId="0" applyNumberFormat="1" applyFont="1" applyBorder="1" applyAlignment="1">
      <alignment horizontal="center" vertical="center"/>
    </xf>
    <xf numFmtId="177" fontId="21" fillId="0" borderId="98" xfId="0" applyNumberFormat="1" applyFont="1" applyBorder="1" applyAlignment="1">
      <alignment horizontal="center" vertical="center"/>
    </xf>
    <xf numFmtId="176" fontId="21" fillId="0" borderId="99" xfId="0" applyNumberFormat="1" applyFont="1" applyBorder="1" applyAlignment="1">
      <alignment horizontal="center" vertical="center"/>
    </xf>
    <xf numFmtId="0" fontId="26" fillId="18" borderId="126" xfId="0" applyFont="1" applyFill="1" applyBorder="1" applyAlignment="1">
      <alignment horizontal="center" vertical="center"/>
    </xf>
    <xf numFmtId="41" fontId="26" fillId="0" borderId="122" xfId="1" applyFont="1" applyBorder="1" applyAlignment="1">
      <alignment horizontal="center" vertical="center"/>
    </xf>
    <xf numFmtId="41" fontId="26" fillId="0" borderId="119" xfId="1" applyFont="1" applyBorder="1" applyAlignment="1">
      <alignment horizontal="center" vertical="center"/>
    </xf>
    <xf numFmtId="41" fontId="26" fillId="0" borderId="119" xfId="1" applyFont="1" applyBorder="1">
      <alignment vertical="center"/>
    </xf>
    <xf numFmtId="0" fontId="26" fillId="3" borderId="127" xfId="0" applyFont="1" applyFill="1" applyBorder="1" applyAlignment="1">
      <alignment horizontal="center" vertical="center"/>
    </xf>
    <xf numFmtId="41" fontId="26" fillId="0" borderId="123" xfId="1" applyFont="1" applyBorder="1" applyAlignment="1">
      <alignment horizontal="center" vertical="center"/>
    </xf>
    <xf numFmtId="41" fontId="26" fillId="0" borderId="95" xfId="1" applyFont="1" applyBorder="1" applyAlignment="1">
      <alignment horizontal="center" vertical="center"/>
    </xf>
    <xf numFmtId="41" fontId="28" fillId="0" borderId="95" xfId="1" applyFont="1" applyBorder="1">
      <alignment vertical="center"/>
    </xf>
    <xf numFmtId="41" fontId="28" fillId="0" borderId="95" xfId="1" applyFont="1" applyBorder="1" applyAlignment="1">
      <alignment horizontal="center" vertical="center"/>
    </xf>
    <xf numFmtId="0" fontId="26" fillId="18" borderId="56" xfId="0" applyFont="1" applyFill="1" applyBorder="1" applyAlignment="1">
      <alignment horizontal="center" vertical="center"/>
    </xf>
    <xf numFmtId="41" fontId="26" fillId="0" borderId="124" xfId="1" applyFont="1" applyBorder="1" applyAlignment="1">
      <alignment horizontal="center" vertical="center"/>
    </xf>
    <xf numFmtId="41" fontId="26" fillId="0" borderId="98" xfId="1" applyFont="1" applyBorder="1">
      <alignment vertical="center"/>
    </xf>
    <xf numFmtId="0" fontId="75" fillId="11" borderId="21" xfId="0" applyFont="1" applyFill="1" applyBorder="1" applyAlignment="1">
      <alignment horizontal="center" vertical="center"/>
    </xf>
    <xf numFmtId="0" fontId="75" fillId="11" borderId="5" xfId="0" applyFont="1" applyFill="1" applyBorder="1" applyAlignment="1">
      <alignment horizontal="center" vertical="center"/>
    </xf>
    <xf numFmtId="176" fontId="75" fillId="11" borderId="5" xfId="0" applyNumberFormat="1" applyFont="1" applyFill="1" applyBorder="1" applyAlignment="1">
      <alignment horizontal="center" vertical="center"/>
    </xf>
    <xf numFmtId="180" fontId="75" fillId="11" borderId="5" xfId="0" applyNumberFormat="1" applyFont="1" applyFill="1" applyBorder="1" applyAlignment="1">
      <alignment horizontal="center" vertical="center"/>
    </xf>
    <xf numFmtId="183" fontId="75" fillId="11" borderId="5" xfId="1" applyNumberFormat="1" applyFont="1" applyFill="1" applyBorder="1" applyAlignment="1">
      <alignment horizontal="center" vertical="center"/>
    </xf>
    <xf numFmtId="177" fontId="75" fillId="11" borderId="5" xfId="0" applyNumberFormat="1" applyFont="1" applyFill="1" applyBorder="1" applyAlignment="1">
      <alignment horizontal="center" vertical="center"/>
    </xf>
    <xf numFmtId="186" fontId="75" fillId="11" borderId="5" xfId="0" applyNumberFormat="1" applyFont="1" applyFill="1" applyBorder="1" applyAlignment="1">
      <alignment horizontal="center" vertical="center"/>
    </xf>
    <xf numFmtId="187" fontId="75" fillId="11" borderId="5" xfId="0" applyNumberFormat="1" applyFont="1" applyFill="1" applyBorder="1" applyAlignment="1">
      <alignment horizontal="center" vertical="center"/>
    </xf>
    <xf numFmtId="0" fontId="75" fillId="11" borderId="5" xfId="0" applyFont="1" applyFill="1" applyBorder="1" applyAlignment="1">
      <alignment horizontal="center" vertical="center" shrinkToFit="1"/>
    </xf>
    <xf numFmtId="49" fontId="75" fillId="11" borderId="5" xfId="0" applyNumberFormat="1" applyFont="1" applyFill="1" applyBorder="1" applyAlignment="1">
      <alignment horizontal="center" vertical="center" shrinkToFit="1"/>
    </xf>
    <xf numFmtId="191" fontId="75" fillId="11" borderId="5" xfId="0" applyNumberFormat="1" applyFont="1" applyFill="1" applyBorder="1" applyAlignment="1">
      <alignment horizontal="center" vertical="center"/>
    </xf>
    <xf numFmtId="179" fontId="75" fillId="11" borderId="5" xfId="0" applyNumberFormat="1" applyFont="1" applyFill="1" applyBorder="1" applyAlignment="1">
      <alignment horizontal="center" vertical="center"/>
    </xf>
    <xf numFmtId="181" fontId="75" fillId="11" borderId="5" xfId="0" applyNumberFormat="1" applyFont="1" applyFill="1" applyBorder="1" applyAlignment="1">
      <alignment horizontal="center" vertical="center"/>
    </xf>
    <xf numFmtId="2" fontId="75" fillId="11" borderId="5" xfId="0" applyNumberFormat="1" applyFont="1" applyFill="1" applyBorder="1" applyAlignment="1">
      <alignment horizontal="center" vertical="center"/>
    </xf>
    <xf numFmtId="178" fontId="75" fillId="11" borderId="5" xfId="0" applyNumberFormat="1" applyFont="1" applyFill="1" applyBorder="1" applyAlignment="1">
      <alignment horizontal="center" vertical="center"/>
    </xf>
    <xf numFmtId="188" fontId="75" fillId="11" borderId="5" xfId="0" applyNumberFormat="1" applyFont="1" applyFill="1" applyBorder="1" applyAlignment="1">
      <alignment horizontal="center" vertical="center"/>
    </xf>
    <xf numFmtId="14" fontId="75" fillId="3" borderId="0" xfId="0" applyNumberFormat="1" applyFont="1" applyFill="1" applyAlignment="1">
      <alignment horizontal="center" vertical="center"/>
    </xf>
    <xf numFmtId="0" fontId="75" fillId="3" borderId="0" xfId="0" applyFont="1" applyFill="1" applyAlignment="1">
      <alignment horizontal="center" vertical="center"/>
    </xf>
    <xf numFmtId="0" fontId="75" fillId="11" borderId="22" xfId="0" applyFont="1" applyFill="1" applyBorder="1" applyAlignment="1">
      <alignment vertical="center" shrinkToFit="1"/>
    </xf>
    <xf numFmtId="0" fontId="75" fillId="3" borderId="0" xfId="0" applyFont="1" applyFill="1">
      <alignment vertical="center"/>
    </xf>
    <xf numFmtId="177" fontId="75" fillId="3" borderId="0" xfId="0" applyNumberFormat="1" applyFont="1" applyFill="1">
      <alignment vertical="center"/>
    </xf>
    <xf numFmtId="184" fontId="75" fillId="3" borderId="0" xfId="0" applyNumberFormat="1" applyFont="1" applyFill="1">
      <alignment vertical="center"/>
    </xf>
    <xf numFmtId="177" fontId="75" fillId="3" borderId="0" xfId="0" applyNumberFormat="1" applyFont="1" applyFill="1" applyAlignment="1">
      <alignment horizontal="center" vertical="center"/>
    </xf>
    <xf numFmtId="184" fontId="75" fillId="3" borderId="0" xfId="0" applyNumberFormat="1" applyFont="1" applyFill="1" applyAlignment="1">
      <alignment horizontal="center" vertical="center"/>
    </xf>
    <xf numFmtId="0" fontId="21" fillId="11" borderId="22" xfId="0" applyFont="1" applyFill="1" applyBorder="1" applyAlignment="1">
      <alignment vertical="center" wrapText="1" shrinkToFit="1"/>
    </xf>
    <xf numFmtId="177" fontId="75" fillId="6" borderId="5" xfId="0" applyNumberFormat="1" applyFont="1" applyFill="1" applyBorder="1" applyAlignment="1">
      <alignment horizontal="center" vertical="center"/>
    </xf>
    <xf numFmtId="41" fontId="28" fillId="0" borderId="130" xfId="1" applyFont="1" applyBorder="1" applyAlignment="1">
      <alignment vertical="center"/>
    </xf>
    <xf numFmtId="41" fontId="28" fillId="0" borderId="131" xfId="1" applyFont="1" applyBorder="1" applyAlignment="1">
      <alignment vertical="center"/>
    </xf>
    <xf numFmtId="177" fontId="75" fillId="6" borderId="5" xfId="0" applyNumberFormat="1" applyFont="1" applyFill="1" applyBorder="1" applyAlignment="1">
      <alignment horizontal="center" vertical="center" shrinkToFit="1"/>
    </xf>
    <xf numFmtId="177" fontId="75" fillId="11" borderId="5" xfId="0" applyNumberFormat="1" applyFont="1" applyFill="1" applyBorder="1" applyAlignment="1">
      <alignment horizontal="center" vertical="center" shrinkToFit="1"/>
    </xf>
    <xf numFmtId="191" fontId="75" fillId="11" borderId="5" xfId="0" applyNumberFormat="1" applyFont="1" applyFill="1" applyBorder="1" applyAlignment="1">
      <alignment horizontal="center" vertical="center" shrinkToFit="1"/>
    </xf>
    <xf numFmtId="179" fontId="75" fillId="11" borderId="5" xfId="0" applyNumberFormat="1" applyFont="1" applyFill="1" applyBorder="1" applyAlignment="1">
      <alignment horizontal="center" vertical="center" shrinkToFit="1"/>
    </xf>
    <xf numFmtId="191" fontId="21" fillId="15" borderId="5" xfId="0" applyNumberFormat="1" applyFont="1" applyFill="1" applyBorder="1" applyAlignment="1">
      <alignment horizontal="center" vertical="center" shrinkToFit="1"/>
    </xf>
    <xf numFmtId="179" fontId="21" fillId="15" borderId="5" xfId="0" applyNumberFormat="1" applyFont="1" applyFill="1" applyBorder="1" applyAlignment="1">
      <alignment horizontal="center" vertical="center" shrinkToFit="1"/>
    </xf>
    <xf numFmtId="41" fontId="26" fillId="20" borderId="122" xfId="1" applyFont="1" applyFill="1" applyBorder="1" applyAlignment="1">
      <alignment horizontal="center" vertical="center"/>
    </xf>
    <xf numFmtId="41" fontId="26" fillId="20" borderId="119" xfId="1" applyFont="1" applyFill="1" applyBorder="1" applyAlignment="1">
      <alignment horizontal="center" vertical="center"/>
    </xf>
    <xf numFmtId="41" fontId="26" fillId="20" borderId="119" xfId="1" applyFont="1" applyFill="1" applyBorder="1">
      <alignment vertical="center"/>
    </xf>
    <xf numFmtId="41" fontId="26" fillId="20" borderId="120" xfId="1" applyFont="1" applyFill="1" applyBorder="1" applyAlignment="1">
      <alignment horizontal="center" vertical="center" shrinkToFit="1"/>
    </xf>
    <xf numFmtId="41" fontId="26" fillId="20" borderId="124" xfId="1" applyFont="1" applyFill="1" applyBorder="1" applyAlignment="1">
      <alignment horizontal="center" vertical="center"/>
    </xf>
    <xf numFmtId="41" fontId="26" fillId="20" borderId="98" xfId="1" applyFont="1" applyFill="1" applyBorder="1" applyAlignment="1">
      <alignment horizontal="center" vertical="center"/>
    </xf>
    <xf numFmtId="41" fontId="26" fillId="20" borderId="98" xfId="1" applyFont="1" applyFill="1" applyBorder="1">
      <alignment vertical="center"/>
    </xf>
    <xf numFmtId="41" fontId="26" fillId="20" borderId="99" xfId="1" applyFont="1" applyFill="1" applyBorder="1" applyAlignment="1">
      <alignment horizontal="center" vertical="center" shrinkToFit="1"/>
    </xf>
    <xf numFmtId="191" fontId="21" fillId="15" borderId="5" xfId="0" applyNumberFormat="1" applyFont="1" applyFill="1" applyBorder="1" applyAlignment="1">
      <alignment horizontal="center" vertical="center"/>
    </xf>
    <xf numFmtId="193" fontId="21" fillId="0" borderId="0" xfId="0" applyNumberFormat="1" applyFont="1">
      <alignment vertical="center"/>
    </xf>
    <xf numFmtId="191" fontId="21" fillId="0" borderId="0" xfId="0" applyNumberFormat="1" applyFont="1">
      <alignment vertical="center"/>
    </xf>
    <xf numFmtId="41" fontId="20" fillId="16" borderId="98" xfId="7" applyNumberFormat="1" applyFill="1" applyBorder="1" applyAlignment="1">
      <alignment horizontal="center" vertical="center"/>
    </xf>
    <xf numFmtId="41" fontId="20" fillId="16" borderId="98" xfId="7" applyNumberFormat="1" applyFill="1" applyBorder="1">
      <alignment vertical="center"/>
    </xf>
    <xf numFmtId="177" fontId="21" fillId="15" borderId="5" xfId="0" applyNumberFormat="1" applyFont="1" applyFill="1" applyBorder="1" applyAlignment="1">
      <alignment horizontal="center" vertical="center"/>
    </xf>
    <xf numFmtId="189" fontId="18" fillId="5" borderId="39" xfId="0" applyNumberFormat="1" applyFont="1" applyFill="1" applyBorder="1" applyAlignment="1">
      <alignment horizontal="center" vertical="center" shrinkToFit="1"/>
    </xf>
    <xf numFmtId="189" fontId="18" fillId="5" borderId="43" xfId="0" applyNumberFormat="1" applyFont="1" applyFill="1" applyBorder="1" applyAlignment="1">
      <alignment horizontal="center" vertical="center" shrinkToFit="1"/>
    </xf>
    <xf numFmtId="0" fontId="18" fillId="5" borderId="38" xfId="0" applyFont="1" applyFill="1" applyBorder="1" applyAlignment="1">
      <alignment horizontal="center" vertical="center" shrinkToFit="1"/>
    </xf>
    <xf numFmtId="189" fontId="18" fillId="5" borderId="38" xfId="0" applyNumberFormat="1" applyFont="1" applyFill="1" applyBorder="1" applyAlignment="1">
      <alignment horizontal="center" vertical="center"/>
    </xf>
    <xf numFmtId="189" fontId="18" fillId="5" borderId="38" xfId="0" applyNumberFormat="1" applyFont="1" applyFill="1" applyBorder="1" applyAlignment="1">
      <alignment horizontal="center" vertical="center" shrinkToFit="1"/>
    </xf>
    <xf numFmtId="0" fontId="18" fillId="5" borderId="38" xfId="0" applyFont="1" applyFill="1" applyBorder="1" applyAlignment="1">
      <alignment horizontal="center" vertical="center" wrapText="1" shrinkToFit="1"/>
    </xf>
    <xf numFmtId="0" fontId="18" fillId="3" borderId="39" xfId="0" applyFont="1" applyFill="1" applyBorder="1" applyAlignment="1">
      <alignment horizontal="center" vertical="center" wrapText="1" shrinkToFit="1"/>
    </xf>
    <xf numFmtId="0" fontId="18" fillId="3" borderId="64" xfId="0" applyFont="1" applyFill="1" applyBorder="1" applyAlignment="1">
      <alignment horizontal="center" vertical="center" wrapText="1" shrinkToFit="1"/>
    </xf>
    <xf numFmtId="0" fontId="18" fillId="3" borderId="43" xfId="0" applyFont="1" applyFill="1" applyBorder="1" applyAlignment="1">
      <alignment horizontal="center" vertical="center" wrapText="1" shrinkToFit="1"/>
    </xf>
    <xf numFmtId="0" fontId="18" fillId="6" borderId="38" xfId="0" applyFont="1" applyFill="1" applyBorder="1" applyAlignment="1">
      <alignment horizontal="center" vertical="center" shrinkToFit="1"/>
    </xf>
    <xf numFmtId="189" fontId="18" fillId="5" borderId="39" xfId="0" quotePrefix="1" applyNumberFormat="1" applyFont="1" applyFill="1" applyBorder="1" applyAlignment="1">
      <alignment horizontal="center" vertical="center" wrapText="1" shrinkToFit="1"/>
    </xf>
    <xf numFmtId="189" fontId="18" fillId="5" borderId="43" xfId="0" quotePrefix="1" applyNumberFormat="1" applyFont="1" applyFill="1" applyBorder="1" applyAlignment="1">
      <alignment horizontal="center" vertical="center" wrapText="1" shrinkToFit="1"/>
    </xf>
    <xf numFmtId="189" fontId="18" fillId="5" borderId="39" xfId="0" quotePrefix="1" applyNumberFormat="1" applyFont="1" applyFill="1" applyBorder="1" applyAlignment="1">
      <alignment horizontal="center" vertical="center" shrinkToFit="1"/>
    </xf>
    <xf numFmtId="189" fontId="18" fillId="5" borderId="43" xfId="0" quotePrefix="1" applyNumberFormat="1" applyFont="1" applyFill="1" applyBorder="1" applyAlignment="1">
      <alignment horizontal="center" vertical="center" shrinkToFit="1"/>
    </xf>
    <xf numFmtId="189" fontId="18" fillId="7" borderId="39" xfId="0" applyNumberFormat="1" applyFont="1" applyFill="1" applyBorder="1" applyAlignment="1">
      <alignment horizontal="center" vertical="center" shrinkToFit="1"/>
    </xf>
    <xf numFmtId="189" fontId="18" fillId="7" borderId="43" xfId="0" applyNumberFormat="1" applyFont="1" applyFill="1" applyBorder="1" applyAlignment="1">
      <alignment horizontal="center" vertical="center" shrinkToFit="1"/>
    </xf>
    <xf numFmtId="0" fontId="21" fillId="15" borderId="26" xfId="0" applyFont="1" applyFill="1" applyBorder="1" applyAlignment="1">
      <alignment horizontal="center" vertical="center" shrinkToFit="1"/>
    </xf>
    <xf numFmtId="0" fontId="21" fillId="15" borderId="5" xfId="0" applyFont="1" applyFill="1" applyBorder="1" applyAlignment="1">
      <alignment horizontal="center" vertical="center" shrinkToFit="1"/>
    </xf>
    <xf numFmtId="0" fontId="21" fillId="15" borderId="33" xfId="0" applyFont="1" applyFill="1" applyBorder="1" applyAlignment="1">
      <alignment horizontal="left" vertical="center" wrapText="1" shrinkToFit="1"/>
    </xf>
    <xf numFmtId="0" fontId="21" fillId="15" borderId="35" xfId="0" applyFont="1" applyFill="1" applyBorder="1" applyAlignment="1">
      <alignment horizontal="left" vertical="center" wrapText="1" shrinkToFit="1"/>
    </xf>
    <xf numFmtId="177" fontId="21" fillId="15" borderId="26" xfId="0" applyNumberFormat="1" applyFont="1" applyFill="1" applyBorder="1" applyAlignment="1">
      <alignment horizontal="center" vertical="center"/>
    </xf>
    <xf numFmtId="191" fontId="21" fillId="15" borderId="26" xfId="0" applyNumberFormat="1" applyFont="1" applyFill="1" applyBorder="1" applyAlignment="1">
      <alignment horizontal="center" vertical="center"/>
    </xf>
    <xf numFmtId="191" fontId="21" fillId="15" borderId="5" xfId="0" applyNumberFormat="1" applyFont="1" applyFill="1" applyBorder="1" applyAlignment="1">
      <alignment horizontal="center" vertical="center"/>
    </xf>
    <xf numFmtId="179" fontId="21" fillId="15" borderId="26" xfId="0" applyNumberFormat="1" applyFont="1" applyFill="1" applyBorder="1" applyAlignment="1">
      <alignment horizontal="center" vertical="center"/>
    </xf>
    <xf numFmtId="179" fontId="21" fillId="15" borderId="5" xfId="0" applyNumberFormat="1" applyFont="1" applyFill="1" applyBorder="1" applyAlignment="1">
      <alignment horizontal="center" vertical="center"/>
    </xf>
    <xf numFmtId="183" fontId="21" fillId="15" borderId="5" xfId="1" applyNumberFormat="1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 shrinkToFit="1"/>
    </xf>
    <xf numFmtId="0" fontId="22" fillId="2" borderId="17" xfId="0" applyFont="1" applyFill="1" applyBorder="1" applyAlignment="1">
      <alignment horizontal="center" vertical="center" shrinkToFit="1"/>
    </xf>
    <xf numFmtId="0" fontId="22" fillId="2" borderId="18" xfId="0" applyFont="1" applyFill="1" applyBorder="1" applyAlignment="1">
      <alignment horizontal="center" vertical="center" shrinkToFit="1"/>
    </xf>
    <xf numFmtId="0" fontId="21" fillId="15" borderId="32" xfId="0" applyFont="1" applyFill="1" applyBorder="1" applyAlignment="1">
      <alignment horizontal="center" vertical="center"/>
    </xf>
    <xf numFmtId="0" fontId="21" fillId="15" borderId="34" xfId="0" applyFont="1" applyFill="1" applyBorder="1" applyAlignment="1">
      <alignment horizontal="center" vertical="center"/>
    </xf>
    <xf numFmtId="0" fontId="21" fillId="15" borderId="26" xfId="0" applyFont="1" applyFill="1" applyBorder="1" applyAlignment="1">
      <alignment horizontal="center" vertical="center"/>
    </xf>
    <xf numFmtId="0" fontId="21" fillId="15" borderId="5" xfId="0" applyFont="1" applyFill="1" applyBorder="1" applyAlignment="1">
      <alignment horizontal="center" vertical="center"/>
    </xf>
    <xf numFmtId="176" fontId="21" fillId="15" borderId="26" xfId="0" applyNumberFormat="1" applyFont="1" applyFill="1" applyBorder="1" applyAlignment="1">
      <alignment horizontal="center" vertical="center"/>
    </xf>
    <xf numFmtId="176" fontId="21" fillId="15" borderId="5" xfId="0" applyNumberFormat="1" applyFont="1" applyFill="1" applyBorder="1" applyAlignment="1">
      <alignment horizontal="center" vertical="center"/>
    </xf>
    <xf numFmtId="180" fontId="21" fillId="15" borderId="26" xfId="0" applyNumberFormat="1" applyFont="1" applyFill="1" applyBorder="1" applyAlignment="1">
      <alignment horizontal="center" vertical="center"/>
    </xf>
    <xf numFmtId="180" fontId="21" fillId="15" borderId="5" xfId="0" applyNumberFormat="1" applyFont="1" applyFill="1" applyBorder="1" applyAlignment="1">
      <alignment horizontal="center" vertical="center"/>
    </xf>
    <xf numFmtId="183" fontId="21" fillId="15" borderId="26" xfId="1" applyNumberFormat="1" applyFont="1" applyFill="1" applyBorder="1" applyAlignment="1">
      <alignment horizontal="center" vertical="center"/>
    </xf>
    <xf numFmtId="186" fontId="21" fillId="15" borderId="26" xfId="0" applyNumberFormat="1" applyFont="1" applyFill="1" applyBorder="1" applyAlignment="1">
      <alignment horizontal="center" vertical="center"/>
    </xf>
    <xf numFmtId="186" fontId="21" fillId="15" borderId="5" xfId="0" applyNumberFormat="1" applyFont="1" applyFill="1" applyBorder="1" applyAlignment="1">
      <alignment horizontal="center" vertical="center"/>
    </xf>
    <xf numFmtId="49" fontId="21" fillId="15" borderId="26" xfId="0" applyNumberFormat="1" applyFont="1" applyFill="1" applyBorder="1" applyAlignment="1">
      <alignment horizontal="center" vertical="center" shrinkToFit="1"/>
    </xf>
    <xf numFmtId="49" fontId="21" fillId="15" borderId="5" xfId="0" applyNumberFormat="1" applyFont="1" applyFill="1" applyBorder="1" applyAlignment="1">
      <alignment horizontal="center" vertical="center" shrinkToFit="1"/>
    </xf>
    <xf numFmtId="0" fontId="21" fillId="3" borderId="5" xfId="0" applyFont="1" applyFill="1" applyBorder="1" applyAlignment="1">
      <alignment horizontal="center" vertical="center"/>
    </xf>
    <xf numFmtId="0" fontId="18" fillId="7" borderId="27" xfId="0" applyFont="1" applyFill="1" applyBorder="1" applyAlignment="1">
      <alignment horizontal="center" vertical="center" shrinkToFit="1"/>
    </xf>
    <xf numFmtId="0" fontId="18" fillId="7" borderId="65" xfId="0" applyFont="1" applyFill="1" applyBorder="1" applyAlignment="1">
      <alignment horizontal="center" vertical="center" shrinkToFit="1"/>
    </xf>
    <xf numFmtId="0" fontId="18" fillId="7" borderId="30" xfId="0" applyFont="1" applyFill="1" applyBorder="1" applyAlignment="1">
      <alignment horizontal="center" vertical="center" shrinkToFit="1"/>
    </xf>
    <xf numFmtId="0" fontId="18" fillId="7" borderId="66" xfId="0" applyFont="1" applyFill="1" applyBorder="1" applyAlignment="1">
      <alignment horizontal="center" vertical="center" shrinkToFit="1"/>
    </xf>
    <xf numFmtId="189" fontId="18" fillId="7" borderId="40" xfId="0" applyNumberFormat="1" applyFont="1" applyFill="1" applyBorder="1" applyAlignment="1">
      <alignment horizontal="center" vertical="center" shrinkToFit="1"/>
    </xf>
    <xf numFmtId="189" fontId="18" fillId="7" borderId="57" xfId="0" applyNumberFormat="1" applyFont="1" applyFill="1" applyBorder="1" applyAlignment="1">
      <alignment horizontal="center" vertical="center" shrinkToFit="1"/>
    </xf>
    <xf numFmtId="189" fontId="18" fillId="7" borderId="42" xfId="0" applyNumberFormat="1" applyFont="1" applyFill="1" applyBorder="1" applyAlignment="1">
      <alignment horizontal="center" vertical="center" shrinkToFit="1"/>
    </xf>
    <xf numFmtId="181" fontId="17" fillId="3" borderId="5" xfId="0" applyNumberFormat="1" applyFont="1" applyFill="1" applyBorder="1" applyAlignment="1">
      <alignment horizontal="center" vertical="center"/>
    </xf>
    <xf numFmtId="176" fontId="17" fillId="15" borderId="5" xfId="0" applyNumberFormat="1" applyFont="1" applyFill="1" applyBorder="1" applyAlignment="1">
      <alignment horizontal="center" vertical="center"/>
    </xf>
    <xf numFmtId="181" fontId="36" fillId="3" borderId="5" xfId="0" applyNumberFormat="1" applyFont="1" applyFill="1" applyBorder="1" applyAlignment="1">
      <alignment horizontal="center" vertical="center"/>
    </xf>
    <xf numFmtId="176" fontId="17" fillId="3" borderId="5" xfId="0" applyNumberFormat="1" applyFont="1" applyFill="1" applyBorder="1" applyAlignment="1">
      <alignment horizontal="center" vertical="center"/>
    </xf>
    <xf numFmtId="181" fontId="17" fillId="15" borderId="5" xfId="0" applyNumberFormat="1" applyFont="1" applyFill="1" applyBorder="1" applyAlignment="1">
      <alignment horizontal="center" vertical="center"/>
    </xf>
    <xf numFmtId="181" fontId="36" fillId="15" borderId="5" xfId="0" applyNumberFormat="1" applyFont="1" applyFill="1" applyBorder="1" applyAlignment="1">
      <alignment horizontal="center" vertical="center"/>
    </xf>
    <xf numFmtId="177" fontId="17" fillId="3" borderId="5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 shrinkToFit="1"/>
    </xf>
    <xf numFmtId="0" fontId="9" fillId="4" borderId="7" xfId="0" applyFont="1" applyFill="1" applyBorder="1" applyAlignment="1">
      <alignment horizontal="center" vertical="center" shrinkToFit="1"/>
    </xf>
    <xf numFmtId="0" fontId="9" fillId="4" borderId="8" xfId="0" applyFont="1" applyFill="1" applyBorder="1" applyAlignment="1">
      <alignment horizontal="center" vertical="center" shrinkToFit="1"/>
    </xf>
    <xf numFmtId="0" fontId="17" fillId="3" borderId="115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15" borderId="115" xfId="0" applyFont="1" applyFill="1" applyBorder="1" applyAlignment="1">
      <alignment horizontal="center" vertical="center"/>
    </xf>
    <xf numFmtId="0" fontId="17" fillId="15" borderId="5" xfId="0" applyFont="1" applyFill="1" applyBorder="1" applyAlignment="1">
      <alignment horizontal="center" vertical="center"/>
    </xf>
    <xf numFmtId="0" fontId="21" fillId="0" borderId="45" xfId="0" applyFont="1" applyBorder="1" applyAlignment="1">
      <alignment horizontal="right" vertical="center" shrinkToFit="1"/>
    </xf>
    <xf numFmtId="0" fontId="26" fillId="0" borderId="61" xfId="0" applyFont="1" applyBorder="1" applyAlignment="1">
      <alignment horizontal="center" vertical="center"/>
    </xf>
    <xf numFmtId="0" fontId="26" fillId="0" borderId="62" xfId="0" applyFont="1" applyBorder="1" applyAlignment="1">
      <alignment horizontal="center" vertical="center"/>
    </xf>
    <xf numFmtId="0" fontId="26" fillId="0" borderId="63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6" fillId="0" borderId="76" xfId="0" applyFont="1" applyBorder="1" applyAlignment="1">
      <alignment horizontal="center" vertical="center"/>
    </xf>
    <xf numFmtId="0" fontId="26" fillId="0" borderId="77" xfId="0" applyFont="1" applyBorder="1" applyAlignment="1">
      <alignment horizontal="center" vertical="center"/>
    </xf>
    <xf numFmtId="189" fontId="18" fillId="9" borderId="38" xfId="0" applyNumberFormat="1" applyFont="1" applyFill="1" applyBorder="1" applyAlignment="1">
      <alignment horizontal="center" vertical="center" shrinkToFit="1"/>
    </xf>
    <xf numFmtId="189" fontId="18" fillId="9" borderId="38" xfId="0" quotePrefix="1" applyNumberFormat="1" applyFont="1" applyFill="1" applyBorder="1" applyAlignment="1">
      <alignment horizontal="center" vertical="center" wrapText="1" shrinkToFit="1"/>
    </xf>
    <xf numFmtId="189" fontId="18" fillId="9" borderId="38" xfId="0" quotePrefix="1" applyNumberFormat="1" applyFont="1" applyFill="1" applyBorder="1" applyAlignment="1">
      <alignment horizontal="center" vertical="center" shrinkToFit="1"/>
    </xf>
    <xf numFmtId="0" fontId="18" fillId="3" borderId="38" xfId="0" applyFont="1" applyFill="1" applyBorder="1" applyAlignment="1">
      <alignment horizontal="center" vertical="center" wrapText="1" shrinkToFit="1"/>
    </xf>
    <xf numFmtId="0" fontId="18" fillId="3" borderId="38" xfId="0" applyFont="1" applyFill="1" applyBorder="1" applyAlignment="1">
      <alignment horizontal="center" vertical="center" shrinkToFit="1"/>
    </xf>
    <xf numFmtId="0" fontId="18" fillId="9" borderId="38" xfId="0" applyFont="1" applyFill="1" applyBorder="1" applyAlignment="1">
      <alignment horizontal="center" vertical="center" shrinkToFit="1"/>
    </xf>
    <xf numFmtId="0" fontId="18" fillId="9" borderId="38" xfId="0" applyFont="1" applyFill="1" applyBorder="1" applyAlignment="1">
      <alignment horizontal="center" vertical="center" wrapText="1" shrinkToFit="1"/>
    </xf>
    <xf numFmtId="189" fontId="18" fillId="9" borderId="39" xfId="0" applyNumberFormat="1" applyFont="1" applyFill="1" applyBorder="1" applyAlignment="1">
      <alignment horizontal="center" vertical="center" shrinkToFit="1"/>
    </xf>
    <xf numFmtId="189" fontId="18" fillId="9" borderId="43" xfId="0" applyNumberFormat="1" applyFont="1" applyFill="1" applyBorder="1" applyAlignment="1">
      <alignment horizontal="center" vertical="center" shrinkToFit="1"/>
    </xf>
    <xf numFmtId="189" fontId="18" fillId="9" borderId="38" xfId="0" applyNumberFormat="1" applyFont="1" applyFill="1" applyBorder="1" applyAlignment="1">
      <alignment horizontal="center" vertical="center"/>
    </xf>
    <xf numFmtId="0" fontId="34" fillId="10" borderId="69" xfId="0" applyFont="1" applyFill="1" applyBorder="1" applyAlignment="1">
      <alignment horizontal="center" vertical="center" shrinkToFit="1"/>
    </xf>
    <xf numFmtId="0" fontId="34" fillId="10" borderId="70" xfId="0" applyFont="1" applyFill="1" applyBorder="1" applyAlignment="1">
      <alignment horizontal="center" vertical="center" shrinkToFit="1"/>
    </xf>
    <xf numFmtId="0" fontId="34" fillId="10" borderId="83" xfId="0" applyFont="1" applyFill="1" applyBorder="1" applyAlignment="1">
      <alignment horizontal="center" vertical="center" shrinkToFit="1"/>
    </xf>
    <xf numFmtId="0" fontId="34" fillId="10" borderId="71" xfId="0" applyFont="1" applyFill="1" applyBorder="1" applyAlignment="1">
      <alignment horizontal="center" vertical="center" shrinkToFit="1"/>
    </xf>
    <xf numFmtId="0" fontId="0" fillId="15" borderId="90" xfId="0" applyFill="1" applyBorder="1" applyAlignment="1">
      <alignment horizontal="center" vertical="center"/>
    </xf>
    <xf numFmtId="0" fontId="0" fillId="15" borderId="91" xfId="0" applyFill="1" applyBorder="1" applyAlignment="1">
      <alignment horizontal="center" vertical="center"/>
    </xf>
    <xf numFmtId="0" fontId="42" fillId="15" borderId="90" xfId="0" applyFont="1" applyFill="1" applyBorder="1" applyAlignment="1">
      <alignment horizontal="center" vertical="center"/>
    </xf>
    <xf numFmtId="0" fontId="42" fillId="15" borderId="91" xfId="0" applyFont="1" applyFill="1" applyBorder="1" applyAlignment="1">
      <alignment horizontal="center" vertical="center"/>
    </xf>
    <xf numFmtId="182" fontId="42" fillId="15" borderId="90" xfId="0" quotePrefix="1" applyNumberFormat="1" applyFont="1" applyFill="1" applyBorder="1" applyAlignment="1">
      <alignment horizontal="center" vertical="center"/>
    </xf>
    <xf numFmtId="182" fontId="42" fillId="15" borderId="91" xfId="0" quotePrefix="1" applyNumberFormat="1" applyFont="1" applyFill="1" applyBorder="1" applyAlignment="1">
      <alignment horizontal="center" vertical="center"/>
    </xf>
    <xf numFmtId="0" fontId="58" fillId="5" borderId="100" xfId="7" applyFont="1" applyFill="1" applyBorder="1" applyAlignment="1">
      <alignment horizontal="center" vertical="center"/>
    </xf>
    <xf numFmtId="0" fontId="58" fillId="5" borderId="108" xfId="7" applyFont="1" applyFill="1" applyBorder="1" applyAlignment="1">
      <alignment horizontal="center" vertical="center"/>
    </xf>
    <xf numFmtId="0" fontId="58" fillId="5" borderId="101" xfId="7" applyFont="1" applyFill="1" applyBorder="1" applyAlignment="1">
      <alignment horizontal="center" vertical="center"/>
    </xf>
    <xf numFmtId="0" fontId="58" fillId="5" borderId="105" xfId="7" applyFont="1" applyFill="1" applyBorder="1" applyAlignment="1">
      <alignment horizontal="center" vertical="center"/>
    </xf>
    <xf numFmtId="0" fontId="58" fillId="5" borderId="107" xfId="7" applyFont="1" applyFill="1" applyBorder="1" applyAlignment="1">
      <alignment horizontal="center" vertical="center"/>
    </xf>
    <xf numFmtId="0" fontId="58" fillId="5" borderId="106" xfId="7" applyFont="1" applyFill="1" applyBorder="1" applyAlignment="1">
      <alignment horizontal="center" vertical="center"/>
    </xf>
    <xf numFmtId="0" fontId="58" fillId="5" borderId="104" xfId="7" applyFont="1" applyFill="1" applyBorder="1" applyAlignment="1">
      <alignment horizontal="center" vertical="center"/>
    </xf>
    <xf numFmtId="0" fontId="58" fillId="5" borderId="88" xfId="7" applyFont="1" applyFill="1" applyBorder="1" applyAlignment="1">
      <alignment horizontal="center" vertical="center"/>
    </xf>
    <xf numFmtId="0" fontId="58" fillId="5" borderId="89" xfId="7" applyFont="1" applyFill="1" applyBorder="1" applyAlignment="1">
      <alignment horizontal="center" vertical="center"/>
    </xf>
    <xf numFmtId="0" fontId="58" fillId="5" borderId="90" xfId="7" applyFont="1" applyFill="1" applyBorder="1" applyAlignment="1">
      <alignment horizontal="center" vertical="center" wrapText="1"/>
    </xf>
    <xf numFmtId="0" fontId="58" fillId="5" borderId="91" xfId="7" applyFont="1" applyFill="1" applyBorder="1" applyAlignment="1">
      <alignment horizontal="center" vertical="center" wrapText="1"/>
    </xf>
    <xf numFmtId="0" fontId="58" fillId="5" borderId="102" xfId="7" applyFont="1" applyFill="1" applyBorder="1" applyAlignment="1">
      <alignment horizontal="center" vertical="center"/>
    </xf>
    <xf numFmtId="0" fontId="58" fillId="5" borderId="103" xfId="7" applyFont="1" applyFill="1" applyBorder="1" applyAlignment="1">
      <alignment horizontal="center" vertical="center"/>
    </xf>
    <xf numFmtId="0" fontId="55" fillId="11" borderId="90" xfId="7" applyFont="1" applyFill="1" applyBorder="1" applyAlignment="1">
      <alignment horizontal="center" vertical="center" wrapText="1"/>
    </xf>
    <xf numFmtId="0" fontId="55" fillId="11" borderId="91" xfId="7" applyFont="1" applyFill="1" applyBorder="1" applyAlignment="1">
      <alignment horizontal="center" vertical="center" wrapText="1"/>
    </xf>
    <xf numFmtId="0" fontId="60" fillId="11" borderId="50" xfId="7" applyFont="1" applyFill="1" applyBorder="1" applyAlignment="1">
      <alignment horizontal="center" vertical="center"/>
    </xf>
    <xf numFmtId="0" fontId="54" fillId="11" borderId="90" xfId="7" applyFont="1" applyFill="1" applyBorder="1" applyAlignment="1">
      <alignment horizontal="center" vertical="center"/>
    </xf>
    <xf numFmtId="0" fontId="54" fillId="11" borderId="91" xfId="7" applyFont="1" applyFill="1" applyBorder="1" applyAlignment="1">
      <alignment horizontal="center" vertical="center"/>
    </xf>
    <xf numFmtId="0" fontId="59" fillId="11" borderId="50" xfId="7" applyFont="1" applyFill="1" applyBorder="1" applyAlignment="1">
      <alignment horizontal="center" vertical="center"/>
    </xf>
    <xf numFmtId="0" fontId="55" fillId="11" borderId="91" xfId="7" applyFont="1" applyFill="1" applyBorder="1" applyAlignment="1">
      <alignment horizontal="center" vertical="center"/>
    </xf>
    <xf numFmtId="0" fontId="54" fillId="6" borderId="78" xfId="7" applyFont="1" applyFill="1" applyBorder="1" applyAlignment="1">
      <alignment horizontal="center" vertical="center"/>
    </xf>
    <xf numFmtId="0" fontId="54" fillId="11" borderId="78" xfId="7" applyFont="1" applyFill="1" applyBorder="1" applyAlignment="1">
      <alignment horizontal="center" vertical="center"/>
    </xf>
    <xf numFmtId="41" fontId="28" fillId="0" borderId="130" xfId="1" applyFont="1" applyBorder="1" applyAlignment="1">
      <alignment horizontal="center" vertical="center"/>
    </xf>
    <xf numFmtId="41" fontId="28" fillId="0" borderId="131" xfId="1" applyFont="1" applyBorder="1" applyAlignment="1">
      <alignment horizontal="center" vertical="center"/>
    </xf>
    <xf numFmtId="41" fontId="28" fillId="0" borderId="123" xfId="1" applyFont="1" applyBorder="1" applyAlignment="1">
      <alignment horizontal="center" vertical="center"/>
    </xf>
  </cellXfs>
  <cellStyles count="16">
    <cellStyle name="경고문" xfId="6" builtinId="11"/>
    <cellStyle name="백분율" xfId="2" builtinId="5"/>
    <cellStyle name="백분율 2" xfId="11" xr:uid="{00000000-0005-0000-0000-000002000000}"/>
    <cellStyle name="쉼표 [0]" xfId="1" builtinId="6"/>
    <cellStyle name="쉼표 [0] 2 2" xfId="9" xr:uid="{00000000-0005-0000-0000-000004000000}"/>
    <cellStyle name="쉼표 [0] 7" xfId="5" xr:uid="{00000000-0005-0000-0000-000005000000}"/>
    <cellStyle name="표준" xfId="0" builtinId="0"/>
    <cellStyle name="표준 2" xfId="3" xr:uid="{00000000-0005-0000-0000-000007000000}"/>
    <cellStyle name="표준 2 3" xfId="7" xr:uid="{00000000-0005-0000-0000-000008000000}"/>
    <cellStyle name="표준 2 4" xfId="8" xr:uid="{00000000-0005-0000-0000-000009000000}"/>
    <cellStyle name="표준 3" xfId="12" xr:uid="{00000000-0005-0000-0000-00000A000000}"/>
    <cellStyle name="표준 3 3" xfId="10" xr:uid="{00000000-0005-0000-0000-00000B000000}"/>
    <cellStyle name="표준 4" xfId="4" xr:uid="{00000000-0005-0000-0000-00000C000000}"/>
    <cellStyle name="표준 5" xfId="13" xr:uid="{00000000-0005-0000-0000-00000D000000}"/>
    <cellStyle name="표준 6" xfId="14" xr:uid="{00000000-0005-0000-0000-00000E000000}"/>
    <cellStyle name="표준 7" xfId="15" xr:uid="{00000000-0005-0000-0000-00000F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216848</xdr:colOff>
      <xdr:row>24</xdr:row>
      <xdr:rowOff>21520</xdr:rowOff>
    </xdr:from>
    <xdr:to>
      <xdr:col>24</xdr:col>
      <xdr:colOff>640430</xdr:colOff>
      <xdr:row>24</xdr:row>
      <xdr:rowOff>21520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CF2F9F91-EFE4-2BE8-400F-42061DF83D7C}"/>
            </a:ext>
          </a:extLst>
        </xdr:cNvPr>
        <xdr:cNvCxnSpPr/>
      </xdr:nvCxnSpPr>
      <xdr:spPr>
        <a:xfrm>
          <a:off x="8789348" y="5198638"/>
          <a:ext cx="6530788" cy="0"/>
        </a:xfrm>
        <a:prstGeom prst="line">
          <a:avLst/>
        </a:prstGeom>
        <a:noFill/>
        <a:ln w="12700" cap="flat" cmpd="sng" algn="ctr">
          <a:solidFill>
            <a:schemeClr val="tx1"/>
          </a:solidFill>
          <a:prstDash val="solid"/>
        </a:ln>
        <a:effectLst/>
      </xdr:spPr>
    </xdr:cxnSp>
    <xdr:clientData/>
  </xdr:twoCellAnchor>
  <xdr:twoCellAnchor>
    <xdr:from>
      <xdr:col>15</xdr:col>
      <xdr:colOff>0</xdr:colOff>
      <xdr:row>21</xdr:row>
      <xdr:rowOff>97271</xdr:rowOff>
    </xdr:from>
    <xdr:to>
      <xdr:col>17</xdr:col>
      <xdr:colOff>414483</xdr:colOff>
      <xdr:row>25</xdr:row>
      <xdr:rowOff>166873</xdr:rowOff>
    </xdr:to>
    <xdr:grpSp>
      <xdr:nvGrpSpPr>
        <xdr:cNvPr id="45" name="그룹 44">
          <a:extLst>
            <a:ext uri="{FF2B5EF4-FFF2-40B4-BE49-F238E27FC236}">
              <a16:creationId xmlns:a16="http://schemas.microsoft.com/office/drawing/2014/main" id="{1F14445D-7338-0767-5F09-C0992E2D084A}"/>
            </a:ext>
          </a:extLst>
        </xdr:cNvPr>
        <xdr:cNvGrpSpPr/>
      </xdr:nvGrpSpPr>
      <xdr:grpSpPr>
        <a:xfrm>
          <a:off x="8572500" y="4635653"/>
          <a:ext cx="1086836" cy="921249"/>
          <a:chOff x="1701273" y="4771084"/>
          <a:chExt cx="1086836" cy="1009010"/>
        </a:xfrm>
      </xdr:grpSpPr>
      <xdr:sp macro="" textlink="">
        <xdr:nvSpPr>
          <xdr:cNvPr id="46" name="TextBox 75">
            <a:extLst>
              <a:ext uri="{FF2B5EF4-FFF2-40B4-BE49-F238E27FC236}">
                <a16:creationId xmlns:a16="http://schemas.microsoft.com/office/drawing/2014/main" id="{8A3C8A3A-FE80-0F84-8848-2FE4A0AE35AB}"/>
              </a:ext>
            </a:extLst>
          </xdr:cNvPr>
          <xdr:cNvSpPr txBox="1"/>
        </xdr:nvSpPr>
        <xdr:spPr>
          <a:xfrm>
            <a:off x="1701273" y="4771084"/>
            <a:ext cx="1086836" cy="404516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en-US" sz="1200" kern="0">
                <a:solidFill>
                  <a:prstClr val="black"/>
                </a:solidFill>
                <a:latin typeface="+mj-ea"/>
                <a:ea typeface="+mj-ea"/>
              </a:rPr>
              <a:t>업체 및 사업장 </a:t>
            </a:r>
            <a:endParaRPr lang="en-US" altLang="ko-KR" sz="1200" kern="0">
              <a:solidFill>
                <a:prstClr val="black"/>
              </a:solidFill>
              <a:latin typeface="+mj-ea"/>
              <a:ea typeface="+mj-ea"/>
            </a:endParaRPr>
          </a:p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en-US" sz="1200" kern="0">
                <a:solidFill>
                  <a:prstClr val="black"/>
                </a:solidFill>
                <a:latin typeface="+mj-ea"/>
                <a:ea typeface="+mj-ea"/>
              </a:rPr>
              <a:t>적용 개소 선정</a:t>
            </a:r>
            <a:endParaRPr lang="en-US" altLang="ko-KR" sz="1200" kern="0">
              <a:solidFill>
                <a:prstClr val="black"/>
              </a:solidFill>
              <a:latin typeface="+mj-ea"/>
              <a:ea typeface="+mj-ea"/>
              <a:cs typeface="+mn-cs"/>
            </a:endParaRPr>
          </a:p>
        </xdr:txBody>
      </xdr:sp>
      <xdr:sp macro="" textlink="">
        <xdr:nvSpPr>
          <xdr:cNvPr id="47" name="TextBox 76">
            <a:extLst>
              <a:ext uri="{FF2B5EF4-FFF2-40B4-BE49-F238E27FC236}">
                <a16:creationId xmlns:a16="http://schemas.microsoft.com/office/drawing/2014/main" id="{6D6A808C-0C8E-CBF0-B426-51C82B80661D}"/>
              </a:ext>
            </a:extLst>
          </xdr:cNvPr>
          <xdr:cNvSpPr txBox="1"/>
        </xdr:nvSpPr>
        <xdr:spPr>
          <a:xfrm>
            <a:off x="2052206" y="5488646"/>
            <a:ext cx="500713" cy="291448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kern="0">
                <a:solidFill>
                  <a:prstClr val="black"/>
                </a:solidFill>
                <a:latin typeface="+mj-ea"/>
                <a:ea typeface="+mj-ea"/>
                <a:cs typeface="Times New Roman" panose="02020603050405020304" pitchFamily="18" charset="0"/>
              </a:rPr>
              <a:t>1~2</a:t>
            </a:r>
            <a:r>
              <a:rPr kumimoji="0" lang="ko-KR" altLang="en-US" sz="1200" i="0" u="none" strike="noStrike" kern="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j-ea"/>
                <a:ea typeface="+mj-ea"/>
                <a:cs typeface="Times New Roman" panose="02020603050405020304" pitchFamily="18" charset="0"/>
              </a:rPr>
              <a:t>월</a:t>
            </a:r>
          </a:p>
        </xdr:txBody>
      </xdr:sp>
      <xdr:sp macro="" textlink="">
        <xdr:nvSpPr>
          <xdr:cNvPr id="48" name="Oval 29">
            <a:extLst>
              <a:ext uri="{FF2B5EF4-FFF2-40B4-BE49-F238E27FC236}">
                <a16:creationId xmlns:a16="http://schemas.microsoft.com/office/drawing/2014/main" id="{1724BF71-715D-904F-D179-4FDEDECC291C}"/>
              </a:ext>
            </a:extLst>
          </xdr:cNvPr>
          <xdr:cNvSpPr>
            <a:spLocks noChangeArrowheads="1"/>
          </xdr:cNvSpPr>
        </xdr:nvSpPr>
        <xdr:spPr bwMode="auto">
          <a:xfrm>
            <a:off x="2200482" y="5320889"/>
            <a:ext cx="144000" cy="144000"/>
          </a:xfrm>
          <a:prstGeom prst="ellipse">
            <a:avLst/>
          </a:prstGeom>
          <a:solidFill>
            <a:schemeClr val="bg1">
              <a:lumMod val="95000"/>
            </a:schemeClr>
          </a:solidFill>
          <a:ln w="19050" cap="flat" cmpd="sng" algn="ctr">
            <a:solidFill>
              <a:schemeClr val="tx1"/>
            </a:solidFill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ko-KR" sz="1200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+mj-ea"/>
              <a:ea typeface="+mj-ea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782123</xdr:colOff>
      <xdr:row>22</xdr:row>
      <xdr:rowOff>15301</xdr:rowOff>
    </xdr:from>
    <xdr:to>
      <xdr:col>21</xdr:col>
      <xdr:colOff>155988</xdr:colOff>
      <xdr:row>25</xdr:row>
      <xdr:rowOff>96645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7A79BB3A-514F-0B98-1F43-DDF062BB764A}"/>
            </a:ext>
          </a:extLst>
        </xdr:cNvPr>
        <xdr:cNvGrpSpPr/>
      </xdr:nvGrpSpPr>
      <xdr:grpSpPr>
        <a:xfrm>
          <a:off x="11461329" y="4766595"/>
          <a:ext cx="1032335" cy="720079"/>
          <a:chOff x="3465671" y="4914502"/>
          <a:chExt cx="1032335" cy="788676"/>
        </a:xfrm>
      </xdr:grpSpPr>
      <xdr:sp macro="" textlink="">
        <xdr:nvSpPr>
          <xdr:cNvPr id="50" name="TextBox 79">
            <a:extLst>
              <a:ext uri="{FF2B5EF4-FFF2-40B4-BE49-F238E27FC236}">
                <a16:creationId xmlns:a16="http://schemas.microsoft.com/office/drawing/2014/main" id="{64C71381-2BDD-88D3-D292-21696C110C17}"/>
              </a:ext>
            </a:extLst>
          </xdr:cNvPr>
          <xdr:cNvSpPr txBox="1"/>
        </xdr:nvSpPr>
        <xdr:spPr>
          <a:xfrm>
            <a:off x="3465671" y="4914502"/>
            <a:ext cx="1032335" cy="404516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kern="0">
                <a:solidFill>
                  <a:prstClr val="black"/>
                </a:solidFill>
                <a:latin typeface="+mj-ea"/>
                <a:ea typeface="+mj-ea"/>
              </a:rPr>
              <a:t>PoC </a:t>
            </a:r>
            <a:r>
              <a:rPr lang="ko-KR" altLang="en-US" sz="1200" kern="0">
                <a:solidFill>
                  <a:prstClr val="black"/>
                </a:solidFill>
                <a:latin typeface="+mj-ea"/>
                <a:ea typeface="+mj-ea"/>
              </a:rPr>
              <a:t>분석 및</a:t>
            </a:r>
            <a:endParaRPr lang="en-US" altLang="ko-KR" sz="1200" kern="0">
              <a:solidFill>
                <a:prstClr val="black"/>
              </a:solidFill>
              <a:latin typeface="+mj-ea"/>
              <a:ea typeface="+mj-ea"/>
            </a:endParaRPr>
          </a:p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en-US" sz="1200" kern="0">
                <a:solidFill>
                  <a:prstClr val="black"/>
                </a:solidFill>
                <a:latin typeface="+mj-ea"/>
                <a:ea typeface="+mj-ea"/>
              </a:rPr>
              <a:t>확대 적용 검토</a:t>
            </a:r>
            <a:endParaRPr kumimoji="0" lang="ko-KR" altLang="en-US" sz="1200" i="0" u="none" strike="noStrike" kern="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j-ea"/>
              <a:ea typeface="+mj-ea"/>
              <a:cs typeface="+mn-cs"/>
            </a:endParaRPr>
          </a:p>
        </xdr:txBody>
      </xdr:sp>
      <xdr:sp macro="" textlink="">
        <xdr:nvSpPr>
          <xdr:cNvPr id="51" name="TextBox 80">
            <a:extLst>
              <a:ext uri="{FF2B5EF4-FFF2-40B4-BE49-F238E27FC236}">
                <a16:creationId xmlns:a16="http://schemas.microsoft.com/office/drawing/2014/main" id="{545DCBDE-11FC-9B70-1F8E-0764CF4AD792}"/>
              </a:ext>
            </a:extLst>
          </xdr:cNvPr>
          <xdr:cNvSpPr txBox="1"/>
        </xdr:nvSpPr>
        <xdr:spPr>
          <a:xfrm>
            <a:off x="3872238" y="5500920"/>
            <a:ext cx="238848" cy="202258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200" i="0" u="none" strike="noStrike" kern="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j-ea"/>
                <a:ea typeface="+mj-ea"/>
                <a:cs typeface="Times New Roman" panose="02020603050405020304" pitchFamily="18" charset="0"/>
              </a:rPr>
              <a:t>4</a:t>
            </a:r>
            <a:r>
              <a:rPr kumimoji="0" lang="ko-KR" altLang="en-US" sz="1200" i="0" u="none" strike="noStrike" kern="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j-ea"/>
                <a:ea typeface="+mj-ea"/>
                <a:cs typeface="Times New Roman" panose="02020603050405020304" pitchFamily="18" charset="0"/>
              </a:rPr>
              <a:t>월</a:t>
            </a:r>
          </a:p>
        </xdr:txBody>
      </xdr:sp>
      <xdr:sp macro="" textlink="">
        <xdr:nvSpPr>
          <xdr:cNvPr id="52" name="Oval 29">
            <a:extLst>
              <a:ext uri="{FF2B5EF4-FFF2-40B4-BE49-F238E27FC236}">
                <a16:creationId xmlns:a16="http://schemas.microsoft.com/office/drawing/2014/main" id="{1ACC6E38-83D6-7DFF-0041-C587E151D7EC}"/>
              </a:ext>
            </a:extLst>
          </xdr:cNvPr>
          <xdr:cNvSpPr>
            <a:spLocks noChangeArrowheads="1"/>
          </xdr:cNvSpPr>
        </xdr:nvSpPr>
        <xdr:spPr bwMode="auto">
          <a:xfrm>
            <a:off x="3919659" y="5320889"/>
            <a:ext cx="144000" cy="144000"/>
          </a:xfrm>
          <a:prstGeom prst="ellipse">
            <a:avLst/>
          </a:prstGeom>
          <a:solidFill>
            <a:schemeClr val="bg1">
              <a:lumMod val="95000"/>
            </a:schemeClr>
          </a:solidFill>
          <a:ln w="19050" cap="flat" cmpd="sng" algn="ctr">
            <a:solidFill>
              <a:schemeClr val="tx1"/>
            </a:solidFill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ko-KR" sz="1200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+mj-ea"/>
              <a:ea typeface="+mj-ea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21</xdr:col>
      <xdr:colOff>288683</xdr:colOff>
      <xdr:row>22</xdr:row>
      <xdr:rowOff>4282</xdr:rowOff>
    </xdr:from>
    <xdr:to>
      <xdr:col>23</xdr:col>
      <xdr:colOff>659417</xdr:colOff>
      <xdr:row>25</xdr:row>
      <xdr:rowOff>96642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37D63218-2046-050B-EB0F-B7E3FD296547}"/>
            </a:ext>
          </a:extLst>
        </xdr:cNvPr>
        <xdr:cNvGrpSpPr/>
      </xdr:nvGrpSpPr>
      <xdr:grpSpPr>
        <a:xfrm>
          <a:off x="12626359" y="4755576"/>
          <a:ext cx="1883529" cy="731095"/>
          <a:chOff x="3973519" y="4902436"/>
          <a:chExt cx="1883529" cy="800742"/>
        </a:xfrm>
      </xdr:grpSpPr>
      <xdr:sp macro="" textlink="">
        <xdr:nvSpPr>
          <xdr:cNvPr id="54" name="TextBox 83">
            <a:extLst>
              <a:ext uri="{FF2B5EF4-FFF2-40B4-BE49-F238E27FC236}">
                <a16:creationId xmlns:a16="http://schemas.microsoft.com/office/drawing/2014/main" id="{DDAFD4F4-E3A4-1ABD-DD49-59F765B7006F}"/>
              </a:ext>
            </a:extLst>
          </xdr:cNvPr>
          <xdr:cNvSpPr txBox="1"/>
        </xdr:nvSpPr>
        <xdr:spPr>
          <a:xfrm>
            <a:off x="3973519" y="4902436"/>
            <a:ext cx="1883529" cy="404515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en-US" sz="1200" kern="0">
                <a:solidFill>
                  <a:prstClr val="black"/>
                </a:solidFill>
                <a:latin typeface="+mj-ea"/>
                <a:ea typeface="+mj-ea"/>
              </a:rPr>
              <a:t>사업장 확대 적용</a:t>
            </a:r>
          </a:p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kern="0">
                <a:solidFill>
                  <a:prstClr val="black"/>
                </a:solidFill>
                <a:latin typeface="+mj-ea"/>
                <a:ea typeface="+mj-ea"/>
              </a:rPr>
              <a:t>(</a:t>
            </a:r>
            <a:r>
              <a:rPr lang="ko-KR" altLang="en-US" sz="1200" kern="0">
                <a:solidFill>
                  <a:prstClr val="black"/>
                </a:solidFill>
                <a:latin typeface="+mj-ea"/>
                <a:ea typeface="+mj-ea"/>
              </a:rPr>
              <a:t>적용所 확정</a:t>
            </a:r>
            <a:r>
              <a:rPr lang="en-US" altLang="ko-KR" sz="1200" kern="0">
                <a:solidFill>
                  <a:prstClr val="black"/>
                </a:solidFill>
                <a:latin typeface="+mj-ea"/>
                <a:ea typeface="+mj-ea"/>
              </a:rPr>
              <a:t>, </a:t>
            </a:r>
            <a:r>
              <a:rPr lang="ko-KR" altLang="en-US" sz="1200" kern="0">
                <a:solidFill>
                  <a:prstClr val="black"/>
                </a:solidFill>
                <a:latin typeface="+mj-ea"/>
                <a:ea typeface="+mj-ea"/>
              </a:rPr>
              <a:t>인프라 설치</a:t>
            </a:r>
            <a:r>
              <a:rPr lang="en-US" altLang="ko-KR" sz="1200" kern="0">
                <a:solidFill>
                  <a:prstClr val="black"/>
                </a:solidFill>
                <a:latin typeface="+mj-ea"/>
                <a:ea typeface="+mj-ea"/>
              </a:rPr>
              <a:t>)</a:t>
            </a:r>
          </a:p>
        </xdr:txBody>
      </xdr:sp>
      <xdr:sp macro="" textlink="">
        <xdr:nvSpPr>
          <xdr:cNvPr id="55" name="TextBox 84">
            <a:extLst>
              <a:ext uri="{FF2B5EF4-FFF2-40B4-BE49-F238E27FC236}">
                <a16:creationId xmlns:a16="http://schemas.microsoft.com/office/drawing/2014/main" id="{008D3A23-6B29-77B3-86B2-2AD1CA9D2FAC}"/>
              </a:ext>
            </a:extLst>
          </xdr:cNvPr>
          <xdr:cNvSpPr txBox="1"/>
        </xdr:nvSpPr>
        <xdr:spPr>
          <a:xfrm>
            <a:off x="4805724" y="5500920"/>
            <a:ext cx="238848" cy="202258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kern="0">
                <a:solidFill>
                  <a:prstClr val="black"/>
                </a:solidFill>
                <a:latin typeface="+mj-ea"/>
                <a:ea typeface="+mj-ea"/>
                <a:cs typeface="Times New Roman" panose="02020603050405020304" pitchFamily="18" charset="0"/>
              </a:rPr>
              <a:t>5</a:t>
            </a:r>
            <a:r>
              <a:rPr lang="ko-KR" altLang="en-US" sz="1200" kern="0">
                <a:solidFill>
                  <a:prstClr val="black"/>
                </a:solidFill>
                <a:latin typeface="+mj-ea"/>
                <a:ea typeface="+mj-ea"/>
                <a:cs typeface="Times New Roman" panose="02020603050405020304" pitchFamily="18" charset="0"/>
              </a:rPr>
              <a:t>월</a:t>
            </a:r>
            <a:endParaRPr kumimoji="0" lang="ko-KR" altLang="en-US" sz="1200" i="0" u="none" strike="noStrike" kern="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j-ea"/>
              <a:ea typeface="+mj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Oval 29">
            <a:extLst>
              <a:ext uri="{FF2B5EF4-FFF2-40B4-BE49-F238E27FC236}">
                <a16:creationId xmlns:a16="http://schemas.microsoft.com/office/drawing/2014/main" id="{4A86DE97-F244-6156-5CAF-ABF0B019ED3D}"/>
              </a:ext>
            </a:extLst>
          </xdr:cNvPr>
          <xdr:cNvSpPr>
            <a:spLocks noChangeArrowheads="1"/>
          </xdr:cNvSpPr>
        </xdr:nvSpPr>
        <xdr:spPr bwMode="auto">
          <a:xfrm>
            <a:off x="4832598" y="5320889"/>
            <a:ext cx="144000" cy="144000"/>
          </a:xfrm>
          <a:prstGeom prst="ellipse">
            <a:avLst/>
          </a:prstGeom>
          <a:solidFill>
            <a:schemeClr val="accent1">
              <a:lumMod val="20000"/>
              <a:lumOff val="80000"/>
            </a:schemeClr>
          </a:solidFill>
          <a:ln w="19050" cap="flat" cmpd="sng" algn="ctr">
            <a:solidFill>
              <a:schemeClr val="tx1"/>
            </a:solidFill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ko-KR" sz="1200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+mj-ea"/>
              <a:ea typeface="+mj-ea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24</xdr:col>
      <xdr:colOff>24223</xdr:colOff>
      <xdr:row>22</xdr:row>
      <xdr:rowOff>123687</xdr:rowOff>
    </xdr:from>
    <xdr:to>
      <xdr:col>24</xdr:col>
      <xdr:colOff>694278</xdr:colOff>
      <xdr:row>25</xdr:row>
      <xdr:rowOff>96641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8D01E5AF-C4F0-1609-4468-897C22617A28}"/>
            </a:ext>
          </a:extLst>
        </xdr:cNvPr>
        <xdr:cNvGrpSpPr/>
      </xdr:nvGrpSpPr>
      <xdr:grpSpPr>
        <a:xfrm>
          <a:off x="14703929" y="4874981"/>
          <a:ext cx="670055" cy="611689"/>
          <a:chOff x="5814262" y="5033217"/>
          <a:chExt cx="670055" cy="669961"/>
        </a:xfrm>
      </xdr:grpSpPr>
      <xdr:sp macro="" textlink="">
        <xdr:nvSpPr>
          <xdr:cNvPr id="58" name="TextBox 87">
            <a:extLst>
              <a:ext uri="{FF2B5EF4-FFF2-40B4-BE49-F238E27FC236}">
                <a16:creationId xmlns:a16="http://schemas.microsoft.com/office/drawing/2014/main" id="{AB2C9667-5F07-CA38-65CB-D8D83521B57E}"/>
              </a:ext>
            </a:extLst>
          </xdr:cNvPr>
          <xdr:cNvSpPr txBox="1"/>
        </xdr:nvSpPr>
        <xdr:spPr>
          <a:xfrm>
            <a:off x="5814262" y="5033217"/>
            <a:ext cx="670055" cy="202258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en-US" sz="1200" kern="0">
                <a:latin typeface="+mj-ea"/>
                <a:ea typeface="+mj-ea"/>
                <a:cs typeface="+mn-cs"/>
              </a:rPr>
              <a:t>운영 개시</a:t>
            </a:r>
            <a:endParaRPr kumimoji="0" lang="ko-KR" altLang="en-US" sz="1200" i="0" u="none" strike="noStrike" kern="0" cap="none" spc="0" normalizeH="0" baseline="20000">
              <a:ln>
                <a:noFill/>
              </a:ln>
              <a:effectLst/>
              <a:uLnTx/>
              <a:uFillTx/>
              <a:latin typeface="+mj-ea"/>
              <a:ea typeface="+mj-ea"/>
              <a:cs typeface="+mn-cs"/>
            </a:endParaRPr>
          </a:p>
        </xdr:txBody>
      </xdr:sp>
      <xdr:sp macro="" textlink="">
        <xdr:nvSpPr>
          <xdr:cNvPr id="59" name="TextBox 88">
            <a:extLst>
              <a:ext uri="{FF2B5EF4-FFF2-40B4-BE49-F238E27FC236}">
                <a16:creationId xmlns:a16="http://schemas.microsoft.com/office/drawing/2014/main" id="{5F389C66-EC10-F479-D3C8-9E3CD889B088}"/>
              </a:ext>
            </a:extLst>
          </xdr:cNvPr>
          <xdr:cNvSpPr txBox="1"/>
        </xdr:nvSpPr>
        <xdr:spPr>
          <a:xfrm>
            <a:off x="6029865" y="5500920"/>
            <a:ext cx="238848" cy="202258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kern="0">
                <a:latin typeface="+mj-ea"/>
                <a:ea typeface="+mj-ea"/>
                <a:cs typeface="Times New Roman" panose="02020603050405020304" pitchFamily="18" charset="0"/>
              </a:rPr>
              <a:t>6</a:t>
            </a:r>
            <a:r>
              <a:rPr lang="ko-KR" altLang="en-US" sz="1200" kern="0">
                <a:latin typeface="+mj-ea"/>
                <a:ea typeface="+mj-ea"/>
                <a:cs typeface="Times New Roman" panose="02020603050405020304" pitchFamily="18" charset="0"/>
              </a:rPr>
              <a:t>월</a:t>
            </a:r>
            <a:endParaRPr kumimoji="0" lang="ko-KR" altLang="en-US" sz="1200" i="0" u="none" strike="noStrike" kern="0" cap="none" spc="0" normalizeH="0" baseline="0">
              <a:ln>
                <a:noFill/>
              </a:ln>
              <a:effectLst/>
              <a:uLnTx/>
              <a:uFillTx/>
              <a:latin typeface="+mj-ea"/>
              <a:ea typeface="+mj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60" name="Oval 29">
            <a:extLst>
              <a:ext uri="{FF2B5EF4-FFF2-40B4-BE49-F238E27FC236}">
                <a16:creationId xmlns:a16="http://schemas.microsoft.com/office/drawing/2014/main" id="{E770CCDB-F9BD-8AB8-E0DD-074690766AFC}"/>
              </a:ext>
            </a:extLst>
          </xdr:cNvPr>
          <xdr:cNvSpPr>
            <a:spLocks noChangeArrowheads="1"/>
          </xdr:cNvSpPr>
        </xdr:nvSpPr>
        <xdr:spPr bwMode="auto">
          <a:xfrm>
            <a:off x="6077282" y="5320889"/>
            <a:ext cx="144000" cy="144000"/>
          </a:xfrm>
          <a:prstGeom prst="ellipse">
            <a:avLst/>
          </a:prstGeom>
          <a:solidFill>
            <a:srgbClr val="FFC000"/>
          </a:solidFill>
          <a:ln w="19050" cap="flat" cmpd="sng" algn="ctr">
            <a:solidFill>
              <a:schemeClr val="tx1"/>
            </a:solidFill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ko-KR" sz="1200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+mj-ea"/>
              <a:ea typeface="+mj-ea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17</xdr:col>
      <xdr:colOff>652196</xdr:colOff>
      <xdr:row>22</xdr:row>
      <xdr:rowOff>0</xdr:rowOff>
    </xdr:from>
    <xdr:to>
      <xdr:col>19</xdr:col>
      <xdr:colOff>577190</xdr:colOff>
      <xdr:row>25</xdr:row>
      <xdr:rowOff>96655</xdr:rowOff>
    </xdr:to>
    <xdr:grpSp>
      <xdr:nvGrpSpPr>
        <xdr:cNvPr id="61" name="그룹 60">
          <a:extLst>
            <a:ext uri="{FF2B5EF4-FFF2-40B4-BE49-F238E27FC236}">
              <a16:creationId xmlns:a16="http://schemas.microsoft.com/office/drawing/2014/main" id="{635BBB64-5C86-9A68-5D68-E883126FE500}"/>
            </a:ext>
          </a:extLst>
        </xdr:cNvPr>
        <xdr:cNvGrpSpPr/>
      </xdr:nvGrpSpPr>
      <xdr:grpSpPr>
        <a:xfrm>
          <a:off x="9897049" y="4751294"/>
          <a:ext cx="1359347" cy="735390"/>
          <a:chOff x="3311992" y="4897734"/>
          <a:chExt cx="1359347" cy="805444"/>
        </a:xfrm>
      </xdr:grpSpPr>
      <xdr:sp macro="" textlink="">
        <xdr:nvSpPr>
          <xdr:cNvPr id="62" name="TextBox 92">
            <a:extLst>
              <a:ext uri="{FF2B5EF4-FFF2-40B4-BE49-F238E27FC236}">
                <a16:creationId xmlns:a16="http://schemas.microsoft.com/office/drawing/2014/main" id="{0EABFF43-67FF-0170-23CC-253EEA57C7B9}"/>
              </a:ext>
            </a:extLst>
          </xdr:cNvPr>
          <xdr:cNvSpPr txBox="1"/>
        </xdr:nvSpPr>
        <xdr:spPr>
          <a:xfrm>
            <a:off x="3311992" y="4897734"/>
            <a:ext cx="1359347" cy="404515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914217" latinLnBrk="0">
              <a:defRPr/>
            </a:pPr>
            <a:r>
              <a:rPr lang="en-US" altLang="ko-KR" sz="1200" kern="0">
                <a:solidFill>
                  <a:prstClr val="black"/>
                </a:solidFill>
                <a:latin typeface="+mj-ea"/>
              </a:rPr>
              <a:t>PoC </a:t>
            </a:r>
            <a:r>
              <a:rPr lang="ko-KR" altLang="en-US" sz="1200" kern="0">
                <a:solidFill>
                  <a:prstClr val="black"/>
                </a:solidFill>
                <a:latin typeface="+mj-ea"/>
              </a:rPr>
              <a:t>진행</a:t>
            </a:r>
          </a:p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kern="0">
                <a:solidFill>
                  <a:prstClr val="black"/>
                </a:solidFill>
                <a:latin typeface="+mj-ea"/>
                <a:ea typeface="+mj-ea"/>
                <a:cs typeface="+mn-cs"/>
              </a:rPr>
              <a:t>(</a:t>
            </a:r>
            <a:r>
              <a:rPr lang="ko-KR" altLang="en-US" sz="1200" kern="0">
                <a:solidFill>
                  <a:prstClr val="black"/>
                </a:solidFill>
                <a:latin typeface="+mj-ea"/>
                <a:ea typeface="+mj-ea"/>
                <a:cs typeface="+mn-cs"/>
              </a:rPr>
              <a:t>인프라 설치</a:t>
            </a:r>
            <a:r>
              <a:rPr lang="en-US" altLang="ko-KR" sz="1200" kern="0">
                <a:solidFill>
                  <a:prstClr val="black"/>
                </a:solidFill>
                <a:latin typeface="+mj-ea"/>
                <a:ea typeface="+mj-ea"/>
                <a:cs typeface="+mn-cs"/>
              </a:rPr>
              <a:t>, </a:t>
            </a:r>
            <a:r>
              <a:rPr lang="ko-KR" altLang="en-US" sz="1200" kern="0">
                <a:solidFill>
                  <a:prstClr val="black"/>
                </a:solidFill>
                <a:latin typeface="+mj-ea"/>
                <a:ea typeface="+mj-ea"/>
              </a:rPr>
              <a:t>분석</a:t>
            </a:r>
            <a:r>
              <a:rPr lang="en-US" altLang="ko-KR" sz="1200" kern="0">
                <a:solidFill>
                  <a:prstClr val="black"/>
                </a:solidFill>
                <a:latin typeface="+mj-ea"/>
                <a:ea typeface="+mj-ea"/>
              </a:rPr>
              <a:t>)</a:t>
            </a:r>
            <a:endParaRPr lang="en-US" altLang="ko-KR" sz="1200" kern="0">
              <a:solidFill>
                <a:prstClr val="black"/>
              </a:solidFill>
              <a:latin typeface="+mj-ea"/>
              <a:ea typeface="+mj-ea"/>
              <a:cs typeface="+mn-cs"/>
            </a:endParaRPr>
          </a:p>
        </xdr:txBody>
      </xdr:sp>
      <xdr:sp macro="" textlink="">
        <xdr:nvSpPr>
          <xdr:cNvPr id="63" name="TextBox 93">
            <a:extLst>
              <a:ext uri="{FF2B5EF4-FFF2-40B4-BE49-F238E27FC236}">
                <a16:creationId xmlns:a16="http://schemas.microsoft.com/office/drawing/2014/main" id="{B5C18F10-41F4-F5E7-E8E8-DA7BD186F5A6}"/>
              </a:ext>
            </a:extLst>
          </xdr:cNvPr>
          <xdr:cNvSpPr txBox="1"/>
        </xdr:nvSpPr>
        <xdr:spPr>
          <a:xfrm>
            <a:off x="3776057" y="5500920"/>
            <a:ext cx="431208" cy="202258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200" i="0" u="none" strike="noStrike" kern="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j-ea"/>
                <a:ea typeface="+mj-ea"/>
                <a:cs typeface="Times New Roman" panose="02020603050405020304" pitchFamily="18" charset="0"/>
              </a:rPr>
              <a:t>3~4</a:t>
            </a:r>
            <a:r>
              <a:rPr kumimoji="0" lang="ko-KR" altLang="en-US" sz="1200" i="0" u="none" strike="noStrike" kern="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j-ea"/>
                <a:ea typeface="+mj-ea"/>
                <a:cs typeface="Times New Roman" panose="02020603050405020304" pitchFamily="18" charset="0"/>
              </a:rPr>
              <a:t>월</a:t>
            </a:r>
          </a:p>
        </xdr:txBody>
      </xdr:sp>
      <xdr:sp macro="" textlink="">
        <xdr:nvSpPr>
          <xdr:cNvPr id="64" name="Oval 29">
            <a:extLst>
              <a:ext uri="{FF2B5EF4-FFF2-40B4-BE49-F238E27FC236}">
                <a16:creationId xmlns:a16="http://schemas.microsoft.com/office/drawing/2014/main" id="{F2A13A89-702A-BD47-058C-649277623CB3}"/>
              </a:ext>
            </a:extLst>
          </xdr:cNvPr>
          <xdr:cNvSpPr>
            <a:spLocks noChangeArrowheads="1"/>
          </xdr:cNvSpPr>
        </xdr:nvSpPr>
        <xdr:spPr bwMode="auto">
          <a:xfrm>
            <a:off x="3919659" y="5320889"/>
            <a:ext cx="144000" cy="144000"/>
          </a:xfrm>
          <a:prstGeom prst="ellipse">
            <a:avLst/>
          </a:prstGeom>
          <a:solidFill>
            <a:schemeClr val="bg1">
              <a:lumMod val="95000"/>
            </a:schemeClr>
          </a:solidFill>
          <a:ln w="19050" cap="flat" cmpd="sng" algn="ctr">
            <a:solidFill>
              <a:schemeClr val="tx1"/>
            </a:solidFill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ko-KR" sz="1200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+mj-ea"/>
              <a:ea typeface="+mj-ea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219075</xdr:colOff>
          <xdr:row>4</xdr:row>
          <xdr:rowOff>9525</xdr:rowOff>
        </xdr:from>
        <xdr:to>
          <xdr:col>9</xdr:col>
          <xdr:colOff>561975</xdr:colOff>
          <xdr:row>5</xdr:row>
          <xdr:rowOff>47625</xdr:rowOff>
        </xdr:to>
        <xdr:sp macro="" textlink="">
          <xdr:nvSpPr>
            <xdr:cNvPr id="14337" name="Check Box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7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219075</xdr:colOff>
          <xdr:row>5</xdr:row>
          <xdr:rowOff>9525</xdr:rowOff>
        </xdr:from>
        <xdr:to>
          <xdr:col>9</xdr:col>
          <xdr:colOff>561975</xdr:colOff>
          <xdr:row>6</xdr:row>
          <xdr:rowOff>47625</xdr:rowOff>
        </xdr:to>
        <xdr:sp macro="" textlink="">
          <xdr:nvSpPr>
            <xdr:cNvPr id="14352" name="Check Box 16" hidden="1">
              <a:extLst>
                <a:ext uri="{63B3BB69-23CF-44E3-9099-C40C66FF867C}">
                  <a14:compatExt spid="_x0000_s14352"/>
                </a:ext>
                <a:ext uri="{FF2B5EF4-FFF2-40B4-BE49-F238E27FC236}">
                  <a16:creationId xmlns:a16="http://schemas.microsoft.com/office/drawing/2014/main" id="{00000000-0008-0000-0700-00001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219075</xdr:colOff>
          <xdr:row>6</xdr:row>
          <xdr:rowOff>9525</xdr:rowOff>
        </xdr:from>
        <xdr:to>
          <xdr:col>9</xdr:col>
          <xdr:colOff>561975</xdr:colOff>
          <xdr:row>7</xdr:row>
          <xdr:rowOff>47625</xdr:rowOff>
        </xdr:to>
        <xdr:sp macro="" textlink="">
          <xdr:nvSpPr>
            <xdr:cNvPr id="14353" name="Check Box 17" hidden="1">
              <a:extLst>
                <a:ext uri="{63B3BB69-23CF-44E3-9099-C40C66FF867C}">
                  <a14:compatExt spid="_x0000_s14353"/>
                </a:ext>
                <a:ext uri="{FF2B5EF4-FFF2-40B4-BE49-F238E27FC236}">
                  <a16:creationId xmlns:a16="http://schemas.microsoft.com/office/drawing/2014/main" id="{00000000-0008-0000-0700-00001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219075</xdr:colOff>
          <xdr:row>7</xdr:row>
          <xdr:rowOff>9525</xdr:rowOff>
        </xdr:from>
        <xdr:to>
          <xdr:col>9</xdr:col>
          <xdr:colOff>561975</xdr:colOff>
          <xdr:row>8</xdr:row>
          <xdr:rowOff>47625</xdr:rowOff>
        </xdr:to>
        <xdr:sp macro="" textlink="">
          <xdr:nvSpPr>
            <xdr:cNvPr id="14354" name="Check Box 18" hidden="1">
              <a:extLst>
                <a:ext uri="{63B3BB69-23CF-44E3-9099-C40C66FF867C}">
                  <a14:compatExt spid="_x0000_s14354"/>
                </a:ext>
                <a:ext uri="{FF2B5EF4-FFF2-40B4-BE49-F238E27FC236}">
                  <a16:creationId xmlns:a16="http://schemas.microsoft.com/office/drawing/2014/main" id="{00000000-0008-0000-0700-00001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219075</xdr:colOff>
          <xdr:row>9</xdr:row>
          <xdr:rowOff>9525</xdr:rowOff>
        </xdr:from>
        <xdr:to>
          <xdr:col>9</xdr:col>
          <xdr:colOff>561975</xdr:colOff>
          <xdr:row>10</xdr:row>
          <xdr:rowOff>47625</xdr:rowOff>
        </xdr:to>
        <xdr:sp macro="" textlink="">
          <xdr:nvSpPr>
            <xdr:cNvPr id="14356" name="Check Box 20" hidden="1">
              <a:extLst>
                <a:ext uri="{63B3BB69-23CF-44E3-9099-C40C66FF867C}">
                  <a14:compatExt spid="_x0000_s14356"/>
                </a:ext>
                <a:ext uri="{FF2B5EF4-FFF2-40B4-BE49-F238E27FC236}">
                  <a16:creationId xmlns:a16="http://schemas.microsoft.com/office/drawing/2014/main" id="{00000000-0008-0000-0700-00001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219075</xdr:colOff>
          <xdr:row>10</xdr:row>
          <xdr:rowOff>9525</xdr:rowOff>
        </xdr:from>
        <xdr:to>
          <xdr:col>9</xdr:col>
          <xdr:colOff>561975</xdr:colOff>
          <xdr:row>11</xdr:row>
          <xdr:rowOff>47625</xdr:rowOff>
        </xdr:to>
        <xdr:sp macro="" textlink="">
          <xdr:nvSpPr>
            <xdr:cNvPr id="14358" name="Check Box 22" hidden="1">
              <a:extLst>
                <a:ext uri="{63B3BB69-23CF-44E3-9099-C40C66FF867C}">
                  <a14:compatExt spid="_x0000_s14358"/>
                </a:ext>
                <a:ext uri="{FF2B5EF4-FFF2-40B4-BE49-F238E27FC236}">
                  <a16:creationId xmlns:a16="http://schemas.microsoft.com/office/drawing/2014/main" id="{00000000-0008-0000-0700-00001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219075</xdr:colOff>
          <xdr:row>12</xdr:row>
          <xdr:rowOff>9525</xdr:rowOff>
        </xdr:from>
        <xdr:to>
          <xdr:col>9</xdr:col>
          <xdr:colOff>561975</xdr:colOff>
          <xdr:row>13</xdr:row>
          <xdr:rowOff>47625</xdr:rowOff>
        </xdr:to>
        <xdr:sp macro="" textlink="">
          <xdr:nvSpPr>
            <xdr:cNvPr id="14359" name="Check Box 23" hidden="1">
              <a:extLst>
                <a:ext uri="{63B3BB69-23CF-44E3-9099-C40C66FF867C}">
                  <a14:compatExt spid="_x0000_s14359"/>
                </a:ext>
                <a:ext uri="{FF2B5EF4-FFF2-40B4-BE49-F238E27FC236}">
                  <a16:creationId xmlns:a16="http://schemas.microsoft.com/office/drawing/2014/main" id="{00000000-0008-0000-0700-00001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219075</xdr:colOff>
          <xdr:row>13</xdr:row>
          <xdr:rowOff>9525</xdr:rowOff>
        </xdr:from>
        <xdr:to>
          <xdr:col>9</xdr:col>
          <xdr:colOff>561975</xdr:colOff>
          <xdr:row>14</xdr:row>
          <xdr:rowOff>47625</xdr:rowOff>
        </xdr:to>
        <xdr:sp macro="" textlink="">
          <xdr:nvSpPr>
            <xdr:cNvPr id="14361" name="Check Box 25" hidden="1">
              <a:extLst>
                <a:ext uri="{63B3BB69-23CF-44E3-9099-C40C66FF867C}">
                  <a14:compatExt spid="_x0000_s14361"/>
                </a:ext>
                <a:ext uri="{FF2B5EF4-FFF2-40B4-BE49-F238E27FC236}">
                  <a16:creationId xmlns:a16="http://schemas.microsoft.com/office/drawing/2014/main" id="{00000000-0008-0000-0700-00001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219075</xdr:colOff>
          <xdr:row>14</xdr:row>
          <xdr:rowOff>9525</xdr:rowOff>
        </xdr:from>
        <xdr:to>
          <xdr:col>9</xdr:col>
          <xdr:colOff>561975</xdr:colOff>
          <xdr:row>15</xdr:row>
          <xdr:rowOff>47625</xdr:rowOff>
        </xdr:to>
        <xdr:sp macro="" textlink="">
          <xdr:nvSpPr>
            <xdr:cNvPr id="14362" name="Check Box 26" hidden="1">
              <a:extLst>
                <a:ext uri="{63B3BB69-23CF-44E3-9099-C40C66FF867C}">
                  <a14:compatExt spid="_x0000_s14362"/>
                </a:ext>
                <a:ext uri="{FF2B5EF4-FFF2-40B4-BE49-F238E27FC236}">
                  <a16:creationId xmlns:a16="http://schemas.microsoft.com/office/drawing/2014/main" id="{00000000-0008-0000-0700-00001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219075</xdr:colOff>
          <xdr:row>15</xdr:row>
          <xdr:rowOff>9525</xdr:rowOff>
        </xdr:from>
        <xdr:to>
          <xdr:col>9</xdr:col>
          <xdr:colOff>561975</xdr:colOff>
          <xdr:row>16</xdr:row>
          <xdr:rowOff>47625</xdr:rowOff>
        </xdr:to>
        <xdr:sp macro="" textlink="">
          <xdr:nvSpPr>
            <xdr:cNvPr id="14363" name="Check Box 27" hidden="1">
              <a:extLst>
                <a:ext uri="{63B3BB69-23CF-44E3-9099-C40C66FF867C}">
                  <a14:compatExt spid="_x0000_s14363"/>
                </a:ext>
                <a:ext uri="{FF2B5EF4-FFF2-40B4-BE49-F238E27FC236}">
                  <a16:creationId xmlns:a16="http://schemas.microsoft.com/office/drawing/2014/main" id="{00000000-0008-0000-0700-00001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4</xdr:row>
          <xdr:rowOff>0</xdr:rowOff>
        </xdr:from>
        <xdr:to>
          <xdr:col>10</xdr:col>
          <xdr:colOff>476250</xdr:colOff>
          <xdr:row>5</xdr:row>
          <xdr:rowOff>38100</xdr:rowOff>
        </xdr:to>
        <xdr:sp macro="" textlink="">
          <xdr:nvSpPr>
            <xdr:cNvPr id="14378" name="Check Box 42" hidden="1">
              <a:extLst>
                <a:ext uri="{63B3BB69-23CF-44E3-9099-C40C66FF867C}">
                  <a14:compatExt spid="_x0000_s14378"/>
                </a:ext>
                <a:ext uri="{FF2B5EF4-FFF2-40B4-BE49-F238E27FC236}">
                  <a16:creationId xmlns:a16="http://schemas.microsoft.com/office/drawing/2014/main" id="{00000000-0008-0000-0700-00002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5</xdr:row>
          <xdr:rowOff>0</xdr:rowOff>
        </xdr:from>
        <xdr:to>
          <xdr:col>10</xdr:col>
          <xdr:colOff>476250</xdr:colOff>
          <xdr:row>6</xdr:row>
          <xdr:rowOff>38100</xdr:rowOff>
        </xdr:to>
        <xdr:sp macro="" textlink="">
          <xdr:nvSpPr>
            <xdr:cNvPr id="14381" name="Check Box 45" hidden="1">
              <a:extLst>
                <a:ext uri="{63B3BB69-23CF-44E3-9099-C40C66FF867C}">
                  <a14:compatExt spid="_x0000_s14381"/>
                </a:ext>
                <a:ext uri="{FF2B5EF4-FFF2-40B4-BE49-F238E27FC236}">
                  <a16:creationId xmlns:a16="http://schemas.microsoft.com/office/drawing/2014/main" id="{00000000-0008-0000-0700-00002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6</xdr:row>
          <xdr:rowOff>0</xdr:rowOff>
        </xdr:from>
        <xdr:to>
          <xdr:col>10</xdr:col>
          <xdr:colOff>476250</xdr:colOff>
          <xdr:row>7</xdr:row>
          <xdr:rowOff>38100</xdr:rowOff>
        </xdr:to>
        <xdr:sp macro="" textlink="">
          <xdr:nvSpPr>
            <xdr:cNvPr id="14382" name="Check Box 46" hidden="1">
              <a:extLst>
                <a:ext uri="{63B3BB69-23CF-44E3-9099-C40C66FF867C}">
                  <a14:compatExt spid="_x0000_s14382"/>
                </a:ext>
                <a:ext uri="{FF2B5EF4-FFF2-40B4-BE49-F238E27FC236}">
                  <a16:creationId xmlns:a16="http://schemas.microsoft.com/office/drawing/2014/main" id="{00000000-0008-0000-0700-00002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7</xdr:row>
          <xdr:rowOff>0</xdr:rowOff>
        </xdr:from>
        <xdr:to>
          <xdr:col>10</xdr:col>
          <xdr:colOff>476250</xdr:colOff>
          <xdr:row>8</xdr:row>
          <xdr:rowOff>38100</xdr:rowOff>
        </xdr:to>
        <xdr:sp macro="" textlink="">
          <xdr:nvSpPr>
            <xdr:cNvPr id="14383" name="Check Box 47" hidden="1">
              <a:extLst>
                <a:ext uri="{63B3BB69-23CF-44E3-9099-C40C66FF867C}">
                  <a14:compatExt spid="_x0000_s14383"/>
                </a:ext>
                <a:ext uri="{FF2B5EF4-FFF2-40B4-BE49-F238E27FC236}">
                  <a16:creationId xmlns:a16="http://schemas.microsoft.com/office/drawing/2014/main" id="{00000000-0008-0000-0700-00002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9</xdr:row>
          <xdr:rowOff>0</xdr:rowOff>
        </xdr:from>
        <xdr:to>
          <xdr:col>10</xdr:col>
          <xdr:colOff>476250</xdr:colOff>
          <xdr:row>10</xdr:row>
          <xdr:rowOff>38100</xdr:rowOff>
        </xdr:to>
        <xdr:sp macro="" textlink="">
          <xdr:nvSpPr>
            <xdr:cNvPr id="14389" name="Check Box 53" hidden="1">
              <a:extLst>
                <a:ext uri="{63B3BB69-23CF-44E3-9099-C40C66FF867C}">
                  <a14:compatExt spid="_x0000_s14389"/>
                </a:ext>
                <a:ext uri="{FF2B5EF4-FFF2-40B4-BE49-F238E27FC236}">
                  <a16:creationId xmlns:a16="http://schemas.microsoft.com/office/drawing/2014/main" id="{00000000-0008-0000-0700-00003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10</xdr:row>
          <xdr:rowOff>0</xdr:rowOff>
        </xdr:from>
        <xdr:to>
          <xdr:col>10</xdr:col>
          <xdr:colOff>476250</xdr:colOff>
          <xdr:row>11</xdr:row>
          <xdr:rowOff>38100</xdr:rowOff>
        </xdr:to>
        <xdr:sp macro="" textlink="">
          <xdr:nvSpPr>
            <xdr:cNvPr id="14392" name="Check Box 56" hidden="1">
              <a:extLst>
                <a:ext uri="{63B3BB69-23CF-44E3-9099-C40C66FF867C}">
                  <a14:compatExt spid="_x0000_s14392"/>
                </a:ext>
                <a:ext uri="{FF2B5EF4-FFF2-40B4-BE49-F238E27FC236}">
                  <a16:creationId xmlns:a16="http://schemas.microsoft.com/office/drawing/2014/main" id="{00000000-0008-0000-0700-00003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12</xdr:row>
          <xdr:rowOff>0</xdr:rowOff>
        </xdr:from>
        <xdr:to>
          <xdr:col>10</xdr:col>
          <xdr:colOff>476250</xdr:colOff>
          <xdr:row>13</xdr:row>
          <xdr:rowOff>38100</xdr:rowOff>
        </xdr:to>
        <xdr:sp macro="" textlink="">
          <xdr:nvSpPr>
            <xdr:cNvPr id="14393" name="Check Box 57" hidden="1">
              <a:extLst>
                <a:ext uri="{63B3BB69-23CF-44E3-9099-C40C66FF867C}">
                  <a14:compatExt spid="_x0000_s14393"/>
                </a:ext>
                <a:ext uri="{FF2B5EF4-FFF2-40B4-BE49-F238E27FC236}">
                  <a16:creationId xmlns:a16="http://schemas.microsoft.com/office/drawing/2014/main" id="{00000000-0008-0000-0700-00003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13</xdr:row>
          <xdr:rowOff>0</xdr:rowOff>
        </xdr:from>
        <xdr:to>
          <xdr:col>10</xdr:col>
          <xdr:colOff>476250</xdr:colOff>
          <xdr:row>14</xdr:row>
          <xdr:rowOff>38100</xdr:rowOff>
        </xdr:to>
        <xdr:sp macro="" textlink="">
          <xdr:nvSpPr>
            <xdr:cNvPr id="14395" name="Check Box 59" hidden="1">
              <a:extLst>
                <a:ext uri="{63B3BB69-23CF-44E3-9099-C40C66FF867C}">
                  <a14:compatExt spid="_x0000_s14395"/>
                </a:ext>
                <a:ext uri="{FF2B5EF4-FFF2-40B4-BE49-F238E27FC236}">
                  <a16:creationId xmlns:a16="http://schemas.microsoft.com/office/drawing/2014/main" id="{00000000-0008-0000-0700-00003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14</xdr:row>
          <xdr:rowOff>0</xdr:rowOff>
        </xdr:from>
        <xdr:to>
          <xdr:col>10</xdr:col>
          <xdr:colOff>476250</xdr:colOff>
          <xdr:row>15</xdr:row>
          <xdr:rowOff>38100</xdr:rowOff>
        </xdr:to>
        <xdr:sp macro="" textlink="">
          <xdr:nvSpPr>
            <xdr:cNvPr id="14396" name="Check Box 60" hidden="1">
              <a:extLst>
                <a:ext uri="{63B3BB69-23CF-44E3-9099-C40C66FF867C}">
                  <a14:compatExt spid="_x0000_s14396"/>
                </a:ext>
                <a:ext uri="{FF2B5EF4-FFF2-40B4-BE49-F238E27FC236}">
                  <a16:creationId xmlns:a16="http://schemas.microsoft.com/office/drawing/2014/main" id="{00000000-0008-0000-0700-00003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15</xdr:row>
          <xdr:rowOff>0</xdr:rowOff>
        </xdr:from>
        <xdr:to>
          <xdr:col>10</xdr:col>
          <xdr:colOff>476250</xdr:colOff>
          <xdr:row>16</xdr:row>
          <xdr:rowOff>38100</xdr:rowOff>
        </xdr:to>
        <xdr:sp macro="" textlink="">
          <xdr:nvSpPr>
            <xdr:cNvPr id="14397" name="Check Box 61" hidden="1">
              <a:extLst>
                <a:ext uri="{63B3BB69-23CF-44E3-9099-C40C66FF867C}">
                  <a14:compatExt spid="_x0000_s14397"/>
                </a:ext>
                <a:ext uri="{FF2B5EF4-FFF2-40B4-BE49-F238E27FC236}">
                  <a16:creationId xmlns:a16="http://schemas.microsoft.com/office/drawing/2014/main" id="{00000000-0008-0000-0700-00003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219075</xdr:colOff>
          <xdr:row>17</xdr:row>
          <xdr:rowOff>9525</xdr:rowOff>
        </xdr:from>
        <xdr:to>
          <xdr:col>9</xdr:col>
          <xdr:colOff>561975</xdr:colOff>
          <xdr:row>18</xdr:row>
          <xdr:rowOff>47625</xdr:rowOff>
        </xdr:to>
        <xdr:sp macro="" textlink="">
          <xdr:nvSpPr>
            <xdr:cNvPr id="14398" name="Check Box 62" hidden="1">
              <a:extLst>
                <a:ext uri="{63B3BB69-23CF-44E3-9099-C40C66FF867C}">
                  <a14:compatExt spid="_x0000_s14398"/>
                </a:ext>
                <a:ext uri="{FF2B5EF4-FFF2-40B4-BE49-F238E27FC236}">
                  <a16:creationId xmlns:a16="http://schemas.microsoft.com/office/drawing/2014/main" id="{00000000-0008-0000-0700-00003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219075</xdr:colOff>
          <xdr:row>18</xdr:row>
          <xdr:rowOff>9525</xdr:rowOff>
        </xdr:from>
        <xdr:to>
          <xdr:col>9</xdr:col>
          <xdr:colOff>561975</xdr:colOff>
          <xdr:row>19</xdr:row>
          <xdr:rowOff>47625</xdr:rowOff>
        </xdr:to>
        <xdr:sp macro="" textlink="">
          <xdr:nvSpPr>
            <xdr:cNvPr id="14399" name="Check Box 63" hidden="1">
              <a:extLst>
                <a:ext uri="{63B3BB69-23CF-44E3-9099-C40C66FF867C}">
                  <a14:compatExt spid="_x0000_s14399"/>
                </a:ext>
                <a:ext uri="{FF2B5EF4-FFF2-40B4-BE49-F238E27FC236}">
                  <a16:creationId xmlns:a16="http://schemas.microsoft.com/office/drawing/2014/main" id="{00000000-0008-0000-0700-00003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219075</xdr:colOff>
          <xdr:row>19</xdr:row>
          <xdr:rowOff>9525</xdr:rowOff>
        </xdr:from>
        <xdr:to>
          <xdr:col>9</xdr:col>
          <xdr:colOff>561975</xdr:colOff>
          <xdr:row>20</xdr:row>
          <xdr:rowOff>47625</xdr:rowOff>
        </xdr:to>
        <xdr:sp macro="" textlink="">
          <xdr:nvSpPr>
            <xdr:cNvPr id="14400" name="Check Box 64" hidden="1">
              <a:extLst>
                <a:ext uri="{63B3BB69-23CF-44E3-9099-C40C66FF867C}">
                  <a14:compatExt spid="_x0000_s14400"/>
                </a:ext>
                <a:ext uri="{FF2B5EF4-FFF2-40B4-BE49-F238E27FC236}">
                  <a16:creationId xmlns:a16="http://schemas.microsoft.com/office/drawing/2014/main" id="{00000000-0008-0000-0700-00004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219075</xdr:colOff>
          <xdr:row>20</xdr:row>
          <xdr:rowOff>9525</xdr:rowOff>
        </xdr:from>
        <xdr:to>
          <xdr:col>9</xdr:col>
          <xdr:colOff>561975</xdr:colOff>
          <xdr:row>21</xdr:row>
          <xdr:rowOff>47625</xdr:rowOff>
        </xdr:to>
        <xdr:sp macro="" textlink="">
          <xdr:nvSpPr>
            <xdr:cNvPr id="14401" name="Check Box 65" hidden="1">
              <a:extLst>
                <a:ext uri="{63B3BB69-23CF-44E3-9099-C40C66FF867C}">
                  <a14:compatExt spid="_x0000_s14401"/>
                </a:ext>
                <a:ext uri="{FF2B5EF4-FFF2-40B4-BE49-F238E27FC236}">
                  <a16:creationId xmlns:a16="http://schemas.microsoft.com/office/drawing/2014/main" id="{00000000-0008-0000-0700-00004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219075</xdr:colOff>
          <xdr:row>21</xdr:row>
          <xdr:rowOff>9525</xdr:rowOff>
        </xdr:from>
        <xdr:to>
          <xdr:col>9</xdr:col>
          <xdr:colOff>561975</xdr:colOff>
          <xdr:row>22</xdr:row>
          <xdr:rowOff>47625</xdr:rowOff>
        </xdr:to>
        <xdr:sp macro="" textlink="">
          <xdr:nvSpPr>
            <xdr:cNvPr id="14402" name="Check Box 66" hidden="1">
              <a:extLst>
                <a:ext uri="{63B3BB69-23CF-44E3-9099-C40C66FF867C}">
                  <a14:compatExt spid="_x0000_s14402"/>
                </a:ext>
                <a:ext uri="{FF2B5EF4-FFF2-40B4-BE49-F238E27FC236}">
                  <a16:creationId xmlns:a16="http://schemas.microsoft.com/office/drawing/2014/main" id="{00000000-0008-0000-0700-00004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17</xdr:row>
          <xdr:rowOff>0</xdr:rowOff>
        </xdr:from>
        <xdr:to>
          <xdr:col>10</xdr:col>
          <xdr:colOff>476250</xdr:colOff>
          <xdr:row>18</xdr:row>
          <xdr:rowOff>38100</xdr:rowOff>
        </xdr:to>
        <xdr:sp macro="" textlink="">
          <xdr:nvSpPr>
            <xdr:cNvPr id="14403" name="Check Box 67" hidden="1">
              <a:extLst>
                <a:ext uri="{63B3BB69-23CF-44E3-9099-C40C66FF867C}">
                  <a14:compatExt spid="_x0000_s14403"/>
                </a:ext>
                <a:ext uri="{FF2B5EF4-FFF2-40B4-BE49-F238E27FC236}">
                  <a16:creationId xmlns:a16="http://schemas.microsoft.com/office/drawing/2014/main" id="{00000000-0008-0000-0700-00004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18</xdr:row>
          <xdr:rowOff>0</xdr:rowOff>
        </xdr:from>
        <xdr:to>
          <xdr:col>10</xdr:col>
          <xdr:colOff>476250</xdr:colOff>
          <xdr:row>19</xdr:row>
          <xdr:rowOff>38100</xdr:rowOff>
        </xdr:to>
        <xdr:sp macro="" textlink="">
          <xdr:nvSpPr>
            <xdr:cNvPr id="14404" name="Check Box 68" hidden="1">
              <a:extLst>
                <a:ext uri="{63B3BB69-23CF-44E3-9099-C40C66FF867C}">
                  <a14:compatExt spid="_x0000_s14404"/>
                </a:ext>
                <a:ext uri="{FF2B5EF4-FFF2-40B4-BE49-F238E27FC236}">
                  <a16:creationId xmlns:a16="http://schemas.microsoft.com/office/drawing/2014/main" id="{00000000-0008-0000-0700-00004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19</xdr:row>
          <xdr:rowOff>0</xdr:rowOff>
        </xdr:from>
        <xdr:to>
          <xdr:col>10</xdr:col>
          <xdr:colOff>476250</xdr:colOff>
          <xdr:row>20</xdr:row>
          <xdr:rowOff>38100</xdr:rowOff>
        </xdr:to>
        <xdr:sp macro="" textlink="">
          <xdr:nvSpPr>
            <xdr:cNvPr id="14405" name="Check Box 69" hidden="1">
              <a:extLst>
                <a:ext uri="{63B3BB69-23CF-44E3-9099-C40C66FF867C}">
                  <a14:compatExt spid="_x0000_s14405"/>
                </a:ext>
                <a:ext uri="{FF2B5EF4-FFF2-40B4-BE49-F238E27FC236}">
                  <a16:creationId xmlns:a16="http://schemas.microsoft.com/office/drawing/2014/main" id="{00000000-0008-0000-0700-00004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20</xdr:row>
          <xdr:rowOff>0</xdr:rowOff>
        </xdr:from>
        <xdr:to>
          <xdr:col>10</xdr:col>
          <xdr:colOff>476250</xdr:colOff>
          <xdr:row>21</xdr:row>
          <xdr:rowOff>38100</xdr:rowOff>
        </xdr:to>
        <xdr:sp macro="" textlink="">
          <xdr:nvSpPr>
            <xdr:cNvPr id="14406" name="Check Box 70" hidden="1">
              <a:extLst>
                <a:ext uri="{63B3BB69-23CF-44E3-9099-C40C66FF867C}">
                  <a14:compatExt spid="_x0000_s14406"/>
                </a:ext>
                <a:ext uri="{FF2B5EF4-FFF2-40B4-BE49-F238E27FC236}">
                  <a16:creationId xmlns:a16="http://schemas.microsoft.com/office/drawing/2014/main" id="{00000000-0008-0000-0700-00004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21</xdr:row>
          <xdr:rowOff>0</xdr:rowOff>
        </xdr:from>
        <xdr:to>
          <xdr:col>10</xdr:col>
          <xdr:colOff>476250</xdr:colOff>
          <xdr:row>22</xdr:row>
          <xdr:rowOff>38100</xdr:rowOff>
        </xdr:to>
        <xdr:sp macro="" textlink="">
          <xdr:nvSpPr>
            <xdr:cNvPr id="14407" name="Check Box 71" hidden="1">
              <a:extLst>
                <a:ext uri="{63B3BB69-23CF-44E3-9099-C40C66FF867C}">
                  <a14:compatExt spid="_x0000_s14407"/>
                </a:ext>
                <a:ext uri="{FF2B5EF4-FFF2-40B4-BE49-F238E27FC236}">
                  <a16:creationId xmlns:a16="http://schemas.microsoft.com/office/drawing/2014/main" id="{00000000-0008-0000-0700-00004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완료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8" Type="http://schemas.openxmlformats.org/officeDocument/2006/relationships/ctrlProp" Target="../ctrlProps/ctrlProp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6.5"/>
  <sheetData/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BA194"/>
  <sheetViews>
    <sheetView showGridLines="0" tabSelected="1" topLeftCell="B1" zoomScale="85" zoomScaleNormal="85" zoomScaleSheetLayoutView="55" workbookViewId="0">
      <pane ySplit="3" topLeftCell="A11" activePane="bottomLeft" state="frozen"/>
      <selection activeCell="E166" sqref="E166"/>
      <selection pane="bottomLeft" activeCell="H43" sqref="H43"/>
    </sheetView>
  </sheetViews>
  <sheetFormatPr defaultColWidth="8" defaultRowHeight="17.45" customHeight="1" outlineLevelRow="1" outlineLevelCol="1"/>
  <cols>
    <col min="1" max="1" width="10.25" style="838" hidden="1" customWidth="1"/>
    <col min="2" max="2" width="1.75" style="57" customWidth="1"/>
    <col min="3" max="3" width="11.625" style="57" customWidth="1"/>
    <col min="4" max="4" width="19.125" style="57" customWidth="1"/>
    <col min="5" max="5" width="10.625" style="238" bestFit="1" customWidth="1"/>
    <col min="6" max="6" width="11" style="238" bestFit="1" customWidth="1"/>
    <col min="7" max="7" width="10.25" style="238" bestFit="1" customWidth="1"/>
    <col min="8" max="8" width="11" style="238" bestFit="1" customWidth="1"/>
    <col min="9" max="9" width="10.375" style="238" hidden="1" customWidth="1" outlineLevel="1" collapsed="1"/>
    <col min="10" max="10" width="9.125" style="238" bestFit="1" customWidth="1" collapsed="1"/>
    <col min="11" max="11" width="9.25" style="238" bestFit="1" customWidth="1"/>
    <col min="12" max="12" width="9.25" style="239" bestFit="1" customWidth="1"/>
    <col min="13" max="16" width="9.125" style="239" hidden="1" customWidth="1" outlineLevel="1"/>
    <col min="17" max="17" width="9.875" style="239" hidden="1" customWidth="1" outlineLevel="1"/>
    <col min="18" max="18" width="9.875" style="239" bestFit="1" customWidth="1" collapsed="1"/>
    <col min="19" max="21" width="10" style="240" customWidth="1"/>
    <col min="22" max="22" width="9" style="241" customWidth="1"/>
    <col min="23" max="23" width="9.5" style="88" customWidth="1"/>
    <col min="24" max="25" width="8.375" style="242" customWidth="1"/>
    <col min="26" max="26" width="8.375" style="57" customWidth="1"/>
    <col min="27" max="27" width="8.375" style="243" customWidth="1"/>
    <col min="28" max="28" width="8.5" style="243" hidden="1" customWidth="1" outlineLevel="1"/>
    <col min="29" max="29" width="9" style="243" hidden="1" customWidth="1" outlineLevel="1"/>
    <col min="30" max="30" width="9.375" style="243" hidden="1" customWidth="1" outlineLevel="1"/>
    <col min="31" max="31" width="9.125" style="243" hidden="1" customWidth="1" outlineLevel="1"/>
    <col min="32" max="32" width="8.125" style="243" hidden="1" customWidth="1" outlineLevel="1"/>
    <col min="33" max="34" width="10.375" style="243" hidden="1" customWidth="1" outlineLevel="1"/>
    <col min="35" max="35" width="8.25" style="243" hidden="1" customWidth="1" outlineLevel="1"/>
    <col min="36" max="37" width="10.375" style="243" hidden="1" customWidth="1" outlineLevel="1"/>
    <col min="38" max="38" width="8.125" style="243" hidden="1" customWidth="1" outlineLevel="1"/>
    <col min="39" max="39" width="10.375" style="241" hidden="1" customWidth="1" outlineLevel="1"/>
    <col min="40" max="40" width="8.375" style="241" customWidth="1" collapsed="1"/>
    <col min="41" max="41" width="8.375" style="241" customWidth="1"/>
    <col min="42" max="43" width="8.375" style="88" customWidth="1"/>
    <col min="44" max="44" width="33" style="240" customWidth="1"/>
    <col min="45" max="45" width="3.625" style="57" customWidth="1"/>
    <col min="46" max="46" width="9.125" style="57" customWidth="1"/>
    <col min="47" max="48" width="8" style="57" customWidth="1"/>
    <col min="49" max="52" width="10.625" style="57" customWidth="1"/>
    <col min="53" max="54" width="8" style="57" customWidth="1"/>
    <col min="55" max="58" width="3.625" style="57" customWidth="1"/>
    <col min="59" max="16384" width="8" style="57"/>
  </cols>
  <sheetData>
    <row r="1" spans="1:53" ht="15" customHeight="1" thickBot="1"/>
    <row r="2" spans="1:53" ht="30" customHeight="1">
      <c r="C2" s="1123" t="s">
        <v>408</v>
      </c>
      <c r="D2" s="1124"/>
      <c r="E2" s="1124"/>
      <c r="F2" s="1124"/>
      <c r="G2" s="1124"/>
      <c r="H2" s="1124"/>
      <c r="I2" s="1124"/>
      <c r="J2" s="1124"/>
      <c r="K2" s="1124"/>
      <c r="L2" s="1124"/>
      <c r="M2" s="1124"/>
      <c r="N2" s="1124"/>
      <c r="O2" s="1124"/>
      <c r="P2" s="1124"/>
      <c r="Q2" s="1124"/>
      <c r="R2" s="1124"/>
      <c r="S2" s="1124"/>
      <c r="T2" s="1124"/>
      <c r="U2" s="1124"/>
      <c r="V2" s="1124"/>
      <c r="W2" s="1124"/>
      <c r="X2" s="1124"/>
      <c r="Y2" s="1124"/>
      <c r="Z2" s="1124"/>
      <c r="AA2" s="1124"/>
      <c r="AB2" s="1124"/>
      <c r="AC2" s="1124"/>
      <c r="AD2" s="1124"/>
      <c r="AE2" s="1124"/>
      <c r="AF2" s="1124"/>
      <c r="AG2" s="1124"/>
      <c r="AH2" s="1124"/>
      <c r="AI2" s="1124"/>
      <c r="AJ2" s="1124"/>
      <c r="AK2" s="1124"/>
      <c r="AL2" s="1124"/>
      <c r="AM2" s="1124"/>
      <c r="AN2" s="1124"/>
      <c r="AO2" s="1124"/>
      <c r="AP2" s="1124"/>
      <c r="AQ2" s="1124"/>
      <c r="AR2" s="1125"/>
    </row>
    <row r="3" spans="1:53" s="244" customFormat="1" ht="30" customHeight="1" thickBot="1">
      <c r="A3" s="839" t="s">
        <v>24</v>
      </c>
      <c r="C3" s="48" t="s">
        <v>0</v>
      </c>
      <c r="D3" s="49" t="s">
        <v>1</v>
      </c>
      <c r="E3" s="50" t="s">
        <v>136</v>
      </c>
      <c r="F3" s="50" t="s">
        <v>135</v>
      </c>
      <c r="G3" s="50" t="s">
        <v>133</v>
      </c>
      <c r="H3" s="50" t="s">
        <v>24</v>
      </c>
      <c r="I3" s="50" t="s">
        <v>134</v>
      </c>
      <c r="J3" s="51" t="s">
        <v>5</v>
      </c>
      <c r="K3" s="51" t="s">
        <v>757</v>
      </c>
      <c r="L3" s="52" t="s">
        <v>26</v>
      </c>
      <c r="M3" s="52" t="s">
        <v>34</v>
      </c>
      <c r="N3" s="52" t="s">
        <v>33</v>
      </c>
      <c r="O3" s="52" t="s">
        <v>32</v>
      </c>
      <c r="P3" s="52" t="s">
        <v>756</v>
      </c>
      <c r="Q3" s="52" t="s">
        <v>48</v>
      </c>
      <c r="R3" s="52" t="s">
        <v>211</v>
      </c>
      <c r="S3" s="53" t="s">
        <v>21</v>
      </c>
      <c r="T3" s="53" t="s">
        <v>22</v>
      </c>
      <c r="U3" s="53" t="s">
        <v>23</v>
      </c>
      <c r="V3" s="53" t="s">
        <v>8</v>
      </c>
      <c r="W3" s="49" t="s">
        <v>9</v>
      </c>
      <c r="X3" s="54" t="s">
        <v>10</v>
      </c>
      <c r="Y3" s="54" t="s">
        <v>11</v>
      </c>
      <c r="Z3" s="49" t="s">
        <v>12</v>
      </c>
      <c r="AA3" s="55" t="s">
        <v>13</v>
      </c>
      <c r="AB3" s="55" t="s">
        <v>39</v>
      </c>
      <c r="AC3" s="55" t="s">
        <v>47</v>
      </c>
      <c r="AD3" s="55" t="s">
        <v>40</v>
      </c>
      <c r="AE3" s="55" t="s">
        <v>49</v>
      </c>
      <c r="AF3" s="55" t="s">
        <v>41</v>
      </c>
      <c r="AG3" s="55" t="s">
        <v>42</v>
      </c>
      <c r="AH3" s="55" t="s">
        <v>43</v>
      </c>
      <c r="AI3" s="55" t="s">
        <v>50</v>
      </c>
      <c r="AJ3" s="55" t="s">
        <v>44</v>
      </c>
      <c r="AK3" s="55" t="s">
        <v>45</v>
      </c>
      <c r="AL3" s="55" t="s">
        <v>46</v>
      </c>
      <c r="AM3" s="53" t="s">
        <v>566</v>
      </c>
      <c r="AN3" s="210" t="s">
        <v>143</v>
      </c>
      <c r="AO3" s="210" t="s">
        <v>144</v>
      </c>
      <c r="AP3" s="49" t="s">
        <v>17</v>
      </c>
      <c r="AQ3" s="446" t="s">
        <v>229</v>
      </c>
      <c r="AR3" s="56" t="s">
        <v>14</v>
      </c>
      <c r="AW3" s="245"/>
      <c r="AX3" s="245"/>
      <c r="AY3" s="119" t="s">
        <v>69</v>
      </c>
      <c r="AZ3" s="119" t="s">
        <v>70</v>
      </c>
    </row>
    <row r="4" spans="1:53" ht="24.95" hidden="1" customHeight="1" thickBot="1">
      <c r="C4" s="246" t="s">
        <v>818</v>
      </c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8"/>
      <c r="AU4" s="239"/>
      <c r="AW4" s="120"/>
      <c r="AX4" s="120"/>
      <c r="AY4" s="121"/>
      <c r="AZ4" s="121"/>
    </row>
    <row r="5" spans="1:53" ht="24.75" hidden="1" customHeight="1" thickBot="1">
      <c r="C5" s="725" t="s">
        <v>182</v>
      </c>
      <c r="D5" s="724" t="s">
        <v>789</v>
      </c>
      <c r="E5" s="726">
        <v>45996</v>
      </c>
      <c r="F5" s="866">
        <v>46000.087500000001</v>
      </c>
      <c r="G5" s="866">
        <v>46000.125</v>
      </c>
      <c r="H5" s="866">
        <v>46000.663194444445</v>
      </c>
      <c r="I5" s="866">
        <v>46000.701388888891</v>
      </c>
      <c r="J5" s="727">
        <f>IFERROR(F5-E5," ")</f>
        <v>4.0875000000014552</v>
      </c>
      <c r="K5" s="728">
        <f>H5-G5</f>
        <v>0.53819444444525288</v>
      </c>
      <c r="L5" s="729">
        <v>17160</v>
      </c>
      <c r="M5" s="855"/>
      <c r="N5" s="855">
        <v>17180</v>
      </c>
      <c r="O5" s="855">
        <f>+M5+N5</f>
        <v>17180</v>
      </c>
      <c r="P5" s="855"/>
      <c r="Q5" s="856"/>
      <c r="R5" s="729" t="s">
        <v>278</v>
      </c>
      <c r="S5" s="722" t="s">
        <v>183</v>
      </c>
      <c r="T5" s="722" t="s">
        <v>354</v>
      </c>
      <c r="U5" s="722" t="s">
        <v>228</v>
      </c>
      <c r="V5" s="722" t="s">
        <v>181</v>
      </c>
      <c r="W5" s="722" t="s">
        <v>184</v>
      </c>
      <c r="X5" s="790">
        <v>75395</v>
      </c>
      <c r="Y5" s="735">
        <v>39643</v>
      </c>
      <c r="Z5" s="872">
        <v>224.95</v>
      </c>
      <c r="AA5" s="872">
        <v>13.84</v>
      </c>
      <c r="AB5" s="723"/>
      <c r="AC5" s="723"/>
      <c r="AD5" s="723"/>
      <c r="AE5" s="723"/>
      <c r="AF5" s="723"/>
      <c r="AG5" s="723"/>
      <c r="AH5" s="723"/>
      <c r="AI5" s="723"/>
      <c r="AJ5" s="723"/>
      <c r="AK5" s="723"/>
      <c r="AL5" s="723"/>
      <c r="AM5" s="722"/>
      <c r="AN5" s="722" t="s">
        <v>802</v>
      </c>
      <c r="AO5" s="722" t="s">
        <v>796</v>
      </c>
      <c r="AP5" s="724"/>
      <c r="AQ5" s="724"/>
      <c r="AR5" s="754"/>
      <c r="AT5" s="82" t="str">
        <f t="shared" ref="AT5:AT6" si="0">C5</f>
        <v>OCI SE</v>
      </c>
      <c r="AU5" s="311"/>
      <c r="AV5" s="82"/>
      <c r="AW5" s="218"/>
      <c r="AX5" s="218"/>
      <c r="AY5" s="219"/>
      <c r="AZ5" s="219"/>
      <c r="BA5" s="136"/>
    </row>
    <row r="6" spans="1:53" ht="24.75" hidden="1" customHeight="1">
      <c r="C6" s="725" t="s">
        <v>185</v>
      </c>
      <c r="D6" s="724" t="s">
        <v>787</v>
      </c>
      <c r="E6" s="726">
        <v>45997</v>
      </c>
      <c r="F6" s="866">
        <v>46000.804166666669</v>
      </c>
      <c r="G6" s="866">
        <v>46000.861111111109</v>
      </c>
      <c r="H6" s="866">
        <v>46003.5</v>
      </c>
      <c r="I6" s="866">
        <v>46003.586805555555</v>
      </c>
      <c r="J6" s="727">
        <f>IFERROR(F6-E6," ")</f>
        <v>3.8041666666686069</v>
      </c>
      <c r="K6" s="728">
        <f>H6-G6</f>
        <v>2.6388888888905058</v>
      </c>
      <c r="L6" s="729">
        <v>77000</v>
      </c>
      <c r="M6" s="855"/>
      <c r="N6" s="855">
        <v>77000</v>
      </c>
      <c r="O6" s="855">
        <f t="shared" ref="O6:O9" si="1">+M6+N6</f>
        <v>77000</v>
      </c>
      <c r="P6" s="855"/>
      <c r="Q6" s="856"/>
      <c r="R6" s="729" t="s">
        <v>278</v>
      </c>
      <c r="S6" s="722" t="s">
        <v>183</v>
      </c>
      <c r="T6" s="883" t="s">
        <v>766</v>
      </c>
      <c r="U6" s="883" t="s">
        <v>779</v>
      </c>
      <c r="V6" s="722" t="s">
        <v>181</v>
      </c>
      <c r="W6" s="722" t="s">
        <v>184</v>
      </c>
      <c r="X6" s="883">
        <v>79454</v>
      </c>
      <c r="Y6" s="883">
        <v>43498</v>
      </c>
      <c r="Z6" s="883">
        <v>229</v>
      </c>
      <c r="AA6" s="893">
        <v>14.62</v>
      </c>
      <c r="AB6" s="857"/>
      <c r="AC6" s="857"/>
      <c r="AD6" s="857"/>
      <c r="AE6" s="857"/>
      <c r="AF6" s="857"/>
      <c r="AG6" s="857"/>
      <c r="AH6" s="857"/>
      <c r="AI6" s="857"/>
      <c r="AJ6" s="857"/>
      <c r="AK6" s="857"/>
      <c r="AL6" s="857"/>
      <c r="AM6" s="868"/>
      <c r="AN6" s="883" t="s">
        <v>411</v>
      </c>
      <c r="AO6" s="883" t="s">
        <v>801</v>
      </c>
      <c r="AP6" s="724"/>
      <c r="AQ6" s="724"/>
      <c r="AR6" s="754"/>
      <c r="AT6" s="82" t="str">
        <f t="shared" si="0"/>
        <v>남동발전</v>
      </c>
      <c r="AU6" s="311">
        <f t="shared" ref="AU6" si="2">L6</f>
        <v>77000</v>
      </c>
      <c r="AV6" s="82"/>
      <c r="AW6" s="218">
        <f t="shared" ref="AW6:AX6" si="3">IF(M6=0,0,1)</f>
        <v>0</v>
      </c>
      <c r="AX6" s="218">
        <f t="shared" si="3"/>
        <v>1</v>
      </c>
      <c r="AY6" s="219">
        <f>IF(AW6+AX6=2,0.5,AW6)</f>
        <v>0</v>
      </c>
      <c r="AZ6" s="219">
        <f>IF(AW6+AX6=2,0.5,AX6)</f>
        <v>1</v>
      </c>
      <c r="BA6" s="136">
        <f>AY6+AZ6</f>
        <v>1</v>
      </c>
    </row>
    <row r="7" spans="1:53" ht="24.75" hidden="1" customHeight="1">
      <c r="C7" s="725" t="s">
        <v>194</v>
      </c>
      <c r="D7" s="724" t="s">
        <v>793</v>
      </c>
      <c r="E7" s="726">
        <v>46005.583333333336</v>
      </c>
      <c r="F7" s="866">
        <v>46012.709027777775</v>
      </c>
      <c r="G7" s="866">
        <v>46012.868055555555</v>
      </c>
      <c r="H7" s="866">
        <v>46016.388888888891</v>
      </c>
      <c r="I7" s="866">
        <v>46016.4375</v>
      </c>
      <c r="J7" s="727">
        <f>IFERROR(F7-E7," ")</f>
        <v>7.1256944444394321</v>
      </c>
      <c r="K7" s="728">
        <f>H7-G7</f>
        <v>3.5208333333357587</v>
      </c>
      <c r="L7" s="729">
        <v>72700</v>
      </c>
      <c r="M7" s="855"/>
      <c r="N7" s="855">
        <v>72706</v>
      </c>
      <c r="O7" s="855">
        <f t="shared" si="1"/>
        <v>72706</v>
      </c>
      <c r="P7" s="855"/>
      <c r="Q7" s="856"/>
      <c r="R7" s="729" t="s">
        <v>278</v>
      </c>
      <c r="S7" s="722" t="s">
        <v>183</v>
      </c>
      <c r="T7" s="722" t="s">
        <v>791</v>
      </c>
      <c r="U7" s="722" t="s">
        <v>228</v>
      </c>
      <c r="V7" s="722" t="s">
        <v>781</v>
      </c>
      <c r="W7" s="722" t="s">
        <v>184</v>
      </c>
      <c r="X7" s="883">
        <v>75804</v>
      </c>
      <c r="Y7" s="883">
        <v>38871</v>
      </c>
      <c r="Z7" s="883">
        <v>225</v>
      </c>
      <c r="AA7" s="893">
        <v>13.99</v>
      </c>
      <c r="AB7" s="723"/>
      <c r="AC7" s="723"/>
      <c r="AD7" s="723"/>
      <c r="AE7" s="723"/>
      <c r="AF7" s="723"/>
      <c r="AG7" s="723"/>
      <c r="AH7" s="723"/>
      <c r="AI7" s="723"/>
      <c r="AJ7" s="723"/>
      <c r="AK7" s="723"/>
      <c r="AL7" s="723"/>
      <c r="AM7" s="722"/>
      <c r="AN7" s="883" t="s">
        <v>797</v>
      </c>
      <c r="AO7" s="883" t="s">
        <v>798</v>
      </c>
      <c r="AP7" s="724"/>
      <c r="AQ7" s="724"/>
      <c r="AR7" s="754"/>
      <c r="AT7" s="82" t="str">
        <f>C7</f>
        <v>SGC에너지</v>
      </c>
      <c r="AU7" s="311"/>
      <c r="AV7" s="82"/>
      <c r="AW7" s="218"/>
      <c r="AX7" s="218"/>
      <c r="AY7" s="219"/>
      <c r="AZ7" s="219"/>
      <c r="BA7" s="136"/>
    </row>
    <row r="8" spans="1:53" ht="24.75" hidden="1" customHeight="1" thickBot="1">
      <c r="C8" s="725" t="s">
        <v>777</v>
      </c>
      <c r="D8" s="724" t="s">
        <v>805</v>
      </c>
      <c r="E8" s="726">
        <v>46006.120833333334</v>
      </c>
      <c r="F8" s="866">
        <v>46016.508333333331</v>
      </c>
      <c r="G8" s="866">
        <v>46016.565972222219</v>
      </c>
      <c r="H8" s="866">
        <v>46020.09375</v>
      </c>
      <c r="I8" s="866">
        <v>46020.138888888891</v>
      </c>
      <c r="J8" s="727">
        <f>IFERROR(F8-E8," ")</f>
        <v>10.38749999999709</v>
      </c>
      <c r="K8" s="728">
        <f>H8-G8</f>
        <v>3.5277777777810115</v>
      </c>
      <c r="L8" s="729">
        <v>55000</v>
      </c>
      <c r="M8" s="855"/>
      <c r="N8" s="855">
        <v>55003</v>
      </c>
      <c r="O8" s="855">
        <f t="shared" si="1"/>
        <v>55003</v>
      </c>
      <c r="P8" s="855"/>
      <c r="Q8" s="856"/>
      <c r="R8" s="729" t="s">
        <v>278</v>
      </c>
      <c r="S8" s="722" t="s">
        <v>475</v>
      </c>
      <c r="T8" s="722" t="s">
        <v>786</v>
      </c>
      <c r="U8" s="722" t="s">
        <v>810</v>
      </c>
      <c r="V8" s="722" t="s">
        <v>181</v>
      </c>
      <c r="W8" s="722" t="s">
        <v>184</v>
      </c>
      <c r="X8" s="790" t="s">
        <v>219</v>
      </c>
      <c r="Y8" s="790" t="s">
        <v>219</v>
      </c>
      <c r="Z8" s="790" t="s">
        <v>219</v>
      </c>
      <c r="AA8" s="886" t="s">
        <v>219</v>
      </c>
      <c r="AB8" s="723"/>
      <c r="AC8" s="723"/>
      <c r="AD8" s="723"/>
      <c r="AE8" s="723"/>
      <c r="AF8" s="723"/>
      <c r="AG8" s="723"/>
      <c r="AH8" s="723"/>
      <c r="AI8" s="723"/>
      <c r="AJ8" s="723"/>
      <c r="AK8" s="723"/>
      <c r="AL8" s="723"/>
      <c r="AM8" s="722"/>
      <c r="AN8" s="790" t="s">
        <v>219</v>
      </c>
      <c r="AO8" s="790" t="s">
        <v>219</v>
      </c>
      <c r="AP8" s="724"/>
      <c r="AQ8" s="724"/>
      <c r="AR8" s="754" t="s">
        <v>811</v>
      </c>
      <c r="AT8" s="82" t="str">
        <f>C8</f>
        <v>포스코</v>
      </c>
      <c r="AU8" s="311"/>
      <c r="AV8" s="82"/>
      <c r="AW8" s="218"/>
      <c r="AX8" s="218"/>
      <c r="AY8" s="219"/>
      <c r="AZ8" s="219"/>
      <c r="BA8" s="136"/>
    </row>
    <row r="9" spans="1:53" ht="24.75" hidden="1" customHeight="1">
      <c r="C9" s="725" t="s">
        <v>188</v>
      </c>
      <c r="D9" s="724" t="s">
        <v>788</v>
      </c>
      <c r="E9" s="726">
        <v>46008.712500000001</v>
      </c>
      <c r="F9" s="866">
        <v>46020.1875</v>
      </c>
      <c r="G9" s="866">
        <v>46020.243055555555</v>
      </c>
      <c r="H9" s="866">
        <v>46021.402777777781</v>
      </c>
      <c r="I9" s="866">
        <v>46021.458333333336</v>
      </c>
      <c r="J9" s="727">
        <f>IFERROR(F9-E9," ")</f>
        <v>11.474999999998545</v>
      </c>
      <c r="K9" s="728">
        <f>H9-G9</f>
        <v>1.1597222222262644</v>
      </c>
      <c r="L9" s="729">
        <v>20000</v>
      </c>
      <c r="M9" s="855"/>
      <c r="N9" s="855">
        <v>22000</v>
      </c>
      <c r="O9" s="855">
        <f t="shared" si="1"/>
        <v>22000</v>
      </c>
      <c r="P9" s="855"/>
      <c r="Q9" s="856"/>
      <c r="R9" s="729" t="s">
        <v>278</v>
      </c>
      <c r="S9" s="722" t="s">
        <v>183</v>
      </c>
      <c r="T9" s="722" t="s">
        <v>762</v>
      </c>
      <c r="U9" s="722" t="s">
        <v>792</v>
      </c>
      <c r="V9" s="722" t="s">
        <v>375</v>
      </c>
      <c r="W9" s="722" t="s">
        <v>193</v>
      </c>
      <c r="X9" s="790">
        <v>28282</v>
      </c>
      <c r="Y9" s="735">
        <v>17025</v>
      </c>
      <c r="Z9" s="872">
        <v>169.37</v>
      </c>
      <c r="AA9" s="872">
        <v>9.8190000000000008</v>
      </c>
      <c r="AB9" s="857"/>
      <c r="AC9" s="857"/>
      <c r="AD9" s="857"/>
      <c r="AE9" s="857"/>
      <c r="AF9" s="857"/>
      <c r="AG9" s="857"/>
      <c r="AH9" s="857"/>
      <c r="AI9" s="857"/>
      <c r="AJ9" s="857"/>
      <c r="AK9" s="857"/>
      <c r="AL9" s="857"/>
      <c r="AM9" s="868"/>
      <c r="AN9" s="722" t="s">
        <v>799</v>
      </c>
      <c r="AO9" s="722" t="s">
        <v>800</v>
      </c>
      <c r="AP9" s="724"/>
      <c r="AQ9" s="724"/>
      <c r="AR9" s="754"/>
      <c r="AT9" s="82" t="str">
        <f>C9</f>
        <v>SNNC</v>
      </c>
      <c r="AU9" s="311">
        <f>L9</f>
        <v>20000</v>
      </c>
      <c r="AV9" s="82"/>
      <c r="AW9" s="218">
        <f>IF(M9=0,0,1)</f>
        <v>0</v>
      </c>
      <c r="AX9" s="218">
        <f>IF(N9=0,0,1)</f>
        <v>1</v>
      </c>
      <c r="AY9" s="219">
        <f>IF(AW9+AX9=2,0.5,AW9)</f>
        <v>0</v>
      </c>
      <c r="AZ9" s="219">
        <f>IF(AW9+AX9=2,0.5,AX9)</f>
        <v>1</v>
      </c>
      <c r="BA9" s="136">
        <f>AY9+AZ9</f>
        <v>1</v>
      </c>
    </row>
    <row r="10" spans="1:53" s="82" customFormat="1" ht="14.25" hidden="1" thickBot="1">
      <c r="A10" s="840"/>
      <c r="C10" s="479"/>
      <c r="D10" s="480"/>
      <c r="E10" s="481"/>
      <c r="F10" s="481"/>
      <c r="G10" s="481"/>
      <c r="H10" s="481"/>
      <c r="I10" s="481"/>
      <c r="J10" s="482">
        <f>IFERROR(AVERAGE(J5:J9),0)</f>
        <v>7.3759722222210256</v>
      </c>
      <c r="K10" s="482">
        <f>IFERROR(AVERAGE(K5:K9),0)</f>
        <v>2.2770833333357587</v>
      </c>
      <c r="L10" s="483">
        <f>SUM(L5:L9)</f>
        <v>241860</v>
      </c>
      <c r="M10" s="484">
        <f>SUM(M5:M9)</f>
        <v>0</v>
      </c>
      <c r="N10" s="484">
        <f>SUM(N5:N9)</f>
        <v>243889</v>
      </c>
      <c r="O10" s="483">
        <f>SUM(O5:O9)</f>
        <v>243889</v>
      </c>
      <c r="P10" s="483"/>
      <c r="Q10" s="483"/>
      <c r="R10" s="485"/>
      <c r="S10" s="480"/>
      <c r="T10" s="480"/>
      <c r="U10" s="486"/>
      <c r="V10" s="487"/>
      <c r="W10" s="486"/>
      <c r="X10" s="488"/>
      <c r="Y10" s="488"/>
      <c r="Z10" s="489"/>
      <c r="AA10" s="490"/>
      <c r="AB10" s="490"/>
      <c r="AC10" s="490"/>
      <c r="AD10" s="490"/>
      <c r="AE10" s="490"/>
      <c r="AF10" s="490"/>
      <c r="AG10" s="490"/>
      <c r="AH10" s="490"/>
      <c r="AI10" s="490"/>
      <c r="AJ10" s="490"/>
      <c r="AK10" s="490"/>
      <c r="AL10" s="490"/>
      <c r="AM10" s="491"/>
      <c r="AN10" s="491"/>
      <c r="AO10" s="491"/>
      <c r="AP10" s="487"/>
      <c r="AQ10" s="487"/>
      <c r="AR10" s="492"/>
      <c r="AT10" s="82">
        <f t="shared" ref="AT10:AT51" si="4">C10</f>
        <v>0</v>
      </c>
      <c r="AU10" s="311">
        <f t="shared" ref="AU10:AU19" si="5">L10</f>
        <v>241860</v>
      </c>
      <c r="AW10" s="218">
        <f t="shared" ref="AW10:AX28" si="6">IF(M10=0,0,1)</f>
        <v>0</v>
      </c>
      <c r="AX10" s="218">
        <f t="shared" si="6"/>
        <v>1</v>
      </c>
      <c r="AY10" s="219">
        <f t="shared" ref="AY10:AY72" si="7">IF(AW10+AX10=2,0.5,AW10)</f>
        <v>0</v>
      </c>
      <c r="AZ10" s="219">
        <f t="shared" ref="AZ10:AZ72" si="8">IF(AW10+AX10=2,0.5,AX10)</f>
        <v>1</v>
      </c>
      <c r="BA10" s="136">
        <f t="shared" ref="BA10:BA72" si="9">AY10+AZ10</f>
        <v>1</v>
      </c>
    </row>
    <row r="11" spans="1:53" s="82" customFormat="1" ht="24.95" hidden="1" customHeight="1" outlineLevel="1" thickBot="1">
      <c r="A11" s="840"/>
      <c r="C11" s="644" t="s">
        <v>819</v>
      </c>
      <c r="D11" s="645"/>
      <c r="E11" s="645"/>
      <c r="F11" s="645"/>
      <c r="G11" s="645"/>
      <c r="H11" s="645"/>
      <c r="I11" s="645"/>
      <c r="J11" s="645"/>
      <c r="K11" s="645"/>
      <c r="L11" s="645"/>
      <c r="M11" s="645"/>
      <c r="N11" s="645"/>
      <c r="O11" s="645"/>
      <c r="P11" s="645"/>
      <c r="Q11" s="645"/>
      <c r="R11" s="645"/>
      <c r="S11" s="645"/>
      <c r="T11" s="645"/>
      <c r="U11" s="646"/>
      <c r="V11" s="645"/>
      <c r="W11" s="645"/>
      <c r="X11" s="645"/>
      <c r="Y11" s="645"/>
      <c r="Z11" s="647"/>
      <c r="AA11" s="645"/>
      <c r="AB11" s="645"/>
      <c r="AC11" s="645"/>
      <c r="AD11" s="645"/>
      <c r="AE11" s="645"/>
      <c r="AF11" s="645"/>
      <c r="AG11" s="645"/>
      <c r="AH11" s="645"/>
      <c r="AI11" s="645"/>
      <c r="AJ11" s="645"/>
      <c r="AK11" s="645"/>
      <c r="AL11" s="645"/>
      <c r="AM11" s="645"/>
      <c r="AN11" s="645"/>
      <c r="AO11" s="645"/>
      <c r="AP11" s="645"/>
      <c r="AQ11" s="645"/>
      <c r="AR11" s="648"/>
      <c r="AT11" s="82" t="str">
        <f t="shared" si="4"/>
        <v>2026년 1월 반입 선박리스트</v>
      </c>
      <c r="AU11" s="311">
        <f t="shared" si="5"/>
        <v>0</v>
      </c>
      <c r="AW11" s="218">
        <f t="shared" si="6"/>
        <v>0</v>
      </c>
      <c r="AX11" s="218">
        <f t="shared" si="6"/>
        <v>0</v>
      </c>
      <c r="AY11" s="219">
        <f t="shared" si="7"/>
        <v>0</v>
      </c>
      <c r="AZ11" s="219">
        <f t="shared" si="8"/>
        <v>0</v>
      </c>
      <c r="BA11" s="136">
        <f t="shared" si="9"/>
        <v>0</v>
      </c>
    </row>
    <row r="12" spans="1:53" s="82" customFormat="1" ht="13.5" hidden="1" outlineLevel="1">
      <c r="A12" s="840"/>
      <c r="C12" s="1126" t="s">
        <v>777</v>
      </c>
      <c r="D12" s="1128" t="s">
        <v>804</v>
      </c>
      <c r="E12" s="1130">
        <v>46016.275000000001</v>
      </c>
      <c r="F12" s="1130">
        <v>46026.333333333336</v>
      </c>
      <c r="G12" s="1130">
        <v>46026.534722222219</v>
      </c>
      <c r="H12" s="1130">
        <v>46029.822916666664</v>
      </c>
      <c r="I12" s="1130">
        <v>46029.875</v>
      </c>
      <c r="J12" s="1132">
        <f>+F12-E12</f>
        <v>10.058333333334303</v>
      </c>
      <c r="K12" s="1134">
        <f>+H12-G12</f>
        <v>3.2881944444452529</v>
      </c>
      <c r="L12" s="729">
        <v>47250</v>
      </c>
      <c r="M12" s="730"/>
      <c r="N12" s="1135">
        <v>75355</v>
      </c>
      <c r="O12" s="1135">
        <f>+M12+N12</f>
        <v>75355</v>
      </c>
      <c r="P12" s="730"/>
      <c r="Q12" s="731"/>
      <c r="R12" s="1117" t="s">
        <v>122</v>
      </c>
      <c r="S12" s="1113" t="s">
        <v>448</v>
      </c>
      <c r="T12" s="722" t="s">
        <v>812</v>
      </c>
      <c r="U12" s="1113" t="s">
        <v>815</v>
      </c>
      <c r="V12" s="1113" t="s">
        <v>375</v>
      </c>
      <c r="W12" s="1113" t="s">
        <v>184</v>
      </c>
      <c r="X12" s="1117">
        <v>81272.399999999994</v>
      </c>
      <c r="Y12" s="1117">
        <v>43301</v>
      </c>
      <c r="Z12" s="1118">
        <v>229</v>
      </c>
      <c r="AA12" s="1120">
        <v>14.45</v>
      </c>
      <c r="AB12" s="736"/>
      <c r="AC12" s="736"/>
      <c r="AD12" s="737"/>
      <c r="AE12" s="734"/>
      <c r="AF12" s="738"/>
      <c r="AG12" s="733"/>
      <c r="AH12" s="733"/>
      <c r="AI12" s="733"/>
      <c r="AJ12" s="733"/>
      <c r="AK12" s="733"/>
      <c r="AL12" s="733"/>
      <c r="AM12" s="722"/>
      <c r="AN12" s="1113" t="s">
        <v>817</v>
      </c>
      <c r="AO12" s="1113" t="s">
        <v>816</v>
      </c>
      <c r="AP12" s="732" t="s">
        <v>850</v>
      </c>
      <c r="AQ12" s="732"/>
      <c r="AR12" s="1115" t="s">
        <v>849</v>
      </c>
      <c r="AT12" s="82" t="str">
        <f t="shared" si="4"/>
        <v>포스코</v>
      </c>
      <c r="AU12" s="311">
        <f t="shared" si="5"/>
        <v>47250</v>
      </c>
      <c r="AW12" s="218"/>
      <c r="AX12" s="218"/>
      <c r="AY12" s="219"/>
      <c r="AZ12" s="219"/>
      <c r="BA12" s="136"/>
    </row>
    <row r="13" spans="1:53" s="82" customFormat="1" ht="13.5" hidden="1" outlineLevel="1">
      <c r="A13" s="840"/>
      <c r="C13" s="1127"/>
      <c r="D13" s="1129"/>
      <c r="E13" s="1131"/>
      <c r="F13" s="1131"/>
      <c r="G13" s="1131"/>
      <c r="H13" s="1131"/>
      <c r="I13" s="1131"/>
      <c r="J13" s="1133"/>
      <c r="K13" s="1122"/>
      <c r="L13" s="729">
        <v>28562</v>
      </c>
      <c r="M13" s="730"/>
      <c r="N13" s="1136"/>
      <c r="O13" s="1136"/>
      <c r="P13" s="730"/>
      <c r="Q13" s="731"/>
      <c r="R13" s="1096"/>
      <c r="S13" s="1114"/>
      <c r="T13" s="867" t="s">
        <v>813</v>
      </c>
      <c r="U13" s="1114"/>
      <c r="V13" s="1114"/>
      <c r="W13" s="1114"/>
      <c r="X13" s="1096"/>
      <c r="Y13" s="1096"/>
      <c r="Z13" s="1119"/>
      <c r="AA13" s="1121"/>
      <c r="AB13" s="736"/>
      <c r="AC13" s="736"/>
      <c r="AD13" s="737"/>
      <c r="AE13" s="734"/>
      <c r="AF13" s="738"/>
      <c r="AG13" s="733"/>
      <c r="AH13" s="733"/>
      <c r="AI13" s="733"/>
      <c r="AJ13" s="733"/>
      <c r="AK13" s="733"/>
      <c r="AL13" s="733"/>
      <c r="AM13" s="722"/>
      <c r="AN13" s="1114"/>
      <c r="AO13" s="1114"/>
      <c r="AP13" s="732" t="s">
        <v>851</v>
      </c>
      <c r="AQ13" s="732"/>
      <c r="AR13" s="1116"/>
      <c r="AT13" s="82">
        <f t="shared" si="4"/>
        <v>0</v>
      </c>
      <c r="AU13" s="311">
        <f t="shared" si="5"/>
        <v>28562</v>
      </c>
      <c r="AW13" s="218"/>
      <c r="AX13" s="218"/>
      <c r="AY13" s="219"/>
      <c r="AZ13" s="219"/>
      <c r="BA13" s="136"/>
    </row>
    <row r="14" spans="1:53" s="102" customFormat="1" ht="24.95" hidden="1" customHeight="1" outlineLevel="1">
      <c r="A14" s="841"/>
      <c r="C14" s="725" t="s">
        <v>188</v>
      </c>
      <c r="D14" s="976" t="s">
        <v>790</v>
      </c>
      <c r="E14" s="726">
        <v>46019.666666666664</v>
      </c>
      <c r="F14" s="726">
        <v>46030.0625</v>
      </c>
      <c r="G14" s="726">
        <v>46030.163194444445</v>
      </c>
      <c r="H14" s="726">
        <v>46032.173611111109</v>
      </c>
      <c r="I14" s="726">
        <v>46032.25</v>
      </c>
      <c r="J14" s="727">
        <f>+F14-E14</f>
        <v>10.395833333335759</v>
      </c>
      <c r="K14" s="728">
        <f>+H14-G14</f>
        <v>2.0104166666642413</v>
      </c>
      <c r="L14" s="977">
        <v>46000</v>
      </c>
      <c r="M14" s="730"/>
      <c r="N14" s="730">
        <v>46000</v>
      </c>
      <c r="O14" s="730">
        <f>+M14+N14</f>
        <v>46000</v>
      </c>
      <c r="P14" s="730"/>
      <c r="Q14" s="731"/>
      <c r="R14" s="729" t="s">
        <v>122</v>
      </c>
      <c r="S14" s="722" t="s">
        <v>189</v>
      </c>
      <c r="T14" s="867" t="s">
        <v>762</v>
      </c>
      <c r="U14" s="722" t="s">
        <v>190</v>
      </c>
      <c r="V14" s="732" t="s">
        <v>181</v>
      </c>
      <c r="W14" s="722" t="s">
        <v>782</v>
      </c>
      <c r="X14" s="790">
        <v>63494</v>
      </c>
      <c r="Y14" s="735">
        <v>36449</v>
      </c>
      <c r="Z14" s="872">
        <v>199.9</v>
      </c>
      <c r="AA14" s="872">
        <v>18.5</v>
      </c>
      <c r="AB14" s="736"/>
      <c r="AC14" s="736"/>
      <c r="AD14" s="737"/>
      <c r="AE14" s="734"/>
      <c r="AF14" s="738"/>
      <c r="AG14" s="733"/>
      <c r="AH14" s="733"/>
      <c r="AI14" s="733"/>
      <c r="AJ14" s="733"/>
      <c r="AK14" s="733"/>
      <c r="AL14" s="733"/>
      <c r="AM14" s="722"/>
      <c r="AN14" s="722" t="s">
        <v>794</v>
      </c>
      <c r="AO14" s="722" t="s">
        <v>795</v>
      </c>
      <c r="AP14" s="724"/>
      <c r="AQ14" s="724"/>
      <c r="AR14" s="754"/>
      <c r="AT14" s="82" t="str">
        <f t="shared" si="4"/>
        <v>SNNC</v>
      </c>
      <c r="AU14" s="311">
        <f t="shared" si="5"/>
        <v>46000</v>
      </c>
      <c r="AV14" s="82"/>
      <c r="AW14" s="218">
        <f t="shared" ref="AW14:AX14" si="10">IF(M14=0,0,1)</f>
        <v>0</v>
      </c>
      <c r="AX14" s="218">
        <f t="shared" si="10"/>
        <v>1</v>
      </c>
      <c r="AY14" s="219">
        <f t="shared" ref="AY14" si="11">IF(AW14+AX14=2,0.5,AW14)</f>
        <v>0</v>
      </c>
      <c r="AZ14" s="219">
        <f t="shared" ref="AZ14" si="12">IF(AW14+AX14=2,0.5,AX14)</f>
        <v>1</v>
      </c>
      <c r="BA14" s="136">
        <f t="shared" ref="BA14" si="13">AY14+AZ14</f>
        <v>1</v>
      </c>
    </row>
    <row r="15" spans="1:53" s="895" customFormat="1" ht="24.95" hidden="1" customHeight="1" outlineLevel="1">
      <c r="A15" s="894"/>
      <c r="C15" s="725" t="s">
        <v>185</v>
      </c>
      <c r="D15" s="724" t="s">
        <v>809</v>
      </c>
      <c r="E15" s="726">
        <v>46034.125</v>
      </c>
      <c r="F15" s="980">
        <v>46049.241666666669</v>
      </c>
      <c r="G15" s="980">
        <v>46049.611111111109</v>
      </c>
      <c r="H15" s="980">
        <v>46052.090277777781</v>
      </c>
      <c r="I15" s="980">
        <v>46052.166666666664</v>
      </c>
      <c r="J15" s="727">
        <f>+F15-E15</f>
        <v>15.116666666668607</v>
      </c>
      <c r="K15" s="728">
        <f>+H15-G15</f>
        <v>2.4791666666715173</v>
      </c>
      <c r="L15" s="981">
        <v>67000</v>
      </c>
      <c r="M15" s="981"/>
      <c r="N15" s="982">
        <v>67000</v>
      </c>
      <c r="O15" s="730">
        <f>+M15+N15</f>
        <v>67000</v>
      </c>
      <c r="P15" s="982"/>
      <c r="Q15" s="983"/>
      <c r="R15" s="729" t="s">
        <v>122</v>
      </c>
      <c r="S15" s="984" t="s">
        <v>183</v>
      </c>
      <c r="T15" s="985" t="s">
        <v>458</v>
      </c>
      <c r="U15" s="985" t="s">
        <v>183</v>
      </c>
      <c r="V15" s="985" t="s">
        <v>833</v>
      </c>
      <c r="W15" s="985" t="s">
        <v>184</v>
      </c>
      <c r="X15" s="790">
        <v>81704.600000000006</v>
      </c>
      <c r="Y15" s="985" t="s">
        <v>219</v>
      </c>
      <c r="Z15" s="985">
        <v>229</v>
      </c>
      <c r="AA15" s="985">
        <v>14.7</v>
      </c>
      <c r="AB15" s="986"/>
      <c r="AC15" s="986"/>
      <c r="AD15" s="987"/>
      <c r="AE15" s="988"/>
      <c r="AF15" s="989"/>
      <c r="AG15" s="990"/>
      <c r="AH15" s="990"/>
      <c r="AI15" s="990"/>
      <c r="AJ15" s="990"/>
      <c r="AK15" s="990"/>
      <c r="AL15" s="990"/>
      <c r="AM15" s="991"/>
      <c r="AN15" s="985" t="s">
        <v>814</v>
      </c>
      <c r="AO15" s="790" t="s">
        <v>215</v>
      </c>
      <c r="AP15" s="992" t="s">
        <v>880</v>
      </c>
      <c r="AQ15" s="993"/>
      <c r="AR15" s="754"/>
      <c r="AT15" s="82" t="str">
        <f t="shared" si="4"/>
        <v>남동발전</v>
      </c>
      <c r="AU15" s="311">
        <f t="shared" si="5"/>
        <v>67000</v>
      </c>
      <c r="AV15" s="914"/>
      <c r="AW15" s="916"/>
      <c r="AX15" s="916"/>
      <c r="AY15" s="917"/>
      <c r="AZ15" s="917"/>
      <c r="BA15" s="918"/>
    </row>
    <row r="16" spans="1:53" s="895" customFormat="1" ht="24.95" hidden="1" customHeight="1" outlineLevel="1" collapsed="1">
      <c r="A16" s="894"/>
      <c r="C16" s="896"/>
      <c r="D16" s="897"/>
      <c r="E16" s="898"/>
      <c r="F16" s="899"/>
      <c r="G16" s="899"/>
      <c r="H16" s="899"/>
      <c r="I16" s="899"/>
      <c r="J16" s="900"/>
      <c r="K16" s="901"/>
      <c r="L16" s="902"/>
      <c r="M16" s="902"/>
      <c r="N16" s="903"/>
      <c r="O16" s="67">
        <f t="shared" ref="O16" si="14">+M16+N16</f>
        <v>0</v>
      </c>
      <c r="P16" s="904"/>
      <c r="Q16" s="905"/>
      <c r="R16" s="407"/>
      <c r="S16" s="906"/>
      <c r="T16" s="907"/>
      <c r="U16" s="907"/>
      <c r="V16" s="907"/>
      <c r="W16" s="919"/>
      <c r="X16" s="920"/>
      <c r="Y16" s="921"/>
      <c r="Z16" s="892"/>
      <c r="AA16" s="892"/>
      <c r="AB16" s="908"/>
      <c r="AC16" s="908"/>
      <c r="AD16" s="909"/>
      <c r="AE16" s="910"/>
      <c r="AF16" s="911"/>
      <c r="AG16" s="912"/>
      <c r="AH16" s="912"/>
      <c r="AI16" s="912"/>
      <c r="AJ16" s="912"/>
      <c r="AK16" s="912"/>
      <c r="AL16" s="912"/>
      <c r="AM16" s="913"/>
      <c r="AN16" s="888"/>
      <c r="AO16" s="888"/>
      <c r="AP16" s="400"/>
      <c r="AQ16" s="897"/>
      <c r="AR16" s="401"/>
      <c r="AT16" s="82">
        <f t="shared" si="4"/>
        <v>0</v>
      </c>
      <c r="AU16" s="311">
        <f t="shared" si="5"/>
        <v>0</v>
      </c>
      <c r="AV16" s="914"/>
      <c r="AW16" s="916"/>
      <c r="AX16" s="916"/>
      <c r="AY16" s="917"/>
      <c r="AZ16" s="917"/>
      <c r="BA16" s="918"/>
    </row>
    <row r="17" spans="1:53" s="82" customFormat="1" ht="24.95" hidden="1" customHeight="1" outlineLevel="1" thickBot="1">
      <c r="A17" s="840"/>
      <c r="C17" s="90"/>
      <c r="D17" s="91"/>
      <c r="E17" s="92"/>
      <c r="F17" s="92"/>
      <c r="G17" s="92"/>
      <c r="H17" s="92"/>
      <c r="I17" s="92"/>
      <c r="J17" s="643">
        <f>IFERROR(AVERAGE(J12:J16),0)</f>
        <v>11.856944444446222</v>
      </c>
      <c r="K17" s="643">
        <f>IFERROR(AVERAGE(K12:K16),0)</f>
        <v>2.5925925925936704</v>
      </c>
      <c r="L17" s="95">
        <f>SUM(L12:L16)</f>
        <v>188812</v>
      </c>
      <c r="M17" s="95">
        <f>SUM(M12:M16)</f>
        <v>0</v>
      </c>
      <c r="N17" s="95">
        <f>SUM(N12:N16)</f>
        <v>188355</v>
      </c>
      <c r="O17" s="95">
        <f>SUM(O12:O16)</f>
        <v>188355</v>
      </c>
      <c r="P17" s="93"/>
      <c r="Q17" s="95"/>
      <c r="R17" s="95"/>
      <c r="S17" s="91"/>
      <c r="T17" s="91"/>
      <c r="U17" s="97"/>
      <c r="V17" s="96"/>
      <c r="W17" s="97"/>
      <c r="X17" s="98"/>
      <c r="Y17" s="98"/>
      <c r="Z17" s="207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100"/>
      <c r="AN17" s="100"/>
      <c r="AO17" s="100"/>
      <c r="AP17" s="96"/>
      <c r="AQ17" s="96"/>
      <c r="AR17" s="107"/>
      <c r="AT17" s="82">
        <f t="shared" si="4"/>
        <v>0</v>
      </c>
      <c r="AU17" s="311">
        <f t="shared" si="5"/>
        <v>188812</v>
      </c>
      <c r="AW17" s="218">
        <f t="shared" si="6"/>
        <v>0</v>
      </c>
      <c r="AX17" s="218">
        <f t="shared" si="6"/>
        <v>1</v>
      </c>
      <c r="AY17" s="219">
        <f t="shared" si="7"/>
        <v>0</v>
      </c>
      <c r="AZ17" s="219">
        <f t="shared" si="8"/>
        <v>1</v>
      </c>
      <c r="BA17" s="136">
        <f t="shared" si="9"/>
        <v>1</v>
      </c>
    </row>
    <row r="18" spans="1:53" s="82" customFormat="1" ht="24.95" hidden="1" customHeight="1" outlineLevel="1" collapsed="1" thickBot="1">
      <c r="A18" s="840"/>
      <c r="C18" s="644" t="s">
        <v>820</v>
      </c>
      <c r="D18" s="645"/>
      <c r="E18" s="645"/>
      <c r="F18" s="645"/>
      <c r="G18" s="645"/>
      <c r="H18" s="645"/>
      <c r="I18" s="645"/>
      <c r="J18" s="645"/>
      <c r="K18" s="645"/>
      <c r="L18" s="645"/>
      <c r="M18" s="696"/>
      <c r="N18" s="696"/>
      <c r="O18" s="697"/>
      <c r="P18" s="696"/>
      <c r="Q18" s="645"/>
      <c r="R18" s="645"/>
      <c r="S18" s="645"/>
      <c r="T18" s="645"/>
      <c r="U18" s="646"/>
      <c r="V18" s="645"/>
      <c r="W18" s="645"/>
      <c r="X18" s="645"/>
      <c r="Y18" s="645"/>
      <c r="Z18" s="647"/>
      <c r="AA18" s="645"/>
      <c r="AB18" s="645"/>
      <c r="AC18" s="645"/>
      <c r="AD18" s="645"/>
      <c r="AE18" s="645"/>
      <c r="AF18" s="645"/>
      <c r="AG18" s="645"/>
      <c r="AH18" s="645"/>
      <c r="AI18" s="645"/>
      <c r="AJ18" s="645"/>
      <c r="AK18" s="645"/>
      <c r="AL18" s="645"/>
      <c r="AM18" s="645"/>
      <c r="AN18" s="645"/>
      <c r="AO18" s="645"/>
      <c r="AP18" s="645"/>
      <c r="AQ18" s="645"/>
      <c r="AR18" s="648"/>
      <c r="AT18" s="82" t="str">
        <f t="shared" si="4"/>
        <v>2026년 2월 반입 선박리스트</v>
      </c>
      <c r="AU18" s="311">
        <f t="shared" si="5"/>
        <v>0</v>
      </c>
      <c r="AW18" s="218">
        <f t="shared" si="6"/>
        <v>0</v>
      </c>
      <c r="AX18" s="218">
        <f t="shared" si="6"/>
        <v>0</v>
      </c>
      <c r="AY18" s="219">
        <f t="shared" si="7"/>
        <v>0</v>
      </c>
      <c r="AZ18" s="219">
        <f t="shared" si="8"/>
        <v>0</v>
      </c>
      <c r="BA18" s="136">
        <f t="shared" si="9"/>
        <v>0</v>
      </c>
    </row>
    <row r="19" spans="1:53" s="102" customFormat="1" ht="24.95" hidden="1" customHeight="1" outlineLevel="1">
      <c r="A19" s="841"/>
      <c r="C19" s="725" t="s">
        <v>187</v>
      </c>
      <c r="D19" s="976" t="s">
        <v>806</v>
      </c>
      <c r="E19" s="726">
        <v>46035.826388888891</v>
      </c>
      <c r="F19" s="726">
        <v>46052.25</v>
      </c>
      <c r="G19" s="726">
        <v>46052.350694444445</v>
      </c>
      <c r="H19" s="726">
        <v>46055.486111111109</v>
      </c>
      <c r="I19" s="726">
        <v>46055.534722222219</v>
      </c>
      <c r="J19" s="727">
        <f>+F19-E19</f>
        <v>16.423611111109494</v>
      </c>
      <c r="K19" s="728">
        <f>+H19-G19</f>
        <v>3.1354166666642413</v>
      </c>
      <c r="L19" s="977">
        <v>73000</v>
      </c>
      <c r="M19" s="730"/>
      <c r="N19" s="730">
        <v>73727</v>
      </c>
      <c r="O19" s="730">
        <f>+M19+N19</f>
        <v>73727</v>
      </c>
      <c r="P19" s="730"/>
      <c r="Q19" s="731"/>
      <c r="R19" s="729" t="s">
        <v>122</v>
      </c>
      <c r="S19" s="722" t="s">
        <v>183</v>
      </c>
      <c r="T19" s="867" t="s">
        <v>354</v>
      </c>
      <c r="U19" s="722" t="s">
        <v>228</v>
      </c>
      <c r="V19" s="732" t="s">
        <v>436</v>
      </c>
      <c r="W19" s="722" t="s">
        <v>184</v>
      </c>
      <c r="X19" s="790">
        <v>76212</v>
      </c>
      <c r="Y19" s="735">
        <v>42114</v>
      </c>
      <c r="Z19" s="872">
        <v>225</v>
      </c>
      <c r="AA19" s="872">
        <v>14.2</v>
      </c>
      <c r="AB19" s="736"/>
      <c r="AC19" s="736"/>
      <c r="AD19" s="737"/>
      <c r="AE19" s="734"/>
      <c r="AF19" s="738"/>
      <c r="AG19" s="733"/>
      <c r="AH19" s="733"/>
      <c r="AI19" s="733"/>
      <c r="AJ19" s="733"/>
      <c r="AK19" s="733"/>
      <c r="AL19" s="733"/>
      <c r="AM19" s="722"/>
      <c r="AN19" s="722" t="s">
        <v>807</v>
      </c>
      <c r="AO19" s="722" t="s">
        <v>808</v>
      </c>
      <c r="AP19" s="992"/>
      <c r="AQ19" s="724"/>
      <c r="AR19" s="754"/>
      <c r="AT19" s="82" t="str">
        <f t="shared" si="4"/>
        <v>한화에너지</v>
      </c>
      <c r="AU19" s="311">
        <f t="shared" si="5"/>
        <v>73000</v>
      </c>
      <c r="AV19" s="82"/>
      <c r="AW19" s="218">
        <f t="shared" si="6"/>
        <v>0</v>
      </c>
      <c r="AX19" s="218">
        <f t="shared" si="6"/>
        <v>1</v>
      </c>
      <c r="AY19" s="219">
        <f t="shared" si="7"/>
        <v>0</v>
      </c>
      <c r="AZ19" s="219">
        <f t="shared" si="8"/>
        <v>1</v>
      </c>
      <c r="BA19" s="136">
        <f t="shared" si="9"/>
        <v>1</v>
      </c>
    </row>
    <row r="20" spans="1:53" s="102" customFormat="1" ht="24.95" hidden="1" customHeight="1" outlineLevel="1">
      <c r="A20" s="841"/>
      <c r="C20" s="725" t="s">
        <v>185</v>
      </c>
      <c r="D20" s="724" t="s">
        <v>567</v>
      </c>
      <c r="E20" s="726">
        <v>46061.411805555559</v>
      </c>
      <c r="F20" s="726">
        <v>46061.5</v>
      </c>
      <c r="G20" s="726">
        <v>46061.673611111109</v>
      </c>
      <c r="H20" s="726">
        <v>46063.840277777781</v>
      </c>
      <c r="I20" s="726">
        <v>46063.868055555555</v>
      </c>
      <c r="J20" s="727">
        <f>+F20-E20</f>
        <v>8.819444444088731E-2</v>
      </c>
      <c r="K20" s="728">
        <f>+H20-G20</f>
        <v>2.1666666666715173</v>
      </c>
      <c r="L20" s="729">
        <v>40000</v>
      </c>
      <c r="M20" s="730"/>
      <c r="N20" s="730">
        <v>40000</v>
      </c>
      <c r="O20" s="730">
        <f t="shared" ref="O20:O24" si="15">+M20+N20</f>
        <v>40000</v>
      </c>
      <c r="P20" s="730"/>
      <c r="Q20" s="731"/>
      <c r="R20" s="729" t="s">
        <v>122</v>
      </c>
      <c r="S20" s="729" t="s">
        <v>183</v>
      </c>
      <c r="T20" s="867" t="s">
        <v>354</v>
      </c>
      <c r="U20" s="722" t="s">
        <v>228</v>
      </c>
      <c r="V20" s="732" t="s">
        <v>186</v>
      </c>
      <c r="W20" s="722" t="s">
        <v>858</v>
      </c>
      <c r="X20" s="790">
        <v>82121</v>
      </c>
      <c r="Y20" s="735">
        <v>43956</v>
      </c>
      <c r="Z20" s="872">
        <v>229</v>
      </c>
      <c r="AA20" s="872">
        <v>14.45</v>
      </c>
      <c r="AB20" s="736"/>
      <c r="AC20" s="736"/>
      <c r="AD20" s="737"/>
      <c r="AE20" s="734"/>
      <c r="AF20" s="738"/>
      <c r="AG20" s="733"/>
      <c r="AH20" s="733"/>
      <c r="AI20" s="733"/>
      <c r="AJ20" s="733"/>
      <c r="AK20" s="733"/>
      <c r="AL20" s="733"/>
      <c r="AM20" s="722"/>
      <c r="AN20" s="722" t="s">
        <v>913</v>
      </c>
      <c r="AO20" s="722" t="s">
        <v>914</v>
      </c>
      <c r="AP20" s="724"/>
      <c r="AQ20" s="724"/>
      <c r="AR20" s="754" t="s">
        <v>889</v>
      </c>
      <c r="AT20" s="82" t="str">
        <f>C20</f>
        <v>남동발전</v>
      </c>
      <c r="AU20" s="311">
        <f>L20</f>
        <v>40000</v>
      </c>
      <c r="AV20" s="82"/>
      <c r="AW20" s="218">
        <f>IF(M20=0,0,1)</f>
        <v>0</v>
      </c>
      <c r="AX20" s="218">
        <f>IF(N20=0,0,1)</f>
        <v>1</v>
      </c>
      <c r="AY20" s="219">
        <f>IF(AW20+AX20=2,0.5,AW20)</f>
        <v>0</v>
      </c>
      <c r="AZ20" s="219">
        <f>IF(AW20+AX20=2,0.5,AX20)</f>
        <v>1</v>
      </c>
      <c r="BA20" s="136">
        <f>AY20+AZ20</f>
        <v>1</v>
      </c>
    </row>
    <row r="21" spans="1:53" s="102" customFormat="1" ht="24.95" hidden="1" customHeight="1" outlineLevel="1">
      <c r="A21" s="841"/>
      <c r="C21" s="725" t="s">
        <v>777</v>
      </c>
      <c r="D21" s="724" t="s">
        <v>897</v>
      </c>
      <c r="E21" s="726">
        <v>46065.42083333333</v>
      </c>
      <c r="F21" s="726">
        <v>46065.45</v>
      </c>
      <c r="G21" s="726">
        <v>46065.829861111109</v>
      </c>
      <c r="H21" s="726">
        <v>46067.333333333336</v>
      </c>
      <c r="I21" s="726">
        <v>46067.395833333336</v>
      </c>
      <c r="J21" s="727">
        <f t="shared" ref="J21:J26" si="16">+F21-E21</f>
        <v>2.9166666667151731E-2</v>
      </c>
      <c r="K21" s="728">
        <f t="shared" ref="K21:K26" si="17">+H21-G21</f>
        <v>1.5034722222262644</v>
      </c>
      <c r="L21" s="981">
        <v>24785</v>
      </c>
      <c r="M21" s="730"/>
      <c r="N21" s="730">
        <v>24792</v>
      </c>
      <c r="O21" s="730">
        <f t="shared" si="15"/>
        <v>24792</v>
      </c>
      <c r="P21" s="730"/>
      <c r="Q21" s="731"/>
      <c r="R21" s="729" t="s">
        <v>122</v>
      </c>
      <c r="S21" s="729" t="s">
        <v>448</v>
      </c>
      <c r="T21" s="867" t="s">
        <v>899</v>
      </c>
      <c r="U21" s="722" t="s">
        <v>490</v>
      </c>
      <c r="V21" s="732" t="s">
        <v>181</v>
      </c>
      <c r="W21" s="722" t="s">
        <v>858</v>
      </c>
      <c r="X21" s="790">
        <v>75054</v>
      </c>
      <c r="Y21" s="735">
        <v>41605</v>
      </c>
      <c r="Z21" s="872">
        <v>224</v>
      </c>
      <c r="AA21" s="872">
        <v>32</v>
      </c>
      <c r="AB21" s="736"/>
      <c r="AC21" s="736"/>
      <c r="AD21" s="737"/>
      <c r="AE21" s="734"/>
      <c r="AF21" s="738"/>
      <c r="AG21" s="733"/>
      <c r="AH21" s="733"/>
      <c r="AI21" s="733"/>
      <c r="AJ21" s="733"/>
      <c r="AK21" s="733"/>
      <c r="AL21" s="733"/>
      <c r="AM21" s="722"/>
      <c r="AN21" s="722" t="s">
        <v>916</v>
      </c>
      <c r="AO21" s="722" t="s">
        <v>917</v>
      </c>
      <c r="AP21" s="724"/>
      <c r="AQ21" s="724"/>
      <c r="AR21" s="754"/>
      <c r="AT21" s="82"/>
      <c r="AU21" s="311"/>
      <c r="AV21" s="82"/>
      <c r="AW21" s="218"/>
      <c r="AX21" s="218"/>
      <c r="AY21" s="219"/>
      <c r="AZ21" s="219"/>
      <c r="BA21" s="136"/>
    </row>
    <row r="22" spans="1:53" s="102" customFormat="1" ht="24.95" hidden="1" customHeight="1" outlineLevel="1">
      <c r="A22" s="841"/>
      <c r="C22" s="725" t="s">
        <v>777</v>
      </c>
      <c r="D22" s="724" t="s">
        <v>891</v>
      </c>
      <c r="E22" s="726">
        <v>46066.616666666669</v>
      </c>
      <c r="F22" s="726">
        <v>46067.429166666669</v>
      </c>
      <c r="G22" s="726">
        <v>46067.493055555555</v>
      </c>
      <c r="H22" s="726">
        <v>46069.104166666664</v>
      </c>
      <c r="I22" s="726">
        <v>46069.216666666667</v>
      </c>
      <c r="J22" s="727">
        <f t="shared" si="16"/>
        <v>0.8125</v>
      </c>
      <c r="K22" s="728">
        <f t="shared" si="17"/>
        <v>1.6111111111094942</v>
      </c>
      <c r="L22" s="729">
        <v>40000</v>
      </c>
      <c r="M22" s="730"/>
      <c r="N22" s="730">
        <v>39112</v>
      </c>
      <c r="O22" s="730">
        <f t="shared" si="15"/>
        <v>39112</v>
      </c>
      <c r="P22" s="730"/>
      <c r="Q22" s="731"/>
      <c r="R22" s="729" t="s">
        <v>122</v>
      </c>
      <c r="S22" s="729" t="s">
        <v>180</v>
      </c>
      <c r="T22" s="867" t="s">
        <v>882</v>
      </c>
      <c r="U22" s="722" t="s">
        <v>915</v>
      </c>
      <c r="V22" s="732" t="s">
        <v>781</v>
      </c>
      <c r="W22" s="722" t="s">
        <v>193</v>
      </c>
      <c r="X22" s="790">
        <v>40377</v>
      </c>
      <c r="Y22" s="735">
        <v>25045</v>
      </c>
      <c r="Z22" s="872">
        <v>189</v>
      </c>
      <c r="AA22" s="872">
        <v>30</v>
      </c>
      <c r="AB22" s="736"/>
      <c r="AC22" s="736"/>
      <c r="AD22" s="737"/>
      <c r="AE22" s="734"/>
      <c r="AF22" s="738"/>
      <c r="AG22" s="733"/>
      <c r="AH22" s="733"/>
      <c r="AI22" s="733"/>
      <c r="AJ22" s="733"/>
      <c r="AK22" s="733"/>
      <c r="AL22" s="733"/>
      <c r="AM22" s="722"/>
      <c r="AN22" s="722" t="s">
        <v>918</v>
      </c>
      <c r="AO22" s="722" t="s">
        <v>919</v>
      </c>
      <c r="AP22" s="724"/>
      <c r="AQ22" s="724"/>
      <c r="AR22" s="754" t="s">
        <v>906</v>
      </c>
      <c r="AT22" s="82"/>
      <c r="AU22" s="311"/>
      <c r="AV22" s="82"/>
      <c r="AW22" s="218"/>
      <c r="AX22" s="218"/>
      <c r="AY22" s="219"/>
      <c r="AZ22" s="219"/>
      <c r="BA22" s="136"/>
    </row>
    <row r="23" spans="1:53" s="102" customFormat="1" ht="24.95" hidden="1" customHeight="1" outlineLevel="1">
      <c r="A23" s="841"/>
      <c r="C23" s="725" t="s">
        <v>182</v>
      </c>
      <c r="D23" s="724" t="s">
        <v>856</v>
      </c>
      <c r="E23" s="726">
        <v>46069.425000000003</v>
      </c>
      <c r="F23" s="726">
        <v>46069.508333333331</v>
      </c>
      <c r="G23" s="726">
        <v>46069.576388888891</v>
      </c>
      <c r="H23" s="726">
        <v>46070.621527777781</v>
      </c>
      <c r="I23" s="726">
        <v>46070.618055555555</v>
      </c>
      <c r="J23" s="727">
        <f t="shared" si="16"/>
        <v>8.3333333328482695E-2</v>
      </c>
      <c r="K23" s="728">
        <f t="shared" si="17"/>
        <v>1.0451388888905058</v>
      </c>
      <c r="L23" s="729">
        <v>20000</v>
      </c>
      <c r="M23" s="730"/>
      <c r="N23" s="730">
        <v>22252</v>
      </c>
      <c r="O23" s="730">
        <f t="shared" si="15"/>
        <v>22252</v>
      </c>
      <c r="P23" s="730"/>
      <c r="Q23" s="731"/>
      <c r="R23" s="729" t="s">
        <v>122</v>
      </c>
      <c r="S23" s="729" t="s">
        <v>183</v>
      </c>
      <c r="T23" s="722" t="s">
        <v>354</v>
      </c>
      <c r="U23" s="722" t="s">
        <v>857</v>
      </c>
      <c r="V23" s="732" t="s">
        <v>181</v>
      </c>
      <c r="W23" s="722" t="s">
        <v>858</v>
      </c>
      <c r="X23" s="790">
        <v>81585</v>
      </c>
      <c r="Y23" s="735">
        <v>44485</v>
      </c>
      <c r="Z23" s="872">
        <v>229</v>
      </c>
      <c r="AA23" s="872">
        <v>14.51</v>
      </c>
      <c r="AB23" s="736"/>
      <c r="AC23" s="736"/>
      <c r="AD23" s="737"/>
      <c r="AE23" s="734"/>
      <c r="AF23" s="738"/>
      <c r="AG23" s="733"/>
      <c r="AH23" s="733"/>
      <c r="AI23" s="733"/>
      <c r="AJ23" s="733"/>
      <c r="AK23" s="733"/>
      <c r="AL23" s="733"/>
      <c r="AM23" s="722"/>
      <c r="AN23" s="722" t="s">
        <v>859</v>
      </c>
      <c r="AO23" s="722" t="s">
        <v>860</v>
      </c>
      <c r="AP23" s="724"/>
      <c r="AQ23" s="724"/>
      <c r="AR23" s="754"/>
      <c r="AT23" s="82" t="str">
        <f>C23</f>
        <v>OCI SE</v>
      </c>
      <c r="AU23" s="311">
        <f>L23</f>
        <v>20000</v>
      </c>
      <c r="AV23" s="82"/>
      <c r="AW23" s="218">
        <f>IF(M23=0,0,1)</f>
        <v>0</v>
      </c>
      <c r="AX23" s="218">
        <f>IF(N23=0,0,1)</f>
        <v>1</v>
      </c>
      <c r="AY23" s="219">
        <f>IF(AW23+AX23=2,0.5,AW23)</f>
        <v>0</v>
      </c>
      <c r="AZ23" s="219">
        <f>IF(AW23+AX23=2,0.5,AX23)</f>
        <v>1</v>
      </c>
      <c r="BA23" s="136">
        <f>AY23+AZ23</f>
        <v>1</v>
      </c>
    </row>
    <row r="24" spans="1:53" s="102" customFormat="1" ht="24.95" hidden="1" customHeight="1" outlineLevel="1">
      <c r="A24" s="841"/>
      <c r="C24" s="725" t="s">
        <v>194</v>
      </c>
      <c r="D24" s="724" t="s">
        <v>875</v>
      </c>
      <c r="E24" s="726">
        <v>46070.691666666666</v>
      </c>
      <c r="F24" s="726">
        <v>46070.783333333333</v>
      </c>
      <c r="G24" s="726">
        <v>46070.84375</v>
      </c>
      <c r="H24" s="726">
        <v>46074.0625</v>
      </c>
      <c r="I24" s="726">
        <v>46074.104166666664</v>
      </c>
      <c r="J24" s="727">
        <f t="shared" si="16"/>
        <v>9.1666666667151731E-2</v>
      </c>
      <c r="K24" s="728">
        <f t="shared" si="17"/>
        <v>3.21875</v>
      </c>
      <c r="L24" s="729">
        <v>70000</v>
      </c>
      <c r="M24" s="730"/>
      <c r="N24" s="730">
        <v>76108</v>
      </c>
      <c r="O24" s="730">
        <f t="shared" si="15"/>
        <v>76108</v>
      </c>
      <c r="P24" s="730"/>
      <c r="Q24" s="731"/>
      <c r="R24" s="729" t="s">
        <v>122</v>
      </c>
      <c r="S24" s="729" t="s">
        <v>183</v>
      </c>
      <c r="T24" s="867" t="s">
        <v>458</v>
      </c>
      <c r="U24" s="722" t="s">
        <v>861</v>
      </c>
      <c r="V24" s="732" t="s">
        <v>375</v>
      </c>
      <c r="W24" s="722" t="s">
        <v>184</v>
      </c>
      <c r="X24" s="790">
        <v>79457</v>
      </c>
      <c r="Y24" s="735">
        <v>43498</v>
      </c>
      <c r="Z24" s="872">
        <v>229</v>
      </c>
      <c r="AA24" s="872">
        <v>14.62</v>
      </c>
      <c r="AB24" s="736"/>
      <c r="AC24" s="736"/>
      <c r="AD24" s="737"/>
      <c r="AE24" s="734"/>
      <c r="AF24" s="738"/>
      <c r="AG24" s="733"/>
      <c r="AH24" s="733"/>
      <c r="AI24" s="733"/>
      <c r="AJ24" s="733"/>
      <c r="AK24" s="733"/>
      <c r="AL24" s="733"/>
      <c r="AM24" s="722"/>
      <c r="AN24" s="722" t="s">
        <v>883</v>
      </c>
      <c r="AO24" s="722" t="s">
        <v>884</v>
      </c>
      <c r="AP24" s="724"/>
      <c r="AQ24" s="724"/>
      <c r="AR24" s="754"/>
      <c r="AT24" s="82" t="str">
        <f t="shared" ref="AT24" si="18">C24</f>
        <v>SGC에너지</v>
      </c>
      <c r="AU24" s="311">
        <f t="shared" ref="AU24" si="19">L24</f>
        <v>70000</v>
      </c>
      <c r="AV24" s="82"/>
      <c r="AW24" s="218">
        <f t="shared" si="6"/>
        <v>0</v>
      </c>
      <c r="AX24" s="218">
        <f t="shared" si="6"/>
        <v>1</v>
      </c>
      <c r="AY24" s="219">
        <f t="shared" si="7"/>
        <v>0</v>
      </c>
      <c r="AZ24" s="219">
        <f t="shared" si="8"/>
        <v>1</v>
      </c>
      <c r="BA24" s="136">
        <f t="shared" si="9"/>
        <v>1</v>
      </c>
    </row>
    <row r="25" spans="1:53" s="102" customFormat="1" ht="24.95" hidden="1" customHeight="1" outlineLevel="1">
      <c r="A25" s="841"/>
      <c r="C25" s="725" t="s">
        <v>777</v>
      </c>
      <c r="D25" s="724" t="s">
        <v>890</v>
      </c>
      <c r="E25" s="726">
        <v>46069.555555555555</v>
      </c>
      <c r="F25" s="726">
        <v>46074.177083333336</v>
      </c>
      <c r="G25" s="726">
        <v>46074.229166666664</v>
      </c>
      <c r="H25" s="726">
        <v>46075.975694444445</v>
      </c>
      <c r="I25" s="726">
        <v>46076.013888888891</v>
      </c>
      <c r="J25" s="727">
        <f t="shared" si="16"/>
        <v>4.6215277777810115</v>
      </c>
      <c r="K25" s="728">
        <f t="shared" si="17"/>
        <v>1.7465277777810115</v>
      </c>
      <c r="L25" s="729">
        <v>40000</v>
      </c>
      <c r="M25" s="730"/>
      <c r="N25" s="730">
        <v>44010</v>
      </c>
      <c r="O25" s="730">
        <f>+M25+N25</f>
        <v>44010</v>
      </c>
      <c r="P25" s="730"/>
      <c r="Q25" s="731"/>
      <c r="R25" s="729" t="s">
        <v>122</v>
      </c>
      <c r="S25" s="722" t="s">
        <v>180</v>
      </c>
      <c r="T25" s="991" t="s">
        <v>867</v>
      </c>
      <c r="U25" s="722" t="s">
        <v>915</v>
      </c>
      <c r="V25" s="732" t="s">
        <v>315</v>
      </c>
      <c r="W25" s="722" t="s">
        <v>193</v>
      </c>
      <c r="X25" s="735">
        <v>52450</v>
      </c>
      <c r="Y25" s="735">
        <v>30046</v>
      </c>
      <c r="Z25" s="1081">
        <v>190</v>
      </c>
      <c r="AA25" s="1082">
        <v>32</v>
      </c>
      <c r="AB25" s="736"/>
      <c r="AC25" s="736"/>
      <c r="AD25" s="737"/>
      <c r="AE25" s="734"/>
      <c r="AF25" s="738"/>
      <c r="AG25" s="733"/>
      <c r="AH25" s="733"/>
      <c r="AI25" s="733"/>
      <c r="AJ25" s="733"/>
      <c r="AK25" s="733"/>
      <c r="AL25" s="733"/>
      <c r="AM25" s="722"/>
      <c r="AN25" s="732"/>
      <c r="AO25" s="732"/>
      <c r="AP25" s="724"/>
      <c r="AQ25" s="724"/>
      <c r="AR25" s="754" t="s">
        <v>907</v>
      </c>
      <c r="AT25" s="82" t="str">
        <f>C25</f>
        <v>포스코</v>
      </c>
      <c r="AU25" s="311">
        <f>L25</f>
        <v>40000</v>
      </c>
      <c r="AV25" s="82"/>
      <c r="AW25" s="218">
        <f>IF(M25=0,0,1)</f>
        <v>0</v>
      </c>
      <c r="AX25" s="218">
        <f>IF(N25=0,0,1)</f>
        <v>1</v>
      </c>
      <c r="AY25" s="219">
        <f>IF(AW25+AX25=2,0.5,AW25)</f>
        <v>0</v>
      </c>
      <c r="AZ25" s="219">
        <f>IF(AW25+AX25=2,0.5,AX25)</f>
        <v>1</v>
      </c>
      <c r="BA25" s="136">
        <f>AY25+AZ25</f>
        <v>1</v>
      </c>
    </row>
    <row r="26" spans="1:53" s="102" customFormat="1" ht="24.95" hidden="1" customHeight="1" outlineLevel="1">
      <c r="A26" s="841"/>
      <c r="C26" s="725" t="s">
        <v>777</v>
      </c>
      <c r="D26" s="724" t="s">
        <v>869</v>
      </c>
      <c r="E26" s="726">
        <v>46071.479166666664</v>
      </c>
      <c r="F26" s="726">
        <v>46076.262499999997</v>
      </c>
      <c r="G26" s="726">
        <v>46076.340277777781</v>
      </c>
      <c r="H26" s="726">
        <v>46077.6875</v>
      </c>
      <c r="I26" s="726">
        <v>46077.75</v>
      </c>
      <c r="J26" s="727">
        <f t="shared" si="16"/>
        <v>4.7833333333328483</v>
      </c>
      <c r="K26" s="728">
        <f t="shared" si="17"/>
        <v>1.3472222222189885</v>
      </c>
      <c r="L26" s="729">
        <v>35000</v>
      </c>
      <c r="M26" s="730"/>
      <c r="N26" s="730">
        <v>34603</v>
      </c>
      <c r="O26" s="730">
        <f t="shared" ref="O26" si="20">+M26+N26</f>
        <v>34603</v>
      </c>
      <c r="P26" s="730"/>
      <c r="Q26" s="731"/>
      <c r="R26" s="729" t="s">
        <v>122</v>
      </c>
      <c r="S26" s="729" t="s">
        <v>911</v>
      </c>
      <c r="T26" s="722" t="s">
        <v>870</v>
      </c>
      <c r="U26" s="722" t="s">
        <v>923</v>
      </c>
      <c r="V26" s="732" t="s">
        <v>181</v>
      </c>
      <c r="W26" s="722" t="s">
        <v>193</v>
      </c>
      <c r="X26" s="735">
        <v>36953</v>
      </c>
      <c r="Y26" s="735">
        <v>23225</v>
      </c>
      <c r="Z26" s="1081">
        <v>179</v>
      </c>
      <c r="AA26" s="1082">
        <v>29</v>
      </c>
      <c r="AB26" s="736"/>
      <c r="AC26" s="736"/>
      <c r="AD26" s="737"/>
      <c r="AE26" s="734"/>
      <c r="AF26" s="738"/>
      <c r="AG26" s="733"/>
      <c r="AH26" s="733"/>
      <c r="AI26" s="733"/>
      <c r="AJ26" s="733"/>
      <c r="AK26" s="733"/>
      <c r="AL26" s="733"/>
      <c r="AM26" s="722"/>
      <c r="AN26" s="732"/>
      <c r="AO26" s="732"/>
      <c r="AP26" s="724"/>
      <c r="AQ26" s="724"/>
      <c r="AR26" s="754" t="s">
        <v>876</v>
      </c>
      <c r="AT26" s="82" t="str">
        <f t="shared" ref="AT26:AT27" si="21">C26</f>
        <v>포스코</v>
      </c>
      <c r="AU26" s="311">
        <f t="shared" ref="AU26:AU72" si="22">L26</f>
        <v>35000</v>
      </c>
      <c r="AV26" s="82"/>
      <c r="AW26" s="218">
        <f t="shared" ref="AW26:AX27" si="23">IF(M26=0,0,1)</f>
        <v>0</v>
      </c>
      <c r="AX26" s="218">
        <f t="shared" si="23"/>
        <v>1</v>
      </c>
      <c r="AY26" s="219">
        <f t="shared" ref="AY26:AY27" si="24">IF(AW26+AX26=2,0.5,AW26)</f>
        <v>0</v>
      </c>
      <c r="AZ26" s="219">
        <f t="shared" ref="AZ26:AZ27" si="25">IF(AW26+AX26=2,0.5,AX26)</f>
        <v>1</v>
      </c>
      <c r="BA26" s="136">
        <f t="shared" ref="BA26:BA27" si="26">AY26+AZ26</f>
        <v>1</v>
      </c>
    </row>
    <row r="27" spans="1:53" s="82" customFormat="1" ht="24.95" hidden="1" customHeight="1" outlineLevel="1" thickBot="1">
      <c r="A27" s="840"/>
      <c r="C27" s="108"/>
      <c r="D27" s="91"/>
      <c r="E27" s="92"/>
      <c r="F27" s="92"/>
      <c r="G27" s="92"/>
      <c r="H27" s="92"/>
      <c r="I27" s="92"/>
      <c r="J27" s="150">
        <f>IFERROR(AVERAGE(J19:J26),0)</f>
        <v>3.3666666666658784</v>
      </c>
      <c r="K27" s="150">
        <f ca="1">IFERROR(AVERAGE(K26:K31),0)</f>
        <v>0</v>
      </c>
      <c r="L27" s="95">
        <f>SUM(L19:L26)</f>
        <v>342785</v>
      </c>
      <c r="M27" s="95">
        <f t="shared" ref="M27:O27" si="27">SUM(M19:M26)</f>
        <v>0</v>
      </c>
      <c r="N27" s="95">
        <f t="shared" si="27"/>
        <v>354604</v>
      </c>
      <c r="O27" s="95">
        <f t="shared" si="27"/>
        <v>354604</v>
      </c>
      <c r="P27" s="93"/>
      <c r="Q27" s="95"/>
      <c r="R27" s="95"/>
      <c r="S27" s="91"/>
      <c r="T27" s="91"/>
      <c r="U27" s="97"/>
      <c r="V27" s="96"/>
      <c r="W27" s="97"/>
      <c r="X27" s="98"/>
      <c r="Y27" s="98"/>
      <c r="Z27" s="207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100"/>
      <c r="AN27" s="100"/>
      <c r="AO27" s="100"/>
      <c r="AP27" s="96"/>
      <c r="AQ27" s="96"/>
      <c r="AR27" s="109"/>
      <c r="AT27" s="82">
        <f t="shared" si="21"/>
        <v>0</v>
      </c>
      <c r="AU27" s="311">
        <f t="shared" si="22"/>
        <v>342785</v>
      </c>
      <c r="AW27" s="218">
        <f t="shared" si="23"/>
        <v>0</v>
      </c>
      <c r="AX27" s="218">
        <f t="shared" si="23"/>
        <v>1</v>
      </c>
      <c r="AY27" s="219">
        <f t="shared" si="24"/>
        <v>0</v>
      </c>
      <c r="AZ27" s="219">
        <f t="shared" si="25"/>
        <v>1</v>
      </c>
      <c r="BA27" s="136">
        <f t="shared" si="26"/>
        <v>1</v>
      </c>
    </row>
    <row r="28" spans="1:53" s="82" customFormat="1" ht="24.95" customHeight="1" collapsed="1" thickBot="1">
      <c r="A28" s="840"/>
      <c r="C28" s="644" t="s">
        <v>822</v>
      </c>
      <c r="D28" s="645"/>
      <c r="E28" s="645"/>
      <c r="F28" s="645"/>
      <c r="G28" s="645"/>
      <c r="H28" s="645"/>
      <c r="I28" s="645"/>
      <c r="J28" s="645"/>
      <c r="K28" s="645"/>
      <c r="L28" s="645"/>
      <c r="M28" s="696"/>
      <c r="N28" s="696"/>
      <c r="O28" s="696"/>
      <c r="P28" s="696"/>
      <c r="Q28" s="645"/>
      <c r="R28" s="645"/>
      <c r="S28" s="645"/>
      <c r="T28" s="645"/>
      <c r="U28" s="646"/>
      <c r="V28" s="645"/>
      <c r="W28" s="645"/>
      <c r="X28" s="645"/>
      <c r="Y28" s="645"/>
      <c r="Z28" s="647"/>
      <c r="AA28" s="645"/>
      <c r="AB28" s="645"/>
      <c r="AC28" s="645"/>
      <c r="AD28" s="645"/>
      <c r="AE28" s="645"/>
      <c r="AF28" s="645"/>
      <c r="AG28" s="645"/>
      <c r="AH28" s="645"/>
      <c r="AI28" s="645"/>
      <c r="AJ28" s="645"/>
      <c r="AK28" s="645"/>
      <c r="AL28" s="645"/>
      <c r="AM28" s="645"/>
      <c r="AN28" s="645"/>
      <c r="AO28" s="645"/>
      <c r="AP28" s="645"/>
      <c r="AQ28" s="645"/>
      <c r="AR28" s="648"/>
      <c r="AT28" s="82" t="str">
        <f t="shared" si="4"/>
        <v>2026년 3월 반입 예정 선박리스트</v>
      </c>
      <c r="AU28" s="311">
        <f t="shared" si="22"/>
        <v>0</v>
      </c>
      <c r="AW28" s="218">
        <f t="shared" si="6"/>
        <v>0</v>
      </c>
      <c r="AX28" s="218">
        <f t="shared" si="6"/>
        <v>0</v>
      </c>
      <c r="AY28" s="219">
        <f t="shared" si="7"/>
        <v>0</v>
      </c>
      <c r="AZ28" s="219">
        <f t="shared" si="8"/>
        <v>0</v>
      </c>
      <c r="BA28" s="136">
        <f t="shared" si="9"/>
        <v>0</v>
      </c>
    </row>
    <row r="29" spans="1:53" s="102" customFormat="1" ht="16.5" customHeight="1">
      <c r="A29" s="841"/>
      <c r="C29" s="1127" t="s">
        <v>777</v>
      </c>
      <c r="D29" s="1129" t="s">
        <v>909</v>
      </c>
      <c r="E29" s="1131">
        <v>46083.916666666664</v>
      </c>
      <c r="F29" s="1131">
        <v>46084.79583333333</v>
      </c>
      <c r="G29" s="1131">
        <v>46084.854166666664</v>
      </c>
      <c r="H29" s="1131">
        <v>46087.652777777781</v>
      </c>
      <c r="I29" s="1130">
        <v>46087.702777777777</v>
      </c>
      <c r="J29" s="1133">
        <f>+F29-E29</f>
        <v>0.87916666666569654</v>
      </c>
      <c r="K29" s="1122">
        <f>+H29-G29</f>
        <v>2.7986111111167702</v>
      </c>
      <c r="L29" s="729">
        <v>32999</v>
      </c>
      <c r="M29" s="730"/>
      <c r="N29" s="730"/>
      <c r="O29" s="730">
        <f t="shared" ref="O29" si="28">+M29+N29</f>
        <v>0</v>
      </c>
      <c r="P29" s="730"/>
      <c r="Q29" s="731"/>
      <c r="R29" s="1096" t="s">
        <v>122</v>
      </c>
      <c r="S29" s="1096" t="s">
        <v>189</v>
      </c>
      <c r="T29" s="722" t="s">
        <v>921</v>
      </c>
      <c r="U29" s="1113" t="s">
        <v>933</v>
      </c>
      <c r="V29" s="1137" t="s">
        <v>181</v>
      </c>
      <c r="W29" s="1113" t="s">
        <v>184</v>
      </c>
      <c r="X29" s="729"/>
      <c r="Y29" s="729"/>
      <c r="Z29" s="1091"/>
      <c r="AA29" s="733"/>
      <c r="AB29" s="736"/>
      <c r="AC29" s="736"/>
      <c r="AD29" s="737"/>
      <c r="AE29" s="734"/>
      <c r="AF29" s="738"/>
      <c r="AG29" s="733"/>
      <c r="AH29" s="733"/>
      <c r="AI29" s="733"/>
      <c r="AJ29" s="733"/>
      <c r="AK29" s="733"/>
      <c r="AL29" s="733"/>
      <c r="AM29" s="722"/>
      <c r="AN29" s="722"/>
      <c r="AO29" s="722"/>
      <c r="AP29" s="724"/>
      <c r="AQ29" s="724"/>
      <c r="AR29" s="754" t="s">
        <v>930</v>
      </c>
      <c r="AT29" s="82" t="str">
        <f t="shared" ref="AT29" si="29">C29</f>
        <v>포스코</v>
      </c>
      <c r="AU29" s="311">
        <f t="shared" ref="AU29:AU30" si="30">L29</f>
        <v>32999</v>
      </c>
      <c r="AV29" s="82"/>
      <c r="AW29" s="218">
        <f>IF(M29=0,0,1)</f>
        <v>0</v>
      </c>
      <c r="AX29" s="218">
        <f>IF(N29=0,0,1)</f>
        <v>0</v>
      </c>
      <c r="AY29" s="219">
        <f t="shared" ref="AY29" si="31">IF(AW29+AX29=2,0.5,AW29)</f>
        <v>0</v>
      </c>
      <c r="AZ29" s="219">
        <f t="shared" ref="AZ29" si="32">IF(AW29+AX29=2,0.5,AX29)</f>
        <v>0</v>
      </c>
      <c r="BA29" s="136">
        <f t="shared" ref="BA29" si="33">AY29+AZ29</f>
        <v>0</v>
      </c>
    </row>
    <row r="30" spans="1:53" s="102" customFormat="1" ht="13.5">
      <c r="A30" s="841"/>
      <c r="C30" s="1127"/>
      <c r="D30" s="1129"/>
      <c r="E30" s="1131"/>
      <c r="F30" s="1131"/>
      <c r="G30" s="1131"/>
      <c r="H30" s="1131"/>
      <c r="I30" s="1131"/>
      <c r="J30" s="1133"/>
      <c r="K30" s="1122"/>
      <c r="L30" s="729">
        <v>43643</v>
      </c>
      <c r="M30" s="730"/>
      <c r="N30" s="730"/>
      <c r="O30" s="730"/>
      <c r="P30" s="730"/>
      <c r="Q30" s="731"/>
      <c r="R30" s="1096"/>
      <c r="S30" s="1096"/>
      <c r="T30" s="722" t="s">
        <v>910</v>
      </c>
      <c r="U30" s="1114"/>
      <c r="V30" s="1138"/>
      <c r="W30" s="1114"/>
      <c r="X30" s="729"/>
      <c r="Y30" s="729"/>
      <c r="Z30" s="1091"/>
      <c r="AA30" s="733"/>
      <c r="AB30" s="736"/>
      <c r="AC30" s="736"/>
      <c r="AD30" s="737"/>
      <c r="AE30" s="734"/>
      <c r="AF30" s="738"/>
      <c r="AG30" s="733"/>
      <c r="AH30" s="733"/>
      <c r="AI30" s="733"/>
      <c r="AJ30" s="733"/>
      <c r="AK30" s="733"/>
      <c r="AL30" s="733"/>
      <c r="AM30" s="722"/>
      <c r="AN30" s="722"/>
      <c r="AO30" s="722"/>
      <c r="AP30" s="724"/>
      <c r="AQ30" s="724"/>
      <c r="AR30" s="754" t="s">
        <v>950</v>
      </c>
      <c r="AT30" s="82"/>
      <c r="AU30" s="311">
        <f t="shared" si="30"/>
        <v>43643</v>
      </c>
      <c r="AV30" s="82"/>
      <c r="AW30" s="218"/>
      <c r="AX30" s="218"/>
      <c r="AY30" s="219"/>
      <c r="AZ30" s="219"/>
      <c r="BA30" s="136"/>
    </row>
    <row r="31" spans="1:53" s="102" customFormat="1" ht="24.95" customHeight="1">
      <c r="A31" s="841"/>
      <c r="C31" s="725" t="s">
        <v>777</v>
      </c>
      <c r="D31" s="724" t="s">
        <v>868</v>
      </c>
      <c r="E31" s="726">
        <v>46085.533333333333</v>
      </c>
      <c r="F31" s="726">
        <v>46087.762499999997</v>
      </c>
      <c r="G31" s="726">
        <v>46087.854166666664</v>
      </c>
      <c r="H31" s="726">
        <v>46089.854166666664</v>
      </c>
      <c r="I31" s="726">
        <v>46090.135416666664</v>
      </c>
      <c r="J31" s="727">
        <f>+F31-E31</f>
        <v>2.2291666666642413</v>
      </c>
      <c r="K31" s="728">
        <f>+H31-G31</f>
        <v>2</v>
      </c>
      <c r="L31" s="729">
        <f>45000+15400</f>
        <v>60400</v>
      </c>
      <c r="M31" s="730"/>
      <c r="N31" s="730">
        <v>60412</v>
      </c>
      <c r="O31" s="730">
        <f>+M31+N31</f>
        <v>60412</v>
      </c>
      <c r="P31" s="730"/>
      <c r="Q31" s="731"/>
      <c r="R31" s="729" t="s">
        <v>122</v>
      </c>
      <c r="S31" s="729" t="s">
        <v>912</v>
      </c>
      <c r="T31" s="722" t="s">
        <v>871</v>
      </c>
      <c r="U31" s="722" t="s">
        <v>934</v>
      </c>
      <c r="V31" s="732" t="s">
        <v>181</v>
      </c>
      <c r="W31" s="722" t="s">
        <v>184</v>
      </c>
      <c r="X31" s="735"/>
      <c r="Y31" s="735"/>
      <c r="Z31" s="1081"/>
      <c r="AA31" s="1082"/>
      <c r="AB31" s="736"/>
      <c r="AC31" s="736"/>
      <c r="AD31" s="737"/>
      <c r="AE31" s="734"/>
      <c r="AF31" s="738"/>
      <c r="AG31" s="733"/>
      <c r="AH31" s="733"/>
      <c r="AI31" s="733"/>
      <c r="AJ31" s="733"/>
      <c r="AK31" s="733"/>
      <c r="AL31" s="733"/>
      <c r="AM31" s="722"/>
      <c r="AN31" s="732"/>
      <c r="AO31" s="732"/>
      <c r="AP31" s="724"/>
      <c r="AQ31" s="724"/>
      <c r="AR31" s="754" t="s">
        <v>922</v>
      </c>
      <c r="AT31" s="82" t="str">
        <f>C31</f>
        <v>포스코</v>
      </c>
      <c r="AU31" s="311">
        <f>L31</f>
        <v>60400</v>
      </c>
      <c r="AV31" s="82"/>
      <c r="AW31" s="218">
        <f>IF(M31=0,0,1)</f>
        <v>0</v>
      </c>
      <c r="AX31" s="218">
        <f>IF(N31=0,0,1)</f>
        <v>1</v>
      </c>
      <c r="AY31" s="219">
        <f>IF(AW31+AX31=2,0.5,AW31)</f>
        <v>0</v>
      </c>
      <c r="AZ31" s="219">
        <f>IF(AW31+AX31=2,0.5,AX31)</f>
        <v>1</v>
      </c>
      <c r="BA31" s="136">
        <f>AY31+AZ31</f>
        <v>1</v>
      </c>
    </row>
    <row r="32" spans="1:53" s="102" customFormat="1" ht="24.95" customHeight="1">
      <c r="A32" s="841"/>
      <c r="C32" s="725" t="s">
        <v>194</v>
      </c>
      <c r="D32" s="724" t="s">
        <v>908</v>
      </c>
      <c r="E32" s="726">
        <v>46088.375</v>
      </c>
      <c r="F32" s="726">
        <v>46093.76666666667</v>
      </c>
      <c r="G32" s="726">
        <v>46093.934027777781</v>
      </c>
      <c r="H32" s="726">
        <v>46096.583333333336</v>
      </c>
      <c r="I32" s="726">
        <v>46096.633333333331</v>
      </c>
      <c r="J32" s="727">
        <f>+F32-E32</f>
        <v>5.3916666666700621</v>
      </c>
      <c r="K32" s="728">
        <f>+H32-G32</f>
        <v>2.6493055555547471</v>
      </c>
      <c r="L32" s="729">
        <v>74600</v>
      </c>
      <c r="M32" s="730"/>
      <c r="N32" s="730">
        <v>74600</v>
      </c>
      <c r="O32" s="730">
        <f>+M32+N32</f>
        <v>74600</v>
      </c>
      <c r="P32" s="730"/>
      <c r="Q32" s="731"/>
      <c r="R32" s="729" t="s">
        <v>122</v>
      </c>
      <c r="S32" s="722" t="s">
        <v>180</v>
      </c>
      <c r="T32" s="722" t="s">
        <v>863</v>
      </c>
      <c r="U32" s="722" t="s">
        <v>956</v>
      </c>
      <c r="V32" s="732" t="s">
        <v>436</v>
      </c>
      <c r="W32" s="722" t="s">
        <v>184</v>
      </c>
      <c r="X32" s="735"/>
      <c r="Y32" s="735"/>
      <c r="Z32" s="1081"/>
      <c r="AA32" s="1082"/>
      <c r="AB32" s="736"/>
      <c r="AC32" s="736"/>
      <c r="AD32" s="737"/>
      <c r="AE32" s="734"/>
      <c r="AF32" s="738"/>
      <c r="AG32" s="733"/>
      <c r="AH32" s="733"/>
      <c r="AI32" s="733"/>
      <c r="AJ32" s="733"/>
      <c r="AK32" s="733"/>
      <c r="AL32" s="733"/>
      <c r="AM32" s="722"/>
      <c r="AN32" s="732"/>
      <c r="AO32" s="732"/>
      <c r="AP32" s="724"/>
      <c r="AQ32" s="724"/>
      <c r="AR32" s="754" t="s">
        <v>949</v>
      </c>
      <c r="AT32" s="82" t="str">
        <f>C32</f>
        <v>SGC에너지</v>
      </c>
      <c r="AU32" s="311">
        <f>L32</f>
        <v>74600</v>
      </c>
      <c r="AV32" s="82"/>
      <c r="AW32" s="218"/>
      <c r="AX32" s="218"/>
      <c r="AY32" s="219"/>
      <c r="AZ32" s="219"/>
      <c r="BA32" s="136"/>
    </row>
    <row r="33" spans="1:53" s="102" customFormat="1" ht="24.95" customHeight="1">
      <c r="A33" s="841"/>
      <c r="C33" s="725" t="s">
        <v>185</v>
      </c>
      <c r="D33" s="724" t="s">
        <v>925</v>
      </c>
      <c r="E33" s="726">
        <v>46091.125</v>
      </c>
      <c r="F33" s="726">
        <v>46096.7</v>
      </c>
      <c r="G33" s="726">
        <v>46096.75</v>
      </c>
      <c r="H33" s="726">
        <v>46097.586805555555</v>
      </c>
      <c r="I33" s="726">
        <v>46097.620833333334</v>
      </c>
      <c r="J33" s="727">
        <f>+F33-E33</f>
        <v>5.5749999999970896</v>
      </c>
      <c r="K33" s="728">
        <f>+H33-G33</f>
        <v>0.83680555555474712</v>
      </c>
      <c r="L33" s="729">
        <v>30000</v>
      </c>
      <c r="M33" s="730"/>
      <c r="N33" s="730">
        <v>30000</v>
      </c>
      <c r="O33" s="730">
        <f>+M33+N33</f>
        <v>30000</v>
      </c>
      <c r="P33" s="730"/>
      <c r="Q33" s="731"/>
      <c r="R33" s="729" t="s">
        <v>122</v>
      </c>
      <c r="S33" s="729" t="s">
        <v>183</v>
      </c>
      <c r="T33" s="722" t="s">
        <v>458</v>
      </c>
      <c r="U33" s="722" t="s">
        <v>944</v>
      </c>
      <c r="V33" s="732" t="s">
        <v>375</v>
      </c>
      <c r="W33" s="722" t="s">
        <v>184</v>
      </c>
      <c r="X33" s="729"/>
      <c r="Y33" s="729"/>
      <c r="Z33" s="1091"/>
      <c r="AA33" s="733"/>
      <c r="AB33" s="736"/>
      <c r="AC33" s="736"/>
      <c r="AD33" s="737"/>
      <c r="AE33" s="734"/>
      <c r="AF33" s="738"/>
      <c r="AG33" s="733"/>
      <c r="AH33" s="733"/>
      <c r="AI33" s="733"/>
      <c r="AJ33" s="733"/>
      <c r="AK33" s="733"/>
      <c r="AL33" s="733"/>
      <c r="AM33" s="722"/>
      <c r="AN33" s="722"/>
      <c r="AO33" s="722"/>
      <c r="AP33" s="724"/>
      <c r="AQ33" s="724"/>
      <c r="AR33" s="754" t="s">
        <v>935</v>
      </c>
      <c r="AT33" s="82" t="str">
        <f>C33</f>
        <v>남동발전</v>
      </c>
      <c r="AU33" s="311">
        <f>L33</f>
        <v>30000</v>
      </c>
      <c r="AV33" s="82"/>
      <c r="AW33" s="218">
        <f>IF(M33=0,0,1)</f>
        <v>0</v>
      </c>
      <c r="AX33" s="218">
        <f>IF(N33=0,0,1)</f>
        <v>1</v>
      </c>
      <c r="AY33" s="219">
        <f>IF(AW33+AX33=2,0.5,AW33)</f>
        <v>0</v>
      </c>
      <c r="AZ33" s="219">
        <f>IF(AW33+AX33=2,0.5,AX33)</f>
        <v>1</v>
      </c>
      <c r="BA33" s="136">
        <f>AY33+AZ33</f>
        <v>1</v>
      </c>
    </row>
    <row r="34" spans="1:53" s="102" customFormat="1" ht="24.95" customHeight="1">
      <c r="A34" s="841"/>
      <c r="C34" s="725" t="s">
        <v>777</v>
      </c>
      <c r="D34" s="724" t="s">
        <v>948</v>
      </c>
      <c r="E34" s="726">
        <v>46091.083333333336</v>
      </c>
      <c r="F34" s="726">
        <v>46097.662499999999</v>
      </c>
      <c r="G34" s="726">
        <v>46097.729166666664</v>
      </c>
      <c r="H34" s="726">
        <v>46100</v>
      </c>
      <c r="I34" s="726">
        <v>46100.074999999997</v>
      </c>
      <c r="J34" s="727">
        <f>+F34-E34</f>
        <v>6.5791666666627862</v>
      </c>
      <c r="K34" s="728">
        <f>+H34-G34</f>
        <v>2.2708333333357587</v>
      </c>
      <c r="L34" s="729">
        <v>54967</v>
      </c>
      <c r="M34" s="730"/>
      <c r="N34" s="730">
        <v>54970</v>
      </c>
      <c r="O34" s="730">
        <f>+N34+M34</f>
        <v>54970</v>
      </c>
      <c r="P34" s="730"/>
      <c r="Q34" s="731"/>
      <c r="R34" s="729" t="s">
        <v>122</v>
      </c>
      <c r="S34" s="729" t="s">
        <v>475</v>
      </c>
      <c r="T34" s="722" t="s">
        <v>873</v>
      </c>
      <c r="U34" s="722" t="s">
        <v>810</v>
      </c>
      <c r="V34" s="732" t="s">
        <v>375</v>
      </c>
      <c r="W34" s="722" t="s">
        <v>184</v>
      </c>
      <c r="X34" s="729"/>
      <c r="Y34" s="729"/>
      <c r="Z34" s="1091"/>
      <c r="AA34" s="733"/>
      <c r="AB34" s="736"/>
      <c r="AC34" s="736"/>
      <c r="AD34" s="737"/>
      <c r="AE34" s="734"/>
      <c r="AF34" s="738"/>
      <c r="AG34" s="733"/>
      <c r="AH34" s="733"/>
      <c r="AI34" s="733"/>
      <c r="AJ34" s="733"/>
      <c r="AK34" s="733"/>
      <c r="AL34" s="733"/>
      <c r="AM34" s="722"/>
      <c r="AN34" s="722"/>
      <c r="AO34" s="722"/>
      <c r="AP34" s="724"/>
      <c r="AQ34" s="724"/>
      <c r="AR34" s="754" t="s">
        <v>961</v>
      </c>
      <c r="AT34" s="82"/>
      <c r="AU34" s="311">
        <f>L34</f>
        <v>54967</v>
      </c>
      <c r="AV34" s="82"/>
      <c r="AW34" s="218"/>
      <c r="AX34" s="218">
        <f>IF(N34=0,0,1)</f>
        <v>1</v>
      </c>
      <c r="AY34" s="219"/>
      <c r="AZ34" s="219"/>
      <c r="BA34" s="136"/>
    </row>
    <row r="35" spans="1:53" s="102" customFormat="1" ht="24.75" customHeight="1">
      <c r="A35" s="841"/>
      <c r="C35" s="725" t="s">
        <v>777</v>
      </c>
      <c r="D35" s="724" t="s">
        <v>937</v>
      </c>
      <c r="E35" s="726">
        <v>46093.154166666667</v>
      </c>
      <c r="F35" s="726">
        <v>46100.120833333334</v>
      </c>
      <c r="G35" s="726">
        <v>46100.184027777781</v>
      </c>
      <c r="H35" s="726"/>
      <c r="I35" s="726"/>
      <c r="J35" s="727">
        <f>+F35-E35</f>
        <v>6.9666666666671517</v>
      </c>
      <c r="K35" s="728"/>
      <c r="L35" s="729">
        <v>33000</v>
      </c>
      <c r="M35" s="730"/>
      <c r="N35" s="730"/>
      <c r="O35" s="730">
        <f t="shared" ref="O35:O36" si="34">+N35+M35</f>
        <v>0</v>
      </c>
      <c r="P35" s="730"/>
      <c r="Q35" s="731"/>
      <c r="R35" s="729" t="s">
        <v>122</v>
      </c>
      <c r="S35" s="729" t="s">
        <v>180</v>
      </c>
      <c r="T35" s="722" t="s">
        <v>938</v>
      </c>
      <c r="U35" s="722" t="s">
        <v>956</v>
      </c>
      <c r="V35" s="732" t="s">
        <v>781</v>
      </c>
      <c r="W35" s="722" t="s">
        <v>782</v>
      </c>
      <c r="X35" s="729"/>
      <c r="Y35" s="729"/>
      <c r="Z35" s="1091"/>
      <c r="AA35" s="733"/>
      <c r="AB35" s="736"/>
      <c r="AC35" s="736"/>
      <c r="AD35" s="737"/>
      <c r="AE35" s="734"/>
      <c r="AF35" s="738"/>
      <c r="AG35" s="733"/>
      <c r="AH35" s="733"/>
      <c r="AI35" s="733"/>
      <c r="AJ35" s="733"/>
      <c r="AK35" s="733"/>
      <c r="AL35" s="733"/>
      <c r="AM35" s="722"/>
      <c r="AN35" s="722"/>
      <c r="AO35" s="722"/>
      <c r="AP35" s="724"/>
      <c r="AQ35" s="724"/>
      <c r="AR35" s="754" t="s">
        <v>951</v>
      </c>
      <c r="AT35" s="82" t="str">
        <f>C35</f>
        <v>포스코</v>
      </c>
      <c r="AU35" s="311">
        <f>L35</f>
        <v>33000</v>
      </c>
      <c r="AV35" s="82"/>
      <c r="AW35" s="218">
        <f>IF(M35=0,0,1)</f>
        <v>0</v>
      </c>
      <c r="AX35" s="218">
        <f>IF(N35=0,0,1)</f>
        <v>0</v>
      </c>
      <c r="AY35" s="219">
        <f>IF(AW35+AX35=2,0.5,AW35)</f>
        <v>0</v>
      </c>
      <c r="AZ35" s="219">
        <f>IF(AW35+AX35=2,0.5,AX35)</f>
        <v>0</v>
      </c>
      <c r="BA35" s="136">
        <f>AY35+AZ35</f>
        <v>0</v>
      </c>
    </row>
    <row r="36" spans="1:53" s="102" customFormat="1" ht="24.95" customHeight="1">
      <c r="A36" s="841"/>
      <c r="C36" s="525" t="s">
        <v>777</v>
      </c>
      <c r="D36" s="524" t="s">
        <v>936</v>
      </c>
      <c r="E36" s="497">
        <v>46101.25</v>
      </c>
      <c r="F36" s="497"/>
      <c r="G36" s="497"/>
      <c r="H36" s="497"/>
      <c r="I36" s="497"/>
      <c r="J36" s="526"/>
      <c r="K36" s="527"/>
      <c r="L36" s="528">
        <v>30000</v>
      </c>
      <c r="M36" s="529"/>
      <c r="N36" s="529"/>
      <c r="O36" s="529">
        <f t="shared" si="34"/>
        <v>0</v>
      </c>
      <c r="P36" s="529"/>
      <c r="Q36" s="530"/>
      <c r="R36" s="528" t="s">
        <v>278</v>
      </c>
      <c r="S36" s="528" t="s">
        <v>180</v>
      </c>
      <c r="T36" s="531" t="s">
        <v>882</v>
      </c>
      <c r="U36" s="531" t="s">
        <v>956</v>
      </c>
      <c r="V36" s="535" t="s">
        <v>320</v>
      </c>
      <c r="W36" s="531" t="s">
        <v>184</v>
      </c>
      <c r="X36" s="528"/>
      <c r="Y36" s="528"/>
      <c r="Z36" s="532"/>
      <c r="AA36" s="533"/>
      <c r="AB36" s="553"/>
      <c r="AC36" s="553"/>
      <c r="AD36" s="554"/>
      <c r="AE36" s="537"/>
      <c r="AF36" s="555"/>
      <c r="AG36" s="533"/>
      <c r="AH36" s="533"/>
      <c r="AI36" s="533"/>
      <c r="AJ36" s="533"/>
      <c r="AK36" s="533"/>
      <c r="AL36" s="533"/>
      <c r="AM36" s="531"/>
      <c r="AN36" s="531"/>
      <c r="AO36" s="531"/>
      <c r="AP36" s="524"/>
      <c r="AQ36" s="524"/>
      <c r="AR36" s="536" t="s">
        <v>962</v>
      </c>
      <c r="AT36" s="82" t="str">
        <f t="shared" si="4"/>
        <v>포스코</v>
      </c>
      <c r="AU36" s="311">
        <f t="shared" si="22"/>
        <v>30000</v>
      </c>
      <c r="AV36" s="82"/>
      <c r="AW36" s="218">
        <f t="shared" ref="AW36:AX51" si="35">IF(M36=0,0,1)</f>
        <v>0</v>
      </c>
      <c r="AX36" s="218">
        <f t="shared" si="35"/>
        <v>0</v>
      </c>
      <c r="AY36" s="219">
        <f t="shared" ref="AY36" si="36">IF(AW36+AX36=2,0.5,AW36)</f>
        <v>0</v>
      </c>
      <c r="AZ36" s="219">
        <f t="shared" ref="AZ36" si="37">IF(AW36+AX36=2,0.5,AX36)</f>
        <v>0</v>
      </c>
      <c r="BA36" s="136">
        <f t="shared" ref="BA36" si="38">AY36+AZ36</f>
        <v>0</v>
      </c>
    </row>
    <row r="37" spans="1:53" s="102" customFormat="1" ht="24.95" customHeight="1">
      <c r="A37" s="841"/>
      <c r="C37" s="105" t="s">
        <v>194</v>
      </c>
      <c r="D37" s="71" t="s">
        <v>954</v>
      </c>
      <c r="E37" s="64">
        <v>46097.212500000001</v>
      </c>
      <c r="F37" s="64"/>
      <c r="G37" s="64"/>
      <c r="H37" s="64"/>
      <c r="I37" s="64"/>
      <c r="J37" s="65"/>
      <c r="K37" s="66"/>
      <c r="L37" s="69">
        <v>40000</v>
      </c>
      <c r="M37" s="67"/>
      <c r="N37" s="67"/>
      <c r="O37" s="67"/>
      <c r="P37" s="67"/>
      <c r="Q37" s="68"/>
      <c r="R37" s="69" t="s">
        <v>278</v>
      </c>
      <c r="S37" s="69" t="s">
        <v>180</v>
      </c>
      <c r="T37" s="70"/>
      <c r="U37" s="70"/>
      <c r="V37" s="73" t="s">
        <v>181</v>
      </c>
      <c r="W37" s="70" t="s">
        <v>193</v>
      </c>
      <c r="X37" s="69"/>
      <c r="Y37" s="69"/>
      <c r="Z37" s="204"/>
      <c r="AA37" s="72"/>
      <c r="AB37" s="192"/>
      <c r="AC37" s="192"/>
      <c r="AD37" s="193"/>
      <c r="AE37" s="89"/>
      <c r="AF37" s="194"/>
      <c r="AG37" s="72"/>
      <c r="AH37" s="72"/>
      <c r="AI37" s="72"/>
      <c r="AJ37" s="72"/>
      <c r="AK37" s="72"/>
      <c r="AL37" s="72"/>
      <c r="AM37" s="70"/>
      <c r="AN37" s="70"/>
      <c r="AO37" s="70"/>
      <c r="AP37" s="71"/>
      <c r="AQ37" s="71"/>
      <c r="AR37" s="104" t="s">
        <v>955</v>
      </c>
      <c r="AT37" s="82" t="str">
        <f t="shared" si="4"/>
        <v>SGC에너지</v>
      </c>
      <c r="AU37" s="311">
        <f t="shared" si="22"/>
        <v>40000</v>
      </c>
      <c r="AV37" s="82"/>
      <c r="AW37" s="218"/>
      <c r="AX37" s="218"/>
      <c r="AY37" s="219"/>
      <c r="AZ37" s="219"/>
      <c r="BA37" s="136"/>
    </row>
    <row r="38" spans="1:53" s="82" customFormat="1" ht="24.95" customHeight="1" thickBot="1">
      <c r="A38" s="840"/>
      <c r="C38" s="108"/>
      <c r="D38" s="91"/>
      <c r="E38" s="92"/>
      <c r="F38" s="92"/>
      <c r="G38" s="92"/>
      <c r="H38" s="92"/>
      <c r="I38" s="92"/>
      <c r="J38" s="150">
        <f>IFERROR(AVERAGE(J29:J36),0)</f>
        <v>4.6034722222211713</v>
      </c>
      <c r="K38" s="150">
        <f ca="1">IFERROR(AVERAGE(K27:K36),0)</f>
        <v>0</v>
      </c>
      <c r="L38" s="95">
        <f>SUM(L29:L37)</f>
        <v>399609</v>
      </c>
      <c r="M38" s="95">
        <f>SUM(M29:M36)</f>
        <v>0</v>
      </c>
      <c r="N38" s="95">
        <f>SUM(N29:N37)</f>
        <v>219982</v>
      </c>
      <c r="O38" s="95">
        <f>SUM(O29:O37)</f>
        <v>219982</v>
      </c>
      <c r="P38" s="93"/>
      <c r="Q38" s="95"/>
      <c r="R38" s="95"/>
      <c r="S38" s="91"/>
      <c r="T38" s="91"/>
      <c r="U38" s="97"/>
      <c r="V38" s="96"/>
      <c r="W38" s="97"/>
      <c r="X38" s="98"/>
      <c r="Y38" s="98"/>
      <c r="Z38" s="207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100"/>
      <c r="AN38" s="100"/>
      <c r="AO38" s="100"/>
      <c r="AP38" s="96"/>
      <c r="AQ38" s="96"/>
      <c r="AR38" s="109"/>
      <c r="AT38" s="82">
        <f t="shared" si="4"/>
        <v>0</v>
      </c>
      <c r="AU38" s="311">
        <f t="shared" si="22"/>
        <v>399609</v>
      </c>
      <c r="AW38" s="218">
        <f t="shared" si="35"/>
        <v>0</v>
      </c>
      <c r="AX38" s="218">
        <f t="shared" si="35"/>
        <v>1</v>
      </c>
      <c r="AY38" s="219">
        <f t="shared" si="7"/>
        <v>0</v>
      </c>
      <c r="AZ38" s="219">
        <f t="shared" si="8"/>
        <v>1</v>
      </c>
      <c r="BA38" s="136">
        <f t="shared" si="9"/>
        <v>1</v>
      </c>
    </row>
    <row r="39" spans="1:53" s="82" customFormat="1" ht="24.95" customHeight="1" thickBot="1">
      <c r="A39" s="840"/>
      <c r="C39" s="644" t="s">
        <v>821</v>
      </c>
      <c r="D39" s="645"/>
      <c r="E39" s="645"/>
      <c r="F39" s="645"/>
      <c r="G39" s="645"/>
      <c r="H39" s="645"/>
      <c r="I39" s="645"/>
      <c r="J39" s="645"/>
      <c r="K39" s="645"/>
      <c r="L39" s="645"/>
      <c r="M39" s="696"/>
      <c r="N39" s="696"/>
      <c r="O39" s="696"/>
      <c r="P39" s="696"/>
      <c r="Q39" s="645"/>
      <c r="R39" s="645"/>
      <c r="S39" s="645"/>
      <c r="T39" s="645"/>
      <c r="U39" s="646"/>
      <c r="V39" s="645"/>
      <c r="W39" s="645"/>
      <c r="X39" s="645"/>
      <c r="Y39" s="645"/>
      <c r="Z39" s="647"/>
      <c r="AA39" s="645"/>
      <c r="AB39" s="645"/>
      <c r="AC39" s="645"/>
      <c r="AD39" s="645"/>
      <c r="AE39" s="645"/>
      <c r="AF39" s="645"/>
      <c r="AG39" s="645"/>
      <c r="AH39" s="645"/>
      <c r="AI39" s="645"/>
      <c r="AJ39" s="645"/>
      <c r="AK39" s="645"/>
      <c r="AL39" s="645"/>
      <c r="AM39" s="645"/>
      <c r="AN39" s="645"/>
      <c r="AO39" s="645"/>
      <c r="AP39" s="645"/>
      <c r="AQ39" s="645"/>
      <c r="AR39" s="648"/>
      <c r="AT39" s="82" t="str">
        <f t="shared" si="4"/>
        <v>2026년 4월 반입 예정 선박리스트</v>
      </c>
      <c r="AU39" s="311">
        <f t="shared" si="22"/>
        <v>0</v>
      </c>
      <c r="AW39" s="218">
        <f t="shared" si="35"/>
        <v>0</v>
      </c>
      <c r="AX39" s="218">
        <f t="shared" si="35"/>
        <v>0</v>
      </c>
      <c r="AY39" s="219">
        <f t="shared" si="7"/>
        <v>0</v>
      </c>
      <c r="AZ39" s="219">
        <f t="shared" si="8"/>
        <v>0</v>
      </c>
      <c r="BA39" s="136">
        <f t="shared" si="9"/>
        <v>0</v>
      </c>
    </row>
    <row r="40" spans="1:53" s="102" customFormat="1" ht="24.95" customHeight="1">
      <c r="A40" s="841"/>
      <c r="C40" s="402" t="s">
        <v>188</v>
      </c>
      <c r="D40" s="400" t="s">
        <v>939</v>
      </c>
      <c r="E40" s="403">
        <v>46105.5</v>
      </c>
      <c r="F40" s="403"/>
      <c r="G40" s="403"/>
      <c r="H40" s="403"/>
      <c r="I40" s="403"/>
      <c r="J40" s="405"/>
      <c r="K40" s="406"/>
      <c r="L40" s="407">
        <v>25000</v>
      </c>
      <c r="M40" s="408"/>
      <c r="N40" s="408"/>
      <c r="O40" s="67">
        <f>+N40+M40</f>
        <v>0</v>
      </c>
      <c r="P40" s="408"/>
      <c r="Q40" s="409"/>
      <c r="R40" s="407" t="s">
        <v>122</v>
      </c>
      <c r="S40" s="407" t="s">
        <v>448</v>
      </c>
      <c r="T40" s="396" t="s">
        <v>945</v>
      </c>
      <c r="U40" s="396" t="s">
        <v>947</v>
      </c>
      <c r="V40" s="414" t="s">
        <v>181</v>
      </c>
      <c r="W40" s="396" t="s">
        <v>184</v>
      </c>
      <c r="X40" s="407"/>
      <c r="Y40" s="407"/>
      <c r="Z40" s="410"/>
      <c r="AA40" s="411"/>
      <c r="AB40" s="376"/>
      <c r="AC40" s="376"/>
      <c r="AD40" s="377"/>
      <c r="AE40" s="378"/>
      <c r="AF40" s="412"/>
      <c r="AG40" s="411"/>
      <c r="AH40" s="411"/>
      <c r="AI40" s="411"/>
      <c r="AJ40" s="411"/>
      <c r="AK40" s="411"/>
      <c r="AL40" s="411"/>
      <c r="AM40" s="396"/>
      <c r="AN40" s="396"/>
      <c r="AO40" s="396"/>
      <c r="AP40" s="400"/>
      <c r="AQ40" s="400"/>
      <c r="AR40" s="401" t="s">
        <v>959</v>
      </c>
      <c r="AT40" s="82" t="str">
        <f>C40</f>
        <v>SNNC</v>
      </c>
      <c r="AU40" s="311">
        <f>L40</f>
        <v>25000</v>
      </c>
      <c r="AV40" s="82"/>
      <c r="AW40" s="218">
        <f>IF(M40=0,0,1)</f>
        <v>0</v>
      </c>
      <c r="AX40" s="218">
        <f>IF(N40=0,0,1)</f>
        <v>0</v>
      </c>
      <c r="AY40" s="219">
        <f>IF(AW40+AX40=2,0.5,AW40)</f>
        <v>0</v>
      </c>
      <c r="AZ40" s="219">
        <f>IF(AW40+AX40=2,0.5,AX40)</f>
        <v>0</v>
      </c>
      <c r="BA40" s="136">
        <f>AY40+AZ40</f>
        <v>0</v>
      </c>
    </row>
    <row r="41" spans="1:53" s="102" customFormat="1" ht="24.95" customHeight="1">
      <c r="A41" s="841"/>
      <c r="C41" s="402" t="s">
        <v>182</v>
      </c>
      <c r="D41" s="400" t="s">
        <v>924</v>
      </c>
      <c r="E41" s="403">
        <v>46108</v>
      </c>
      <c r="F41" s="403"/>
      <c r="G41" s="403"/>
      <c r="H41" s="403"/>
      <c r="I41" s="403"/>
      <c r="J41" s="405"/>
      <c r="K41" s="406"/>
      <c r="L41" s="407">
        <v>20000</v>
      </c>
      <c r="M41" s="408"/>
      <c r="N41" s="408"/>
      <c r="O41" s="67">
        <f>+N41+M41</f>
        <v>0</v>
      </c>
      <c r="P41" s="408"/>
      <c r="Q41" s="409"/>
      <c r="R41" s="407" t="s">
        <v>122</v>
      </c>
      <c r="S41" s="407" t="s">
        <v>183</v>
      </c>
      <c r="T41" s="396" t="s">
        <v>946</v>
      </c>
      <c r="U41" s="396" t="s">
        <v>857</v>
      </c>
      <c r="V41" s="414" t="s">
        <v>181</v>
      </c>
      <c r="W41" s="396" t="s">
        <v>184</v>
      </c>
      <c r="X41" s="407"/>
      <c r="Y41" s="407"/>
      <c r="Z41" s="410"/>
      <c r="AA41" s="411"/>
      <c r="AB41" s="376"/>
      <c r="AC41" s="376"/>
      <c r="AD41" s="377"/>
      <c r="AE41" s="378"/>
      <c r="AF41" s="412"/>
      <c r="AG41" s="411"/>
      <c r="AH41" s="411"/>
      <c r="AI41" s="411"/>
      <c r="AJ41" s="411"/>
      <c r="AK41" s="411"/>
      <c r="AL41" s="411"/>
      <c r="AM41" s="396"/>
      <c r="AN41" s="396"/>
      <c r="AO41" s="396"/>
      <c r="AP41" s="400"/>
      <c r="AQ41" s="400"/>
      <c r="AR41" s="401" t="s">
        <v>959</v>
      </c>
      <c r="AT41" s="82" t="str">
        <f t="shared" ref="AT41" si="39">C41</f>
        <v>OCI SE</v>
      </c>
      <c r="AU41" s="311">
        <f t="shared" ref="AU41" si="40">L41</f>
        <v>20000</v>
      </c>
      <c r="AV41" s="82"/>
      <c r="AW41" s="218">
        <f t="shared" ref="AW41" si="41">IF(M41=0,0,1)</f>
        <v>0</v>
      </c>
      <c r="AX41" s="218">
        <f t="shared" ref="AX41" si="42">IF(N41=0,0,1)</f>
        <v>0</v>
      </c>
      <c r="AY41" s="219">
        <f t="shared" si="7"/>
        <v>0</v>
      </c>
      <c r="AZ41" s="219">
        <f t="shared" si="8"/>
        <v>0</v>
      </c>
      <c r="BA41" s="136">
        <f t="shared" si="9"/>
        <v>0</v>
      </c>
    </row>
    <row r="42" spans="1:53" s="82" customFormat="1" ht="24.95" customHeight="1">
      <c r="A42" s="308"/>
      <c r="C42" s="923" t="s">
        <v>777</v>
      </c>
      <c r="D42" s="71" t="s">
        <v>963</v>
      </c>
      <c r="E42" s="64">
        <v>46110</v>
      </c>
      <c r="F42" s="64"/>
      <c r="G42" s="64"/>
      <c r="H42" s="64"/>
      <c r="I42" s="64"/>
      <c r="J42" s="65"/>
      <c r="K42" s="66"/>
      <c r="L42" s="69">
        <v>30000</v>
      </c>
      <c r="M42" s="67"/>
      <c r="N42" s="67"/>
      <c r="O42" s="67">
        <f>+M42+N42</f>
        <v>0</v>
      </c>
      <c r="P42" s="67"/>
      <c r="Q42" s="69"/>
      <c r="R42" s="407" t="s">
        <v>122</v>
      </c>
      <c r="S42" s="70"/>
      <c r="T42" s="70" t="s">
        <v>964</v>
      </c>
      <c r="U42" s="70"/>
      <c r="V42" s="70"/>
      <c r="W42" s="70"/>
      <c r="X42" s="69"/>
      <c r="Y42" s="69"/>
      <c r="Z42" s="204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0"/>
      <c r="AN42" s="70"/>
      <c r="AO42" s="70"/>
      <c r="AP42" s="71"/>
      <c r="AQ42" s="71"/>
      <c r="AR42" s="104"/>
      <c r="AU42" s="311"/>
      <c r="AW42" s="218"/>
      <c r="AX42" s="218"/>
      <c r="AY42" s="219"/>
      <c r="AZ42" s="219"/>
      <c r="BA42" s="136"/>
    </row>
    <row r="43" spans="1:53" s="82" customFormat="1" ht="24.95" customHeight="1">
      <c r="A43" s="308"/>
      <c r="C43" s="923" t="s">
        <v>777</v>
      </c>
      <c r="D43" s="71" t="s">
        <v>219</v>
      </c>
      <c r="E43" s="64">
        <v>46114</v>
      </c>
      <c r="F43" s="64"/>
      <c r="G43" s="64"/>
      <c r="H43" s="64"/>
      <c r="I43" s="64"/>
      <c r="J43" s="65"/>
      <c r="K43" s="66"/>
      <c r="L43" s="69">
        <v>40000</v>
      </c>
      <c r="M43" s="67"/>
      <c r="N43" s="67"/>
      <c r="O43" s="67">
        <f>+M43+N43</f>
        <v>0</v>
      </c>
      <c r="P43" s="67"/>
      <c r="Q43" s="69"/>
      <c r="R43" s="407" t="s">
        <v>122</v>
      </c>
      <c r="S43" s="70"/>
      <c r="T43" s="70" t="s">
        <v>867</v>
      </c>
      <c r="U43" s="70"/>
      <c r="V43" s="70"/>
      <c r="W43" s="70"/>
      <c r="X43" s="69"/>
      <c r="Y43" s="69"/>
      <c r="Z43" s="204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0"/>
      <c r="AN43" s="70"/>
      <c r="AO43" s="70"/>
      <c r="AP43" s="71"/>
      <c r="AQ43" s="71"/>
      <c r="AR43" s="104"/>
      <c r="AU43" s="311"/>
      <c r="AW43" s="218"/>
      <c r="AX43" s="218"/>
      <c r="AY43" s="219"/>
      <c r="AZ43" s="219"/>
      <c r="BA43" s="136"/>
    </row>
    <row r="44" spans="1:53" s="82" customFormat="1" ht="24.95" customHeight="1">
      <c r="A44" s="308"/>
      <c r="C44" s="923" t="s">
        <v>777</v>
      </c>
      <c r="D44" s="71" t="s">
        <v>952</v>
      </c>
      <c r="E44" s="64">
        <v>46123</v>
      </c>
      <c r="F44" s="64"/>
      <c r="G44" s="64"/>
      <c r="H44" s="64"/>
      <c r="I44" s="64"/>
      <c r="J44" s="65"/>
      <c r="K44" s="66"/>
      <c r="L44" s="69">
        <v>50000</v>
      </c>
      <c r="M44" s="67"/>
      <c r="N44" s="67"/>
      <c r="O44" s="67"/>
      <c r="P44" s="67"/>
      <c r="Q44" s="69"/>
      <c r="R44" s="407" t="s">
        <v>278</v>
      </c>
      <c r="S44" s="70"/>
      <c r="T44" s="70" t="s">
        <v>871</v>
      </c>
      <c r="U44" s="70"/>
      <c r="V44" s="70"/>
      <c r="W44" s="70"/>
      <c r="X44" s="69"/>
      <c r="Y44" s="69"/>
      <c r="Z44" s="204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0"/>
      <c r="AN44" s="70"/>
      <c r="AO44" s="70"/>
      <c r="AP44" s="71"/>
      <c r="AQ44" s="71"/>
      <c r="AR44" s="104"/>
      <c r="AU44" s="311"/>
      <c r="AW44" s="218"/>
      <c r="AX44" s="218"/>
      <c r="AY44" s="219"/>
      <c r="AZ44" s="219"/>
      <c r="BA44" s="136"/>
    </row>
    <row r="45" spans="1:53" s="82" customFormat="1" ht="24.95" customHeight="1">
      <c r="A45" s="308"/>
      <c r="C45" s="923" t="s">
        <v>188</v>
      </c>
      <c r="D45" s="71" t="s">
        <v>940</v>
      </c>
      <c r="E45" s="64">
        <v>46125</v>
      </c>
      <c r="F45" s="64"/>
      <c r="G45" s="64"/>
      <c r="H45" s="64"/>
      <c r="I45" s="64"/>
      <c r="J45" s="65"/>
      <c r="K45" s="66"/>
      <c r="L45" s="69">
        <v>55000</v>
      </c>
      <c r="M45" s="67"/>
      <c r="N45" s="67"/>
      <c r="O45" s="67">
        <f>+M45+N45</f>
        <v>0</v>
      </c>
      <c r="P45" s="67"/>
      <c r="Q45" s="69"/>
      <c r="R45" s="407" t="s">
        <v>122</v>
      </c>
      <c r="S45" s="70" t="s">
        <v>448</v>
      </c>
      <c r="T45" s="70"/>
      <c r="U45" s="70"/>
      <c r="V45" s="70"/>
      <c r="W45" s="70" t="s">
        <v>782</v>
      </c>
      <c r="X45" s="69"/>
      <c r="Y45" s="69"/>
      <c r="Z45" s="204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0"/>
      <c r="AN45" s="70"/>
      <c r="AO45" s="70"/>
      <c r="AP45" s="71"/>
      <c r="AQ45" s="71"/>
      <c r="AR45" s="104"/>
      <c r="AU45" s="311"/>
      <c r="AW45" s="218"/>
      <c r="AX45" s="218"/>
      <c r="AY45" s="219"/>
      <c r="AZ45" s="219"/>
      <c r="BA45" s="136"/>
    </row>
    <row r="46" spans="1:53" s="82" customFormat="1" ht="24.95" customHeight="1">
      <c r="A46" s="308"/>
      <c r="C46" s="105" t="s">
        <v>185</v>
      </c>
      <c r="D46" s="71" t="s">
        <v>219</v>
      </c>
      <c r="E46" s="64">
        <v>46132</v>
      </c>
      <c r="F46" s="64"/>
      <c r="G46" s="64"/>
      <c r="H46" s="64"/>
      <c r="I46" s="64"/>
      <c r="J46" s="65"/>
      <c r="K46" s="66"/>
      <c r="L46" s="69">
        <v>77000</v>
      </c>
      <c r="M46" s="67"/>
      <c r="N46" s="67"/>
      <c r="O46" s="67"/>
      <c r="P46" s="67"/>
      <c r="Q46" s="68"/>
      <c r="R46" s="407" t="s">
        <v>122</v>
      </c>
      <c r="S46" s="70" t="s">
        <v>183</v>
      </c>
      <c r="T46" s="70"/>
      <c r="U46" s="70"/>
      <c r="V46" s="70"/>
      <c r="W46" s="70" t="s">
        <v>184</v>
      </c>
      <c r="X46" s="83"/>
      <c r="Y46" s="83"/>
      <c r="Z46" s="206"/>
      <c r="AA46" s="84"/>
      <c r="AB46" s="192"/>
      <c r="AC46" s="192"/>
      <c r="AD46" s="193"/>
      <c r="AE46" s="89"/>
      <c r="AF46" s="194"/>
      <c r="AG46" s="72"/>
      <c r="AH46" s="72"/>
      <c r="AI46" s="72"/>
      <c r="AJ46" s="72"/>
      <c r="AK46" s="72"/>
      <c r="AL46" s="72"/>
      <c r="AM46" s="70"/>
      <c r="AN46" s="83"/>
      <c r="AO46" s="83"/>
      <c r="AP46" s="71"/>
      <c r="AQ46" s="71"/>
      <c r="AR46" s="104"/>
      <c r="AU46" s="311"/>
      <c r="AW46" s="218"/>
      <c r="AX46" s="218"/>
      <c r="AY46" s="219"/>
      <c r="AZ46" s="219"/>
      <c r="BA46" s="136"/>
    </row>
    <row r="47" spans="1:53" s="82" customFormat="1" ht="24.95" customHeight="1">
      <c r="A47" s="308"/>
      <c r="C47" s="105" t="s">
        <v>182</v>
      </c>
      <c r="D47" s="71" t="s">
        <v>219</v>
      </c>
      <c r="E47" s="64" t="s">
        <v>887</v>
      </c>
      <c r="F47" s="64"/>
      <c r="G47" s="64"/>
      <c r="H47" s="64"/>
      <c r="I47" s="64"/>
      <c r="J47" s="65"/>
      <c r="K47" s="66"/>
      <c r="L47" s="407">
        <v>20000</v>
      </c>
      <c r="M47" s="67"/>
      <c r="N47" s="67"/>
      <c r="O47" s="67"/>
      <c r="P47" s="67"/>
      <c r="Q47" s="68"/>
      <c r="R47" s="407" t="s">
        <v>122</v>
      </c>
      <c r="S47" s="70" t="s">
        <v>183</v>
      </c>
      <c r="T47" s="70" t="s">
        <v>228</v>
      </c>
      <c r="U47" s="70"/>
      <c r="V47" s="70"/>
      <c r="W47" s="70" t="s">
        <v>184</v>
      </c>
      <c r="X47" s="83"/>
      <c r="Y47" s="83"/>
      <c r="Z47" s="206"/>
      <c r="AA47" s="84"/>
      <c r="AB47" s="192"/>
      <c r="AC47" s="192"/>
      <c r="AD47" s="193"/>
      <c r="AE47" s="89"/>
      <c r="AF47" s="194"/>
      <c r="AG47" s="72"/>
      <c r="AH47" s="72"/>
      <c r="AI47" s="72"/>
      <c r="AJ47" s="72"/>
      <c r="AK47" s="72"/>
      <c r="AL47" s="72"/>
      <c r="AM47" s="70"/>
      <c r="AN47" s="83"/>
      <c r="AO47" s="83"/>
      <c r="AP47" s="71"/>
      <c r="AQ47" s="71"/>
      <c r="AR47" s="104"/>
      <c r="AU47" s="311"/>
      <c r="AW47" s="218"/>
      <c r="AX47" s="218"/>
      <c r="AY47" s="219"/>
      <c r="AZ47" s="219"/>
      <c r="BA47" s="136"/>
    </row>
    <row r="48" spans="1:53" s="82" customFormat="1" ht="24.95" customHeight="1">
      <c r="A48" s="308"/>
      <c r="C48" s="105" t="s">
        <v>222</v>
      </c>
      <c r="D48" s="71" t="s">
        <v>219</v>
      </c>
      <c r="E48" s="64" t="s">
        <v>926</v>
      </c>
      <c r="F48" s="64"/>
      <c r="G48" s="64"/>
      <c r="H48" s="64"/>
      <c r="I48" s="64"/>
      <c r="J48" s="65"/>
      <c r="K48" s="66"/>
      <c r="L48" s="69">
        <v>20000</v>
      </c>
      <c r="M48" s="67"/>
      <c r="N48" s="67"/>
      <c r="O48" s="67">
        <f>+M48+N48</f>
        <v>0</v>
      </c>
      <c r="P48" s="67"/>
      <c r="Q48" s="68"/>
      <c r="R48" s="407" t="s">
        <v>122</v>
      </c>
      <c r="S48" s="70" t="s">
        <v>279</v>
      </c>
      <c r="T48" s="70" t="s">
        <v>597</v>
      </c>
      <c r="U48" s="70"/>
      <c r="V48" s="70"/>
      <c r="W48" s="70"/>
      <c r="X48" s="83"/>
      <c r="Y48" s="83"/>
      <c r="Z48" s="206"/>
      <c r="AA48" s="84"/>
      <c r="AB48" s="192"/>
      <c r="AC48" s="192"/>
      <c r="AD48" s="193"/>
      <c r="AE48" s="89"/>
      <c r="AF48" s="194"/>
      <c r="AG48" s="72"/>
      <c r="AH48" s="72"/>
      <c r="AI48" s="72"/>
      <c r="AJ48" s="72"/>
      <c r="AK48" s="72"/>
      <c r="AL48" s="72"/>
      <c r="AM48" s="70"/>
      <c r="AN48" s="83"/>
      <c r="AO48" s="83"/>
      <c r="AP48" s="71"/>
      <c r="AQ48" s="71"/>
      <c r="AR48" s="104"/>
      <c r="AU48" s="311"/>
      <c r="AW48" s="218"/>
      <c r="AX48" s="218"/>
      <c r="AY48" s="219"/>
      <c r="AZ48" s="219"/>
      <c r="BA48" s="136"/>
    </row>
    <row r="49" spans="1:53" s="82" customFormat="1" ht="24.95" customHeight="1">
      <c r="A49" s="308"/>
      <c r="C49" s="63"/>
      <c r="D49" s="71"/>
      <c r="E49" s="64"/>
      <c r="F49" s="64"/>
      <c r="G49" s="64"/>
      <c r="H49" s="64"/>
      <c r="I49" s="64"/>
      <c r="J49" s="65"/>
      <c r="K49" s="66"/>
      <c r="L49" s="69"/>
      <c r="M49" s="67"/>
      <c r="N49" s="69"/>
      <c r="O49" s="67">
        <f t="shared" ref="O49" si="43">+M49+N49</f>
        <v>0</v>
      </c>
      <c r="P49" s="67"/>
      <c r="Q49" s="68"/>
      <c r="R49" s="69"/>
      <c r="S49" s="70"/>
      <c r="T49" s="70"/>
      <c r="U49" s="70"/>
      <c r="V49" s="73"/>
      <c r="W49" s="70"/>
      <c r="X49" s="83"/>
      <c r="Y49" s="83"/>
      <c r="Z49" s="206"/>
      <c r="AA49" s="84"/>
      <c r="AB49" s="192"/>
      <c r="AC49" s="192"/>
      <c r="AD49" s="193"/>
      <c r="AE49" s="89"/>
      <c r="AF49" s="194"/>
      <c r="AG49" s="72"/>
      <c r="AH49" s="72"/>
      <c r="AI49" s="72"/>
      <c r="AJ49" s="64"/>
      <c r="AK49" s="64"/>
      <c r="AL49" s="72"/>
      <c r="AM49" s="70"/>
      <c r="AN49" s="70"/>
      <c r="AO49" s="70"/>
      <c r="AP49" s="73"/>
      <c r="AQ49" s="73"/>
      <c r="AR49" s="107"/>
      <c r="AU49" s="311"/>
      <c r="AW49" s="218"/>
      <c r="AX49" s="218"/>
      <c r="AY49" s="219"/>
      <c r="AZ49" s="219"/>
      <c r="BA49" s="136"/>
    </row>
    <row r="50" spans="1:53" s="82" customFormat="1" ht="24.95" customHeight="1" thickBot="1">
      <c r="A50" s="840"/>
      <c r="C50" s="698"/>
      <c r="D50" s="91"/>
      <c r="E50" s="92"/>
      <c r="F50" s="92"/>
      <c r="G50" s="92"/>
      <c r="H50" s="92"/>
      <c r="I50" s="92"/>
      <c r="J50" s="150">
        <f>IFERROR(AVERAGE(J46:J49),0)</f>
        <v>0</v>
      </c>
      <c r="K50" s="150">
        <f>IFERROR(AVERAGE(K46:K49),0)</f>
        <v>0</v>
      </c>
      <c r="L50" s="95">
        <f>SUM(L40:L49)</f>
        <v>337000</v>
      </c>
      <c r="M50" s="95">
        <f>SUM(M43:M49)</f>
        <v>0</v>
      </c>
      <c r="N50" s="95">
        <f>SUM(N40:N49)</f>
        <v>0</v>
      </c>
      <c r="O50" s="95">
        <f>SUM(O40:O49)</f>
        <v>0</v>
      </c>
      <c r="P50" s="93"/>
      <c r="Q50" s="95"/>
      <c r="R50" s="95"/>
      <c r="S50" s="91"/>
      <c r="T50" s="91"/>
      <c r="U50" s="97"/>
      <c r="V50" s="96"/>
      <c r="W50" s="97"/>
      <c r="X50" s="98"/>
      <c r="Y50" s="98"/>
      <c r="Z50" s="207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100"/>
      <c r="AN50" s="100"/>
      <c r="AO50" s="100"/>
      <c r="AP50" s="96"/>
      <c r="AQ50" s="96"/>
      <c r="AR50" s="699"/>
      <c r="AT50" s="82">
        <f t="shared" si="4"/>
        <v>0</v>
      </c>
      <c r="AU50" s="311">
        <f t="shared" si="22"/>
        <v>337000</v>
      </c>
      <c r="AW50" s="218">
        <f t="shared" si="35"/>
        <v>0</v>
      </c>
      <c r="AX50" s="218">
        <f t="shared" si="35"/>
        <v>0</v>
      </c>
      <c r="AY50" s="219">
        <f t="shared" si="7"/>
        <v>0</v>
      </c>
      <c r="AZ50" s="219">
        <f t="shared" si="8"/>
        <v>0</v>
      </c>
      <c r="BA50" s="136">
        <f t="shared" si="9"/>
        <v>0</v>
      </c>
    </row>
    <row r="51" spans="1:53" s="82" customFormat="1" ht="24.95" hidden="1" customHeight="1" outlineLevel="1" thickBot="1">
      <c r="A51" s="840"/>
      <c r="C51" s="644" t="s">
        <v>823</v>
      </c>
      <c r="D51" s="645"/>
      <c r="E51" s="645"/>
      <c r="F51" s="645"/>
      <c r="G51" s="645"/>
      <c r="H51" s="645"/>
      <c r="I51" s="645"/>
      <c r="J51" s="645"/>
      <c r="K51" s="645"/>
      <c r="L51" s="645"/>
      <c r="M51" s="696"/>
      <c r="N51" s="696"/>
      <c r="O51" s="696"/>
      <c r="P51" s="696"/>
      <c r="Q51" s="645"/>
      <c r="R51" s="645"/>
      <c r="S51" s="645"/>
      <c r="T51" s="645"/>
      <c r="U51" s="646"/>
      <c r="V51" s="645"/>
      <c r="W51" s="645"/>
      <c r="X51" s="645"/>
      <c r="Y51" s="645"/>
      <c r="Z51" s="647"/>
      <c r="AA51" s="645"/>
      <c r="AB51" s="645"/>
      <c r="AC51" s="645"/>
      <c r="AD51" s="645"/>
      <c r="AE51" s="645"/>
      <c r="AF51" s="645"/>
      <c r="AG51" s="645"/>
      <c r="AH51" s="645"/>
      <c r="AI51" s="645"/>
      <c r="AJ51" s="645"/>
      <c r="AK51" s="645"/>
      <c r="AL51" s="645"/>
      <c r="AM51" s="645"/>
      <c r="AN51" s="645"/>
      <c r="AO51" s="645"/>
      <c r="AP51" s="645"/>
      <c r="AQ51" s="645"/>
      <c r="AR51" s="648"/>
      <c r="AT51" s="82" t="str">
        <f t="shared" si="4"/>
        <v>2026년 5월 반입 예정 선박리스트</v>
      </c>
      <c r="AU51" s="311">
        <f t="shared" si="22"/>
        <v>0</v>
      </c>
      <c r="AW51" s="218">
        <f t="shared" si="35"/>
        <v>0</v>
      </c>
      <c r="AX51" s="218">
        <f t="shared" si="35"/>
        <v>0</v>
      </c>
      <c r="AY51" s="219">
        <f t="shared" si="7"/>
        <v>0</v>
      </c>
      <c r="AZ51" s="219">
        <f t="shared" si="8"/>
        <v>0</v>
      </c>
      <c r="BA51" s="136">
        <f t="shared" si="9"/>
        <v>0</v>
      </c>
    </row>
    <row r="52" spans="1:53" s="82" customFormat="1" ht="24.95" hidden="1" customHeight="1" outlineLevel="1">
      <c r="A52" s="840"/>
      <c r="C52" s="63" t="s">
        <v>188</v>
      </c>
      <c r="D52" s="71" t="s">
        <v>219</v>
      </c>
      <c r="E52" s="64" t="s">
        <v>957</v>
      </c>
      <c r="F52" s="64"/>
      <c r="G52" s="64"/>
      <c r="H52" s="64"/>
      <c r="I52" s="64"/>
      <c r="J52" s="65"/>
      <c r="K52" s="66"/>
      <c r="L52" s="407">
        <v>33000</v>
      </c>
      <c r="M52" s="67"/>
      <c r="N52" s="69"/>
      <c r="O52" s="67">
        <f>+M52+N52</f>
        <v>0</v>
      </c>
      <c r="P52" s="67"/>
      <c r="Q52" s="69"/>
      <c r="R52" s="407" t="s">
        <v>122</v>
      </c>
      <c r="S52" s="70" t="s">
        <v>183</v>
      </c>
      <c r="T52" s="70"/>
      <c r="U52" s="70" t="s">
        <v>792</v>
      </c>
      <c r="V52" s="70"/>
      <c r="W52" s="70" t="s">
        <v>184</v>
      </c>
      <c r="X52" s="925"/>
      <c r="Y52" s="83"/>
      <c r="Z52" s="70"/>
      <c r="AA52" s="926"/>
      <c r="AB52" s="70"/>
      <c r="AC52" s="70"/>
      <c r="AD52" s="193"/>
      <c r="AE52" s="89"/>
      <c r="AF52" s="194"/>
      <c r="AG52" s="72"/>
      <c r="AH52" s="72"/>
      <c r="AI52" s="72"/>
      <c r="AJ52" s="72"/>
      <c r="AK52" s="72"/>
      <c r="AL52" s="72"/>
      <c r="AM52" s="70"/>
      <c r="AN52" s="70"/>
      <c r="AO52" s="70"/>
      <c r="AP52" s="87"/>
      <c r="AQ52" s="71"/>
      <c r="AR52" s="927"/>
      <c r="AU52" s="311"/>
      <c r="AW52" s="218"/>
      <c r="AX52" s="218"/>
      <c r="AY52" s="219"/>
      <c r="AZ52" s="219"/>
      <c r="BA52" s="136"/>
    </row>
    <row r="53" spans="1:53" s="82" customFormat="1" ht="24.95" hidden="1" customHeight="1" outlineLevel="1">
      <c r="A53" s="840"/>
      <c r="C53" s="63" t="s">
        <v>182</v>
      </c>
      <c r="D53" s="71" t="s">
        <v>219</v>
      </c>
      <c r="E53" s="64" t="s">
        <v>958</v>
      </c>
      <c r="F53" s="64"/>
      <c r="G53" s="64"/>
      <c r="H53" s="64"/>
      <c r="I53" s="64"/>
      <c r="J53" s="65"/>
      <c r="K53" s="66"/>
      <c r="L53" s="407">
        <v>75000</v>
      </c>
      <c r="M53" s="67"/>
      <c r="N53" s="69"/>
      <c r="O53" s="67">
        <f>+M53+N53</f>
        <v>0</v>
      </c>
      <c r="P53" s="67"/>
      <c r="Q53" s="69"/>
      <c r="R53" s="407" t="s">
        <v>122</v>
      </c>
      <c r="S53" s="70" t="s">
        <v>183</v>
      </c>
      <c r="T53" s="70" t="s">
        <v>228</v>
      </c>
      <c r="U53" s="70"/>
      <c r="V53" s="70"/>
      <c r="W53" s="70" t="s">
        <v>184</v>
      </c>
      <c r="X53" s="925"/>
      <c r="Y53" s="83"/>
      <c r="Z53" s="70"/>
      <c r="AA53" s="926"/>
      <c r="AB53" s="70"/>
      <c r="AC53" s="70"/>
      <c r="AD53" s="193"/>
      <c r="AE53" s="89"/>
      <c r="AF53" s="194"/>
      <c r="AG53" s="72"/>
      <c r="AH53" s="72"/>
      <c r="AI53" s="72"/>
      <c r="AJ53" s="72"/>
      <c r="AK53" s="72"/>
      <c r="AL53" s="72"/>
      <c r="AM53" s="70"/>
      <c r="AN53" s="70"/>
      <c r="AO53" s="70"/>
      <c r="AP53" s="87"/>
      <c r="AQ53" s="71"/>
      <c r="AR53" s="927"/>
      <c r="AU53" s="311"/>
      <c r="AW53" s="218"/>
      <c r="AX53" s="218"/>
      <c r="AY53" s="219"/>
      <c r="AZ53" s="219"/>
      <c r="BA53" s="136"/>
    </row>
    <row r="54" spans="1:53" s="82" customFormat="1" ht="24.95" hidden="1" customHeight="1" outlineLevel="1">
      <c r="A54" s="840"/>
      <c r="C54" s="923"/>
      <c r="D54" s="929"/>
      <c r="E54" s="64"/>
      <c r="F54" s="64"/>
      <c r="G54" s="64"/>
      <c r="H54" s="64"/>
      <c r="I54" s="64"/>
      <c r="J54" s="65"/>
      <c r="K54" s="66"/>
      <c r="L54" s="69"/>
      <c r="M54" s="67"/>
      <c r="N54" s="67"/>
      <c r="O54" s="67">
        <f t="shared" ref="O54:O55" si="44">+M54+N54</f>
        <v>0</v>
      </c>
      <c r="P54" s="67"/>
      <c r="Q54" s="69"/>
      <c r="R54" s="69"/>
      <c r="S54" s="70"/>
      <c r="T54" s="70"/>
      <c r="U54" s="70"/>
      <c r="V54" s="70"/>
      <c r="W54" s="70"/>
      <c r="X54" s="925"/>
      <c r="Y54" s="83"/>
      <c r="Z54" s="70"/>
      <c r="AA54" s="926"/>
      <c r="AB54" s="192"/>
      <c r="AC54" s="192"/>
      <c r="AD54" s="193"/>
      <c r="AE54" s="89"/>
      <c r="AF54" s="194"/>
      <c r="AG54" s="72"/>
      <c r="AH54" s="72"/>
      <c r="AI54" s="72"/>
      <c r="AJ54" s="72"/>
      <c r="AK54" s="72"/>
      <c r="AL54" s="72"/>
      <c r="AM54" s="70"/>
      <c r="AN54" s="70"/>
      <c r="AO54" s="70"/>
      <c r="AP54" s="71"/>
      <c r="AQ54" s="73"/>
      <c r="AR54" s="928"/>
      <c r="AU54" s="311"/>
      <c r="AW54" s="218"/>
      <c r="AX54" s="218"/>
      <c r="AY54" s="219"/>
      <c r="AZ54" s="219"/>
      <c r="BA54" s="136"/>
    </row>
    <row r="55" spans="1:53" s="82" customFormat="1" ht="24.95" hidden="1" customHeight="1" outlineLevel="1">
      <c r="A55" s="840"/>
      <c r="C55" s="105"/>
      <c r="D55" s="929"/>
      <c r="E55" s="930"/>
      <c r="F55" s="64"/>
      <c r="G55" s="64"/>
      <c r="H55" s="64"/>
      <c r="I55" s="64"/>
      <c r="J55" s="65"/>
      <c r="K55" s="66"/>
      <c r="L55" s="69"/>
      <c r="M55" s="67"/>
      <c r="N55" s="69"/>
      <c r="O55" s="67">
        <f t="shared" si="44"/>
        <v>0</v>
      </c>
      <c r="P55" s="67"/>
      <c r="Q55" s="68"/>
      <c r="R55" s="69"/>
      <c r="S55" s="70"/>
      <c r="T55" s="70"/>
      <c r="U55" s="70"/>
      <c r="V55" s="70"/>
      <c r="W55" s="70"/>
      <c r="X55" s="925"/>
      <c r="Y55" s="83"/>
      <c r="Z55" s="70"/>
      <c r="AA55" s="926"/>
      <c r="AB55" s="192"/>
      <c r="AC55" s="192"/>
      <c r="AD55" s="193"/>
      <c r="AE55" s="89"/>
      <c r="AF55" s="194"/>
      <c r="AG55" s="72"/>
      <c r="AH55" s="72"/>
      <c r="AI55" s="72"/>
      <c r="AJ55" s="72"/>
      <c r="AK55" s="72"/>
      <c r="AL55" s="72"/>
      <c r="AM55" s="70"/>
      <c r="AN55" s="70"/>
      <c r="AO55" s="70"/>
      <c r="AP55" s="71"/>
      <c r="AQ55" s="73"/>
      <c r="AR55" s="928"/>
      <c r="AU55" s="311"/>
      <c r="AW55" s="218"/>
      <c r="AX55" s="218"/>
      <c r="AY55" s="219"/>
      <c r="AZ55" s="219"/>
      <c r="BA55" s="136"/>
    </row>
    <row r="56" spans="1:53" s="82" customFormat="1" ht="24.95" hidden="1" customHeight="1" outlineLevel="1" thickBot="1">
      <c r="A56" s="840"/>
      <c r="C56" s="108"/>
      <c r="D56" s="91"/>
      <c r="E56" s="92"/>
      <c r="F56" s="92"/>
      <c r="G56" s="92"/>
      <c r="H56" s="92"/>
      <c r="I56" s="92"/>
      <c r="J56" s="150">
        <f>IFERROR(AVERAGE(J52:J55),0)</f>
        <v>0</v>
      </c>
      <c r="K56" s="150">
        <f>IFERROR(AVERAGE(K52:K55),0)</f>
        <v>0</v>
      </c>
      <c r="L56" s="95">
        <f>SUM(L52:L55)</f>
        <v>108000</v>
      </c>
      <c r="M56" s="95">
        <f>SUM(M52:M55)</f>
        <v>0</v>
      </c>
      <c r="N56" s="95">
        <f>SUM(N52:N55)</f>
        <v>0</v>
      </c>
      <c r="O56" s="95">
        <f>SUM(O52:O55)</f>
        <v>0</v>
      </c>
      <c r="P56" s="93"/>
      <c r="Q56" s="95"/>
      <c r="R56" s="95"/>
      <c r="S56" s="91"/>
      <c r="T56" s="91"/>
      <c r="U56" s="97"/>
      <c r="V56" s="96"/>
      <c r="W56" s="97"/>
      <c r="X56" s="98"/>
      <c r="Y56" s="98"/>
      <c r="Z56" s="207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100"/>
      <c r="AN56" s="100"/>
      <c r="AO56" s="100"/>
      <c r="AP56" s="96"/>
      <c r="AQ56" s="96"/>
      <c r="AR56" s="773"/>
      <c r="AT56" s="82">
        <f t="shared" ref="AT56:AT66" si="45">C56</f>
        <v>0</v>
      </c>
      <c r="AU56" s="311">
        <f t="shared" si="22"/>
        <v>108000</v>
      </c>
      <c r="AW56" s="218">
        <f t="shared" ref="AW56:AX57" si="46">IF(M56=0,0,1)</f>
        <v>0</v>
      </c>
      <c r="AX56" s="218">
        <f t="shared" si="46"/>
        <v>0</v>
      </c>
      <c r="AY56" s="219">
        <f t="shared" si="7"/>
        <v>0</v>
      </c>
      <c r="AZ56" s="219">
        <f t="shared" si="8"/>
        <v>0</v>
      </c>
      <c r="BA56" s="136">
        <f t="shared" si="9"/>
        <v>0</v>
      </c>
    </row>
    <row r="57" spans="1:53" s="82" customFormat="1" ht="24.95" hidden="1" customHeight="1" outlineLevel="1" thickBot="1">
      <c r="A57" s="840"/>
      <c r="C57" s="644" t="s">
        <v>824</v>
      </c>
      <c r="D57" s="645"/>
      <c r="E57" s="645"/>
      <c r="F57" s="645"/>
      <c r="G57" s="645"/>
      <c r="H57" s="645"/>
      <c r="I57" s="645"/>
      <c r="J57" s="645"/>
      <c r="K57" s="645"/>
      <c r="L57" s="645"/>
      <c r="M57" s="696"/>
      <c r="N57" s="696"/>
      <c r="O57" s="696"/>
      <c r="P57" s="696"/>
      <c r="Q57" s="645"/>
      <c r="R57" s="645"/>
      <c r="S57" s="645"/>
      <c r="T57" s="645"/>
      <c r="U57" s="646"/>
      <c r="V57" s="645"/>
      <c r="W57" s="645"/>
      <c r="X57" s="645"/>
      <c r="Y57" s="645"/>
      <c r="Z57" s="647"/>
      <c r="AA57" s="645"/>
      <c r="AB57" s="645"/>
      <c r="AC57" s="645"/>
      <c r="AD57" s="645"/>
      <c r="AE57" s="645"/>
      <c r="AF57" s="645"/>
      <c r="AG57" s="645"/>
      <c r="AH57" s="645"/>
      <c r="AI57" s="645"/>
      <c r="AJ57" s="645"/>
      <c r="AK57" s="645"/>
      <c r="AL57" s="645"/>
      <c r="AM57" s="645"/>
      <c r="AN57" s="645"/>
      <c r="AO57" s="645"/>
      <c r="AP57" s="645"/>
      <c r="AQ57" s="645"/>
      <c r="AR57" s="648"/>
      <c r="AT57" s="82" t="str">
        <f t="shared" si="45"/>
        <v>2026년 6월 반입 예정 선박리스트</v>
      </c>
      <c r="AU57" s="311">
        <f t="shared" si="22"/>
        <v>0</v>
      </c>
      <c r="AW57" s="218">
        <f t="shared" si="46"/>
        <v>0</v>
      </c>
      <c r="AX57" s="218">
        <f t="shared" si="46"/>
        <v>0</v>
      </c>
      <c r="AY57" s="219">
        <f t="shared" si="7"/>
        <v>0</v>
      </c>
      <c r="AZ57" s="219">
        <f t="shared" si="8"/>
        <v>0</v>
      </c>
      <c r="BA57" s="136">
        <f t="shared" si="9"/>
        <v>0</v>
      </c>
    </row>
    <row r="58" spans="1:53" s="82" customFormat="1" ht="24.95" hidden="1" customHeight="1" outlineLevel="1">
      <c r="A58" s="308"/>
      <c r="C58" s="923"/>
      <c r="D58" s="929"/>
      <c r="E58" s="64"/>
      <c r="F58" s="64"/>
      <c r="G58" s="64"/>
      <c r="H58" s="64"/>
      <c r="I58" s="64"/>
      <c r="J58" s="65"/>
      <c r="K58" s="66"/>
      <c r="L58" s="69"/>
      <c r="M58" s="67"/>
      <c r="N58" s="67"/>
      <c r="O58" s="67">
        <f t="shared" ref="O58:O64" si="47">+M58+N58</f>
        <v>0</v>
      </c>
      <c r="P58" s="67"/>
      <c r="Q58" s="69"/>
      <c r="R58" s="69"/>
      <c r="S58" s="70"/>
      <c r="T58" s="70"/>
      <c r="U58" s="70"/>
      <c r="V58" s="70"/>
      <c r="W58" s="70"/>
      <c r="X58" s="925"/>
      <c r="Y58" s="83"/>
      <c r="Z58" s="70"/>
      <c r="AA58" s="926"/>
      <c r="AB58" s="192"/>
      <c r="AC58" s="192"/>
      <c r="AD58" s="193"/>
      <c r="AE58" s="89"/>
      <c r="AF58" s="194"/>
      <c r="AG58" s="72"/>
      <c r="AH58" s="72"/>
      <c r="AI58" s="72"/>
      <c r="AJ58" s="72"/>
      <c r="AK58" s="72"/>
      <c r="AL58" s="72"/>
      <c r="AM58" s="70"/>
      <c r="AN58" s="70"/>
      <c r="AO58" s="70"/>
      <c r="AP58" s="71"/>
      <c r="AQ58" s="73"/>
      <c r="AR58" s="928"/>
      <c r="AU58" s="311"/>
      <c r="AW58" s="218"/>
      <c r="AX58" s="218"/>
      <c r="AY58" s="219"/>
      <c r="AZ58" s="219"/>
      <c r="BA58" s="136"/>
    </row>
    <row r="59" spans="1:53" s="82" customFormat="1" ht="24.95" hidden="1" customHeight="1" outlineLevel="1">
      <c r="A59" s="308"/>
      <c r="C59" s="105"/>
      <c r="D59" s="929"/>
      <c r="E59" s="64"/>
      <c r="F59" s="64"/>
      <c r="G59" s="64"/>
      <c r="H59" s="64"/>
      <c r="I59" s="64"/>
      <c r="J59" s="65"/>
      <c r="K59" s="66"/>
      <c r="L59" s="69"/>
      <c r="M59" s="67"/>
      <c r="N59" s="69"/>
      <c r="O59" s="67">
        <f t="shared" si="47"/>
        <v>0</v>
      </c>
      <c r="P59" s="67"/>
      <c r="Q59" s="68"/>
      <c r="R59" s="69"/>
      <c r="S59" s="70"/>
      <c r="T59" s="70"/>
      <c r="U59" s="70"/>
      <c r="V59" s="70"/>
      <c r="W59" s="70"/>
      <c r="X59" s="925"/>
      <c r="Y59" s="83"/>
      <c r="Z59" s="70"/>
      <c r="AA59" s="926"/>
      <c r="AB59" s="192"/>
      <c r="AC59" s="192"/>
      <c r="AD59" s="193"/>
      <c r="AE59" s="89"/>
      <c r="AF59" s="194"/>
      <c r="AG59" s="72"/>
      <c r="AH59" s="72"/>
      <c r="AI59" s="72"/>
      <c r="AJ59" s="72"/>
      <c r="AK59" s="72"/>
      <c r="AL59" s="72"/>
      <c r="AM59" s="70"/>
      <c r="AN59" s="70"/>
      <c r="AO59" s="70"/>
      <c r="AP59" s="87"/>
      <c r="AQ59" s="73"/>
      <c r="AR59" s="928"/>
      <c r="AU59" s="311"/>
      <c r="AW59" s="218"/>
      <c r="AX59" s="218"/>
      <c r="AY59" s="219"/>
      <c r="AZ59" s="219"/>
      <c r="BA59" s="136"/>
    </row>
    <row r="60" spans="1:53" s="82" customFormat="1" ht="24.95" hidden="1" customHeight="1" outlineLevel="1">
      <c r="A60" s="308"/>
      <c r="C60" s="63"/>
      <c r="D60" s="1139"/>
      <c r="E60" s="64"/>
      <c r="F60" s="64"/>
      <c r="G60" s="64"/>
      <c r="H60" s="64"/>
      <c r="I60" s="64"/>
      <c r="J60" s="65"/>
      <c r="K60" s="66"/>
      <c r="L60" s="69"/>
      <c r="M60" s="67"/>
      <c r="N60" s="69"/>
      <c r="O60" s="67">
        <f t="shared" si="47"/>
        <v>0</v>
      </c>
      <c r="P60" s="67"/>
      <c r="Q60" s="68"/>
      <c r="R60" s="69"/>
      <c r="S60" s="70"/>
      <c r="T60" s="70"/>
      <c r="U60" s="70"/>
      <c r="V60" s="70"/>
      <c r="W60" s="70"/>
      <c r="X60" s="925"/>
      <c r="Y60" s="83"/>
      <c r="Z60" s="70"/>
      <c r="AA60" s="926"/>
      <c r="AB60" s="192"/>
      <c r="AC60" s="192"/>
      <c r="AD60" s="193"/>
      <c r="AE60" s="89"/>
      <c r="AF60" s="194"/>
      <c r="AG60" s="72"/>
      <c r="AH60" s="72"/>
      <c r="AI60" s="72"/>
      <c r="AJ60" s="72"/>
      <c r="AK60" s="72"/>
      <c r="AL60" s="72"/>
      <c r="AM60" s="70"/>
      <c r="AN60" s="70"/>
      <c r="AO60" s="70"/>
      <c r="AP60" s="71"/>
      <c r="AQ60" s="73"/>
      <c r="AR60" s="107"/>
      <c r="AU60" s="311"/>
      <c r="AW60" s="218"/>
      <c r="AX60" s="218"/>
      <c r="AY60" s="219"/>
      <c r="AZ60" s="219"/>
      <c r="BA60" s="136"/>
    </row>
    <row r="61" spans="1:53" s="82" customFormat="1" ht="24.95" hidden="1" customHeight="1" outlineLevel="1">
      <c r="A61" s="308"/>
      <c r="C61" s="923"/>
      <c r="D61" s="1139"/>
      <c r="E61" s="64"/>
      <c r="F61" s="64"/>
      <c r="G61" s="64"/>
      <c r="H61" s="64"/>
      <c r="I61" s="64"/>
      <c r="J61" s="65"/>
      <c r="K61" s="66"/>
      <c r="L61" s="69"/>
      <c r="M61" s="67"/>
      <c r="N61" s="69"/>
      <c r="O61" s="67">
        <f t="shared" si="47"/>
        <v>0</v>
      </c>
      <c r="P61" s="67"/>
      <c r="Q61" s="68"/>
      <c r="R61" s="69"/>
      <c r="S61" s="70"/>
      <c r="T61" s="70"/>
      <c r="U61" s="70"/>
      <c r="V61" s="70"/>
      <c r="W61" s="70"/>
      <c r="X61" s="70"/>
      <c r="Y61" s="70"/>
      <c r="Z61" s="70"/>
      <c r="AA61" s="70"/>
      <c r="AB61" s="192"/>
      <c r="AC61" s="192"/>
      <c r="AD61" s="193"/>
      <c r="AE61" s="89"/>
      <c r="AF61" s="194"/>
      <c r="AG61" s="72"/>
      <c r="AH61" s="72"/>
      <c r="AI61" s="72"/>
      <c r="AJ61" s="72"/>
      <c r="AK61" s="72"/>
      <c r="AL61" s="72"/>
      <c r="AM61" s="70"/>
      <c r="AN61" s="70"/>
      <c r="AO61" s="70"/>
      <c r="AP61" s="71"/>
      <c r="AQ61" s="73"/>
      <c r="AR61" s="104"/>
      <c r="AU61" s="311"/>
      <c r="AW61" s="218"/>
      <c r="AX61" s="218"/>
      <c r="AY61" s="219"/>
      <c r="AZ61" s="219"/>
      <c r="BA61" s="136"/>
    </row>
    <row r="62" spans="1:53" s="82" customFormat="1" ht="24.95" hidden="1" customHeight="1" outlineLevel="1">
      <c r="A62" s="308"/>
      <c r="C62" s="105"/>
      <c r="D62" s="929"/>
      <c r="E62" s="931"/>
      <c r="F62" s="64"/>
      <c r="G62" s="64"/>
      <c r="H62" s="64"/>
      <c r="I62" s="64"/>
      <c r="J62" s="65"/>
      <c r="K62" s="66"/>
      <c r="L62" s="69"/>
      <c r="M62" s="67"/>
      <c r="N62" s="69"/>
      <c r="O62" s="67">
        <f t="shared" si="47"/>
        <v>0</v>
      </c>
      <c r="P62" s="67"/>
      <c r="Q62" s="68"/>
      <c r="R62" s="69"/>
      <c r="S62" s="70"/>
      <c r="T62" s="70"/>
      <c r="U62" s="70"/>
      <c r="V62" s="70"/>
      <c r="W62" s="70"/>
      <c r="X62" s="925"/>
      <c r="Y62" s="83"/>
      <c r="Z62" s="70"/>
      <c r="AA62" s="926"/>
      <c r="AB62" s="70"/>
      <c r="AC62" s="70"/>
      <c r="AD62" s="193"/>
      <c r="AE62" s="89"/>
      <c r="AF62" s="194"/>
      <c r="AG62" s="72"/>
      <c r="AH62" s="72"/>
      <c r="AI62" s="72"/>
      <c r="AJ62" s="72"/>
      <c r="AK62" s="72"/>
      <c r="AL62" s="72"/>
      <c r="AM62" s="70"/>
      <c r="AN62" s="70"/>
      <c r="AO62" s="70"/>
      <c r="AP62" s="71"/>
      <c r="AQ62" s="73"/>
      <c r="AR62" s="924"/>
      <c r="AU62" s="311"/>
      <c r="AW62" s="218"/>
      <c r="AX62" s="218"/>
      <c r="AY62" s="219"/>
      <c r="AZ62" s="219"/>
      <c r="BA62" s="136"/>
    </row>
    <row r="63" spans="1:53" s="82" customFormat="1" ht="24.95" hidden="1" customHeight="1" outlineLevel="1">
      <c r="A63" s="840"/>
      <c r="C63" s="105"/>
      <c r="D63" s="932"/>
      <c r="E63" s="933"/>
      <c r="F63" s="64"/>
      <c r="G63" s="64"/>
      <c r="H63" s="64"/>
      <c r="I63" s="64"/>
      <c r="J63" s="65"/>
      <c r="K63" s="66"/>
      <c r="L63" s="934"/>
      <c r="M63" s="67"/>
      <c r="N63" s="69"/>
      <c r="O63" s="67">
        <f t="shared" si="47"/>
        <v>0</v>
      </c>
      <c r="P63" s="67"/>
      <c r="Q63" s="68"/>
      <c r="R63" s="69"/>
      <c r="S63" s="70"/>
      <c r="T63" s="70"/>
      <c r="U63" s="70"/>
      <c r="V63" s="70"/>
      <c r="W63" s="70"/>
      <c r="X63" s="69"/>
      <c r="Y63" s="69"/>
      <c r="Z63" s="204"/>
      <c r="AA63" s="72"/>
      <c r="AB63" s="192"/>
      <c r="AC63" s="192"/>
      <c r="AD63" s="193"/>
      <c r="AE63" s="89"/>
      <c r="AF63" s="194"/>
      <c r="AG63" s="72"/>
      <c r="AH63" s="72"/>
      <c r="AI63" s="72"/>
      <c r="AJ63" s="72"/>
      <c r="AK63" s="72"/>
      <c r="AL63" s="72"/>
      <c r="AM63" s="70"/>
      <c r="AN63" s="70"/>
      <c r="AO63" s="70"/>
      <c r="AP63" s="71"/>
      <c r="AQ63" s="73"/>
      <c r="AR63" s="106"/>
      <c r="AT63" s="82">
        <f t="shared" si="45"/>
        <v>0</v>
      </c>
      <c r="AU63" s="311">
        <f t="shared" si="22"/>
        <v>0</v>
      </c>
      <c r="AW63" s="218">
        <f t="shared" ref="AW63:AX72" si="48">IF(M63=0,0,1)</f>
        <v>0</v>
      </c>
      <c r="AX63" s="218">
        <f t="shared" si="48"/>
        <v>0</v>
      </c>
      <c r="AY63" s="219">
        <f t="shared" si="7"/>
        <v>0</v>
      </c>
      <c r="AZ63" s="219">
        <f t="shared" si="8"/>
        <v>0</v>
      </c>
      <c r="BA63" s="136">
        <f t="shared" si="9"/>
        <v>0</v>
      </c>
    </row>
    <row r="64" spans="1:53" s="82" customFormat="1" ht="24.95" hidden="1" customHeight="1" outlineLevel="1">
      <c r="A64" s="840"/>
      <c r="C64" s="63"/>
      <c r="D64" s="71"/>
      <c r="E64" s="64"/>
      <c r="F64" s="64"/>
      <c r="G64" s="64"/>
      <c r="H64" s="64"/>
      <c r="I64" s="64"/>
      <c r="J64" s="65"/>
      <c r="K64" s="66"/>
      <c r="L64" s="69"/>
      <c r="M64" s="67"/>
      <c r="N64" s="69"/>
      <c r="O64" s="67">
        <f t="shared" si="47"/>
        <v>0</v>
      </c>
      <c r="P64" s="67"/>
      <c r="Q64" s="69"/>
      <c r="R64" s="69"/>
      <c r="S64" s="70"/>
      <c r="T64" s="70"/>
      <c r="U64" s="70"/>
      <c r="V64" s="70"/>
      <c r="W64" s="70"/>
      <c r="X64" s="69"/>
      <c r="Y64" s="69"/>
      <c r="Z64" s="204"/>
      <c r="AA64" s="72"/>
      <c r="AB64" s="192"/>
      <c r="AC64" s="192"/>
      <c r="AD64" s="193"/>
      <c r="AE64" s="89"/>
      <c r="AF64" s="194"/>
      <c r="AG64" s="72"/>
      <c r="AH64" s="72"/>
      <c r="AI64" s="72"/>
      <c r="AJ64" s="72"/>
      <c r="AK64" s="72"/>
      <c r="AL64" s="72"/>
      <c r="AM64" s="70"/>
      <c r="AN64" s="70"/>
      <c r="AO64" s="70"/>
      <c r="AP64" s="71"/>
      <c r="AQ64" s="71"/>
      <c r="AR64" s="106"/>
      <c r="AT64" s="82">
        <f t="shared" si="45"/>
        <v>0</v>
      </c>
      <c r="AU64" s="311">
        <f t="shared" si="22"/>
        <v>0</v>
      </c>
      <c r="AW64" s="218">
        <f t="shared" si="48"/>
        <v>0</v>
      </c>
      <c r="AX64" s="218">
        <f t="shared" si="48"/>
        <v>0</v>
      </c>
      <c r="AY64" s="219">
        <f t="shared" si="7"/>
        <v>0</v>
      </c>
      <c r="AZ64" s="219">
        <f t="shared" si="8"/>
        <v>0</v>
      </c>
      <c r="BA64" s="136">
        <f t="shared" si="9"/>
        <v>0</v>
      </c>
    </row>
    <row r="65" spans="1:53" s="82" customFormat="1" ht="24.95" hidden="1" customHeight="1" outlineLevel="1" thickBot="1">
      <c r="A65" s="840"/>
      <c r="C65" s="108"/>
      <c r="D65" s="91"/>
      <c r="E65" s="92"/>
      <c r="F65" s="92"/>
      <c r="G65" s="92"/>
      <c r="H65" s="92"/>
      <c r="I65" s="92"/>
      <c r="J65" s="150">
        <f>IFERROR(AVERAGE(J58:J62),0)</f>
        <v>0</v>
      </c>
      <c r="K65" s="150">
        <f>IFERROR(AVERAGE(K60:K63),0)</f>
        <v>0</v>
      </c>
      <c r="L65" s="95">
        <f>SUM(L58:L64)</f>
        <v>0</v>
      </c>
      <c r="M65" s="95">
        <f>SUM(M58:M64)</f>
        <v>0</v>
      </c>
      <c r="N65" s="95">
        <f>SUM(N58:N64)</f>
        <v>0</v>
      </c>
      <c r="O65" s="95">
        <f>SUM(O58:O64)</f>
        <v>0</v>
      </c>
      <c r="P65" s="93"/>
      <c r="Q65" s="95"/>
      <c r="R65" s="95"/>
      <c r="S65" s="91"/>
      <c r="T65" s="91"/>
      <c r="U65" s="97"/>
      <c r="V65" s="96"/>
      <c r="W65" s="97"/>
      <c r="X65" s="98"/>
      <c r="Y65" s="98"/>
      <c r="Z65" s="207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100"/>
      <c r="AN65" s="100"/>
      <c r="AO65" s="100"/>
      <c r="AP65" s="96"/>
      <c r="AQ65" s="96"/>
      <c r="AR65" s="109"/>
      <c r="AT65" s="82">
        <f t="shared" si="45"/>
        <v>0</v>
      </c>
      <c r="AU65" s="311">
        <f t="shared" si="22"/>
        <v>0</v>
      </c>
      <c r="AW65" s="218">
        <f t="shared" si="48"/>
        <v>0</v>
      </c>
      <c r="AX65" s="218">
        <f t="shared" si="48"/>
        <v>0</v>
      </c>
      <c r="AY65" s="219">
        <f t="shared" si="7"/>
        <v>0</v>
      </c>
      <c r="AZ65" s="219">
        <f t="shared" si="8"/>
        <v>0</v>
      </c>
      <c r="BA65" s="136">
        <f t="shared" si="9"/>
        <v>0</v>
      </c>
    </row>
    <row r="66" spans="1:53" s="82" customFormat="1" ht="24.95" hidden="1" customHeight="1" outlineLevel="1" thickBot="1">
      <c r="A66" s="840"/>
      <c r="C66" s="644" t="s">
        <v>825</v>
      </c>
      <c r="D66" s="645"/>
      <c r="E66" s="645"/>
      <c r="F66" s="645"/>
      <c r="G66" s="645"/>
      <c r="H66" s="645"/>
      <c r="I66" s="645"/>
      <c r="J66" s="645"/>
      <c r="K66" s="645"/>
      <c r="L66" s="645"/>
      <c r="M66" s="696"/>
      <c r="N66" s="696"/>
      <c r="O66" s="696"/>
      <c r="P66" s="696"/>
      <c r="Q66" s="645"/>
      <c r="R66" s="645"/>
      <c r="S66" s="645"/>
      <c r="T66" s="645"/>
      <c r="U66" s="646"/>
      <c r="V66" s="645"/>
      <c r="W66" s="645"/>
      <c r="X66" s="645"/>
      <c r="Y66" s="645"/>
      <c r="Z66" s="647"/>
      <c r="AA66" s="645"/>
      <c r="AB66" s="645"/>
      <c r="AC66" s="645"/>
      <c r="AD66" s="645"/>
      <c r="AE66" s="645"/>
      <c r="AF66" s="645"/>
      <c r="AG66" s="645"/>
      <c r="AH66" s="645"/>
      <c r="AI66" s="645"/>
      <c r="AJ66" s="645"/>
      <c r="AK66" s="645"/>
      <c r="AL66" s="645"/>
      <c r="AM66" s="645"/>
      <c r="AN66" s="645"/>
      <c r="AO66" s="645"/>
      <c r="AP66" s="645"/>
      <c r="AQ66" s="645"/>
      <c r="AR66" s="648"/>
      <c r="AT66" s="82" t="str">
        <f t="shared" si="45"/>
        <v>2026년 7월 반입 예정 선박리스트</v>
      </c>
      <c r="AU66" s="311">
        <f>L66</f>
        <v>0</v>
      </c>
      <c r="AW66" s="218">
        <f t="shared" si="48"/>
        <v>0</v>
      </c>
      <c r="AX66" s="218">
        <f t="shared" si="48"/>
        <v>0</v>
      </c>
      <c r="AY66" s="219">
        <f t="shared" si="7"/>
        <v>0</v>
      </c>
      <c r="AZ66" s="219">
        <f t="shared" si="8"/>
        <v>0</v>
      </c>
      <c r="BA66" s="136">
        <f t="shared" si="9"/>
        <v>0</v>
      </c>
    </row>
    <row r="67" spans="1:53" s="82" customFormat="1" ht="24.95" hidden="1" customHeight="1" outlineLevel="1">
      <c r="A67" s="308"/>
      <c r="C67" s="896"/>
      <c r="D67" s="929"/>
      <c r="E67" s="935"/>
      <c r="F67" s="64"/>
      <c r="G67" s="64"/>
      <c r="H67" s="64"/>
      <c r="I67" s="64"/>
      <c r="J67" s="72"/>
      <c r="K67" s="936"/>
      <c r="L67" s="937"/>
      <c r="M67" s="67"/>
      <c r="N67" s="69"/>
      <c r="O67" s="67">
        <f t="shared" ref="O67:O70" si="49">+M67+N67</f>
        <v>0</v>
      </c>
      <c r="P67" s="67"/>
      <c r="Q67" s="68"/>
      <c r="R67" s="69"/>
      <c r="S67" s="70"/>
      <c r="T67" s="70"/>
      <c r="U67" s="70"/>
      <c r="V67" s="70"/>
      <c r="W67" s="70"/>
      <c r="X67" s="69"/>
      <c r="Y67" s="69"/>
      <c r="Z67" s="204"/>
      <c r="AA67" s="72"/>
      <c r="AB67" s="192"/>
      <c r="AC67" s="192"/>
      <c r="AD67" s="193"/>
      <c r="AE67" s="89"/>
      <c r="AF67" s="194"/>
      <c r="AG67" s="72"/>
      <c r="AH67" s="72"/>
      <c r="AI67" s="72"/>
      <c r="AJ67" s="72"/>
      <c r="AK67" s="72"/>
      <c r="AL67" s="72"/>
      <c r="AM67" s="70"/>
      <c r="AN67" s="70"/>
      <c r="AO67" s="70"/>
      <c r="AP67" s="87"/>
      <c r="AQ67" s="73"/>
      <c r="AR67" s="107"/>
      <c r="AU67" s="311"/>
      <c r="AW67" s="218"/>
      <c r="AX67" s="218"/>
      <c r="AY67" s="219"/>
      <c r="AZ67" s="219"/>
      <c r="BA67" s="136"/>
    </row>
    <row r="68" spans="1:53" s="82" customFormat="1" ht="24.95" hidden="1" customHeight="1" outlineLevel="1">
      <c r="A68" s="308"/>
      <c r="C68" s="896"/>
      <c r="D68" s="929"/>
      <c r="E68" s="935"/>
      <c r="F68" s="64"/>
      <c r="G68" s="64"/>
      <c r="H68" s="64"/>
      <c r="I68" s="64"/>
      <c r="J68" s="72"/>
      <c r="K68" s="936"/>
      <c r="L68" s="69"/>
      <c r="M68" s="67"/>
      <c r="N68" s="69"/>
      <c r="O68" s="67">
        <f t="shared" si="49"/>
        <v>0</v>
      </c>
      <c r="P68" s="67"/>
      <c r="Q68" s="68"/>
      <c r="R68" s="69"/>
      <c r="S68" s="70"/>
      <c r="T68" s="70"/>
      <c r="U68" s="70"/>
      <c r="V68" s="70"/>
      <c r="W68" s="70"/>
      <c r="X68" s="925"/>
      <c r="Y68" s="83"/>
      <c r="Z68" s="70"/>
      <c r="AA68" s="926"/>
      <c r="AB68" s="192"/>
      <c r="AC68" s="192"/>
      <c r="AD68" s="193"/>
      <c r="AE68" s="89"/>
      <c r="AF68" s="194"/>
      <c r="AG68" s="72"/>
      <c r="AH68" s="72"/>
      <c r="AI68" s="72"/>
      <c r="AJ68" s="72"/>
      <c r="AK68" s="72"/>
      <c r="AL68" s="72"/>
      <c r="AM68" s="70"/>
      <c r="AN68" s="70"/>
      <c r="AO68" s="70"/>
      <c r="AP68" s="71"/>
      <c r="AQ68" s="73"/>
      <c r="AR68" s="924"/>
      <c r="AU68" s="311"/>
      <c r="AW68" s="218"/>
      <c r="AX68" s="218"/>
      <c r="AY68" s="219"/>
      <c r="AZ68" s="219"/>
      <c r="BA68" s="136"/>
    </row>
    <row r="69" spans="1:53" s="82" customFormat="1" ht="24.75" hidden="1" customHeight="1" outlineLevel="1">
      <c r="A69" s="840"/>
      <c r="C69" s="896"/>
      <c r="D69" s="938"/>
      <c r="E69" s="64"/>
      <c r="F69" s="64"/>
      <c r="G69" s="64"/>
      <c r="H69" s="64"/>
      <c r="I69" s="64"/>
      <c r="J69" s="72"/>
      <c r="K69" s="936"/>
      <c r="L69" s="937"/>
      <c r="M69" s="67"/>
      <c r="N69" s="69"/>
      <c r="O69" s="67">
        <f t="shared" si="49"/>
        <v>0</v>
      </c>
      <c r="P69" s="67"/>
      <c r="Q69" s="68"/>
      <c r="R69" s="69"/>
      <c r="S69" s="70"/>
      <c r="T69" s="70"/>
      <c r="U69" s="70"/>
      <c r="V69" s="70"/>
      <c r="W69" s="70"/>
      <c r="X69" s="69"/>
      <c r="Y69" s="69"/>
      <c r="Z69" s="204"/>
      <c r="AA69" s="72"/>
      <c r="AB69" s="192"/>
      <c r="AC69" s="192"/>
      <c r="AD69" s="193"/>
      <c r="AE69" s="89"/>
      <c r="AF69" s="194"/>
      <c r="AG69" s="72"/>
      <c r="AH69" s="72"/>
      <c r="AI69" s="72"/>
      <c r="AJ69" s="72"/>
      <c r="AK69" s="72"/>
      <c r="AL69" s="72"/>
      <c r="AM69" s="70"/>
      <c r="AN69" s="70"/>
      <c r="AO69" s="70"/>
      <c r="AP69" s="70"/>
      <c r="AQ69" s="70"/>
      <c r="AR69" s="107"/>
      <c r="AU69" s="311"/>
      <c r="AW69" s="218"/>
      <c r="AX69" s="218"/>
      <c r="AY69" s="219"/>
      <c r="AZ69" s="219"/>
      <c r="BA69" s="136"/>
    </row>
    <row r="70" spans="1:53" s="82" customFormat="1" ht="24.95" hidden="1" customHeight="1" outlineLevel="1">
      <c r="A70" s="840"/>
      <c r="C70" s="63"/>
      <c r="D70" s="71"/>
      <c r="E70" s="64"/>
      <c r="F70" s="64"/>
      <c r="G70" s="64"/>
      <c r="H70" s="64"/>
      <c r="I70" s="64"/>
      <c r="J70" s="72"/>
      <c r="K70" s="66"/>
      <c r="L70" s="69"/>
      <c r="M70" s="67"/>
      <c r="N70" s="67"/>
      <c r="O70" s="67">
        <f t="shared" si="49"/>
        <v>0</v>
      </c>
      <c r="P70" s="67"/>
      <c r="Q70" s="68"/>
      <c r="R70" s="69"/>
      <c r="S70" s="70"/>
      <c r="T70" s="70"/>
      <c r="U70" s="70"/>
      <c r="V70" s="70"/>
      <c r="W70" s="70"/>
      <c r="X70" s="69"/>
      <c r="Y70" s="69"/>
      <c r="Z70" s="204"/>
      <c r="AA70" s="72"/>
      <c r="AB70" s="72"/>
      <c r="AC70" s="72"/>
      <c r="AD70" s="72"/>
      <c r="AE70" s="89"/>
      <c r="AF70" s="80"/>
      <c r="AG70" s="80"/>
      <c r="AH70" s="80"/>
      <c r="AI70" s="80"/>
      <c r="AJ70" s="80"/>
      <c r="AK70" s="80"/>
      <c r="AL70" s="80"/>
      <c r="AM70" s="70"/>
      <c r="AN70" s="70"/>
      <c r="AO70" s="70"/>
      <c r="AP70" s="70"/>
      <c r="AQ70" s="70"/>
      <c r="AR70" s="107"/>
      <c r="AT70" s="82">
        <f>C70</f>
        <v>0</v>
      </c>
      <c r="AU70" s="311">
        <f t="shared" si="22"/>
        <v>0</v>
      </c>
      <c r="AW70" s="218">
        <f t="shared" si="48"/>
        <v>0</v>
      </c>
      <c r="AX70" s="218">
        <f t="shared" si="48"/>
        <v>0</v>
      </c>
      <c r="AY70" s="219">
        <f t="shared" si="7"/>
        <v>0</v>
      </c>
      <c r="AZ70" s="219">
        <f t="shared" si="8"/>
        <v>0</v>
      </c>
      <c r="BA70" s="136">
        <f t="shared" si="9"/>
        <v>0</v>
      </c>
    </row>
    <row r="71" spans="1:53" s="82" customFormat="1" ht="24.95" hidden="1" customHeight="1" outlineLevel="1" thickBot="1">
      <c r="A71" s="840"/>
      <c r="C71" s="108"/>
      <c r="D71" s="91"/>
      <c r="E71" s="92"/>
      <c r="F71" s="92"/>
      <c r="G71" s="92"/>
      <c r="H71" s="92"/>
      <c r="I71" s="92"/>
      <c r="J71" s="150">
        <f>IFERROR(AVERAGE(J67:J70),0)</f>
        <v>0</v>
      </c>
      <c r="K71" s="150">
        <f>IFERROR(AVERAGE(K67:K70),0)</f>
        <v>0</v>
      </c>
      <c r="L71" s="95">
        <f>SUM(L67:L70)</f>
        <v>0</v>
      </c>
      <c r="M71" s="95">
        <f>SUM(M67:M70)</f>
        <v>0</v>
      </c>
      <c r="N71" s="95">
        <f>SUM(N67:N70)</f>
        <v>0</v>
      </c>
      <c r="O71" s="95">
        <f>SUM(O67:O70)</f>
        <v>0</v>
      </c>
      <c r="P71" s="93"/>
      <c r="Q71" s="95"/>
      <c r="R71" s="95"/>
      <c r="S71" s="91"/>
      <c r="T71" s="91"/>
      <c r="U71" s="97"/>
      <c r="V71" s="96"/>
      <c r="W71" s="97"/>
      <c r="X71" s="98"/>
      <c r="Y71" s="98"/>
      <c r="Z71" s="207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100"/>
      <c r="AN71" s="100"/>
      <c r="AO71" s="100"/>
      <c r="AP71" s="100"/>
      <c r="AQ71" s="100"/>
      <c r="AR71" s="109"/>
      <c r="AT71" s="82">
        <f>C71</f>
        <v>0</v>
      </c>
      <c r="AU71" s="311">
        <f t="shared" si="22"/>
        <v>0</v>
      </c>
      <c r="AW71" s="218">
        <f t="shared" si="48"/>
        <v>0</v>
      </c>
      <c r="AX71" s="218">
        <f t="shared" si="48"/>
        <v>0</v>
      </c>
      <c r="AY71" s="219">
        <f t="shared" si="7"/>
        <v>0</v>
      </c>
      <c r="AZ71" s="219">
        <f t="shared" si="8"/>
        <v>0</v>
      </c>
      <c r="BA71" s="136">
        <f t="shared" si="9"/>
        <v>0</v>
      </c>
    </row>
    <row r="72" spans="1:53" s="82" customFormat="1" ht="24.95" hidden="1" customHeight="1" outlineLevel="1" thickBot="1">
      <c r="A72" s="840"/>
      <c r="C72" s="644" t="s">
        <v>826</v>
      </c>
      <c r="D72" s="645"/>
      <c r="E72" s="645"/>
      <c r="F72" s="645"/>
      <c r="G72" s="645"/>
      <c r="H72" s="645"/>
      <c r="I72" s="645"/>
      <c r="J72" s="849"/>
      <c r="K72" s="645"/>
      <c r="L72" s="645"/>
      <c r="M72" s="696"/>
      <c r="N72" s="696"/>
      <c r="O72" s="696"/>
      <c r="P72" s="696"/>
      <c r="Q72" s="645"/>
      <c r="R72" s="645"/>
      <c r="S72" s="645"/>
      <c r="T72" s="645"/>
      <c r="U72" s="646"/>
      <c r="V72" s="645"/>
      <c r="W72" s="645"/>
      <c r="X72" s="645"/>
      <c r="Y72" s="645"/>
      <c r="Z72" s="647"/>
      <c r="AA72" s="645"/>
      <c r="AB72" s="645"/>
      <c r="AC72" s="645"/>
      <c r="AD72" s="645"/>
      <c r="AE72" s="645"/>
      <c r="AF72" s="645"/>
      <c r="AG72" s="645"/>
      <c r="AH72" s="645"/>
      <c r="AI72" s="645"/>
      <c r="AJ72" s="645"/>
      <c r="AK72" s="645"/>
      <c r="AL72" s="645"/>
      <c r="AM72" s="645"/>
      <c r="AN72" s="645"/>
      <c r="AO72" s="645"/>
      <c r="AP72" s="645"/>
      <c r="AQ72" s="645"/>
      <c r="AR72" s="648"/>
      <c r="AT72" s="82" t="str">
        <f>C72</f>
        <v>2026년 8월 반입 예정 선박리스트</v>
      </c>
      <c r="AU72" s="311">
        <f t="shared" si="22"/>
        <v>0</v>
      </c>
      <c r="AW72" s="218">
        <f t="shared" si="48"/>
        <v>0</v>
      </c>
      <c r="AX72" s="218">
        <f t="shared" si="48"/>
        <v>0</v>
      </c>
      <c r="AY72" s="219">
        <f t="shared" si="7"/>
        <v>0</v>
      </c>
      <c r="AZ72" s="219">
        <f t="shared" si="8"/>
        <v>0</v>
      </c>
      <c r="BA72" s="136">
        <f t="shared" si="9"/>
        <v>0</v>
      </c>
    </row>
    <row r="73" spans="1:53" s="82" customFormat="1" ht="24.95" hidden="1" customHeight="1" outlineLevel="1" thickBot="1">
      <c r="A73" s="840"/>
      <c r="C73" s="63"/>
      <c r="D73" s="71"/>
      <c r="E73" s="64"/>
      <c r="F73" s="64"/>
      <c r="G73" s="64"/>
      <c r="H73" s="64"/>
      <c r="I73" s="64"/>
      <c r="J73" s="72"/>
      <c r="K73" s="66"/>
      <c r="L73" s="69"/>
      <c r="M73" s="67"/>
      <c r="N73" s="67"/>
      <c r="O73" s="67">
        <f t="shared" ref="O73:O80" si="50">+M73+N73</f>
        <v>0</v>
      </c>
      <c r="P73" s="67"/>
      <c r="Q73" s="68"/>
      <c r="R73" s="69"/>
      <c r="S73" s="70"/>
      <c r="T73" s="70"/>
      <c r="U73" s="70"/>
      <c r="V73" s="70"/>
      <c r="W73" s="70"/>
      <c r="X73" s="69"/>
      <c r="Y73" s="69"/>
      <c r="Z73" s="204"/>
      <c r="AA73" s="72"/>
      <c r="AB73" s="192"/>
      <c r="AC73" s="192"/>
      <c r="AD73" s="193"/>
      <c r="AE73" s="89"/>
      <c r="AF73" s="194"/>
      <c r="AG73" s="64"/>
      <c r="AH73" s="64"/>
      <c r="AI73" s="72"/>
      <c r="AJ73" s="72"/>
      <c r="AK73" s="72"/>
      <c r="AL73" s="72"/>
      <c r="AM73" s="70"/>
      <c r="AN73" s="192"/>
      <c r="AO73" s="192"/>
      <c r="AP73" s="192"/>
      <c r="AQ73" s="192"/>
      <c r="AR73" s="107"/>
      <c r="AU73" s="311"/>
      <c r="AW73" s="218"/>
      <c r="AX73" s="218"/>
      <c r="AY73" s="219"/>
      <c r="AZ73" s="219"/>
      <c r="BA73" s="136"/>
    </row>
    <row r="74" spans="1:53" s="82" customFormat="1" ht="24.95" hidden="1" customHeight="1" outlineLevel="1">
      <c r="A74" s="840"/>
      <c r="C74" s="105"/>
      <c r="D74" s="71"/>
      <c r="E74" s="64"/>
      <c r="F74" s="64"/>
      <c r="G74" s="64"/>
      <c r="H74" s="64"/>
      <c r="I74" s="64"/>
      <c r="J74" s="72"/>
      <c r="K74" s="66"/>
      <c r="L74" s="69"/>
      <c r="M74" s="67"/>
      <c r="N74" s="67"/>
      <c r="O74" s="67">
        <f t="shared" si="50"/>
        <v>0</v>
      </c>
      <c r="P74" s="77"/>
      <c r="Q74" s="78"/>
      <c r="R74" s="69"/>
      <c r="S74" s="70"/>
      <c r="T74" s="70"/>
      <c r="U74" s="70"/>
      <c r="V74" s="70"/>
      <c r="W74" s="449"/>
      <c r="X74" s="939"/>
      <c r="Y74" s="939"/>
      <c r="Z74" s="940"/>
      <c r="AA74" s="94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70"/>
      <c r="AN74" s="449"/>
      <c r="AO74" s="69"/>
      <c r="AP74" s="71"/>
      <c r="AQ74" s="71"/>
      <c r="AR74" s="941"/>
      <c r="AU74" s="311"/>
      <c r="AW74" s="218"/>
      <c r="AX74" s="218"/>
      <c r="AY74" s="219"/>
      <c r="AZ74" s="219"/>
      <c r="BA74" s="136"/>
    </row>
    <row r="75" spans="1:53" s="82" customFormat="1" ht="24.95" hidden="1" customHeight="1" outlineLevel="1">
      <c r="A75" s="840"/>
      <c r="C75" s="896"/>
      <c r="D75" s="929"/>
      <c r="E75" s="64"/>
      <c r="F75" s="64"/>
      <c r="G75" s="64"/>
      <c r="H75" s="64"/>
      <c r="I75" s="64"/>
      <c r="J75" s="72"/>
      <c r="K75" s="66"/>
      <c r="L75" s="937"/>
      <c r="M75" s="67"/>
      <c r="N75" s="69"/>
      <c r="O75" s="67">
        <f t="shared" si="50"/>
        <v>0</v>
      </c>
      <c r="P75" s="67"/>
      <c r="Q75" s="68"/>
      <c r="R75" s="69"/>
      <c r="S75" s="70"/>
      <c r="T75" s="70"/>
      <c r="U75" s="70"/>
      <c r="V75" s="70"/>
      <c r="W75" s="70"/>
      <c r="X75" s="69"/>
      <c r="Y75" s="69"/>
      <c r="Z75" s="204"/>
      <c r="AA75" s="72"/>
      <c r="AB75" s="192"/>
      <c r="AC75" s="192"/>
      <c r="AD75" s="193"/>
      <c r="AE75" s="89"/>
      <c r="AF75" s="194"/>
      <c r="AG75" s="72"/>
      <c r="AH75" s="72"/>
      <c r="AI75" s="72"/>
      <c r="AJ75" s="72"/>
      <c r="AK75" s="72"/>
      <c r="AL75" s="72"/>
      <c r="AM75" s="70"/>
      <c r="AN75" s="70"/>
      <c r="AO75" s="70"/>
      <c r="AP75" s="71"/>
      <c r="AQ75" s="73"/>
      <c r="AR75" s="107"/>
      <c r="AU75" s="311"/>
      <c r="AW75" s="218"/>
      <c r="AX75" s="218"/>
      <c r="AY75" s="219"/>
      <c r="AZ75" s="219"/>
      <c r="BA75" s="136"/>
    </row>
    <row r="76" spans="1:53" s="82" customFormat="1" ht="24.95" hidden="1" customHeight="1" outlineLevel="1">
      <c r="A76" s="840"/>
      <c r="C76" s="896"/>
      <c r="D76" s="929"/>
      <c r="E76" s="64"/>
      <c r="F76" s="64"/>
      <c r="G76" s="64"/>
      <c r="H76" s="64"/>
      <c r="I76" s="64"/>
      <c r="J76" s="72"/>
      <c r="K76" s="66"/>
      <c r="L76" s="937"/>
      <c r="M76" s="67"/>
      <c r="N76" s="69"/>
      <c r="O76" s="67">
        <f t="shared" si="50"/>
        <v>0</v>
      </c>
      <c r="P76" s="67"/>
      <c r="Q76" s="68"/>
      <c r="R76" s="69"/>
      <c r="S76" s="70"/>
      <c r="T76" s="70"/>
      <c r="U76" s="70"/>
      <c r="V76" s="70"/>
      <c r="W76" s="70"/>
      <c r="X76" s="69"/>
      <c r="Y76" s="69"/>
      <c r="Z76" s="204"/>
      <c r="AA76" s="72"/>
      <c r="AB76" s="192"/>
      <c r="AC76" s="192"/>
      <c r="AD76" s="193"/>
      <c r="AE76" s="89"/>
      <c r="AF76" s="194"/>
      <c r="AG76" s="72"/>
      <c r="AH76" s="72"/>
      <c r="AI76" s="72"/>
      <c r="AJ76" s="72"/>
      <c r="AK76" s="72"/>
      <c r="AL76" s="72"/>
      <c r="AM76" s="70"/>
      <c r="AN76" s="70"/>
      <c r="AO76" s="70"/>
      <c r="AP76" s="71"/>
      <c r="AQ76" s="73"/>
      <c r="AR76" s="107"/>
      <c r="AU76" s="311"/>
      <c r="AW76" s="218"/>
      <c r="AX76" s="218"/>
      <c r="AY76" s="219"/>
      <c r="AZ76" s="219"/>
      <c r="BA76" s="136"/>
    </row>
    <row r="77" spans="1:53" s="82" customFormat="1" ht="24.95" hidden="1" customHeight="1" outlineLevel="1">
      <c r="A77" s="840"/>
      <c r="C77" s="63"/>
      <c r="D77" s="71"/>
      <c r="E77" s="64"/>
      <c r="F77" s="64"/>
      <c r="G77" s="64"/>
      <c r="H77" s="64"/>
      <c r="I77" s="64"/>
      <c r="J77" s="72"/>
      <c r="K77" s="66"/>
      <c r="L77" s="69"/>
      <c r="M77" s="67"/>
      <c r="N77" s="67"/>
      <c r="O77" s="67">
        <f t="shared" si="50"/>
        <v>0</v>
      </c>
      <c r="P77" s="67"/>
      <c r="Q77" s="68"/>
      <c r="R77" s="69"/>
      <c r="S77" s="70"/>
      <c r="T77" s="70"/>
      <c r="U77" s="70"/>
      <c r="V77" s="70"/>
      <c r="W77" s="70"/>
      <c r="X77" s="925"/>
      <c r="Y77" s="83"/>
      <c r="Z77" s="70"/>
      <c r="AA77" s="926"/>
      <c r="AB77" s="72"/>
      <c r="AC77" s="72"/>
      <c r="AD77" s="72"/>
      <c r="AE77" s="89"/>
      <c r="AF77" s="80"/>
      <c r="AG77" s="80"/>
      <c r="AH77" s="80"/>
      <c r="AI77" s="80"/>
      <c r="AJ77" s="80"/>
      <c r="AK77" s="80"/>
      <c r="AL77" s="80"/>
      <c r="AM77" s="70"/>
      <c r="AN77" s="70"/>
      <c r="AO77" s="70"/>
      <c r="AP77" s="73"/>
      <c r="AQ77" s="73"/>
      <c r="AR77" s="106"/>
      <c r="AU77" s="311"/>
      <c r="AW77" s="218"/>
      <c r="AX77" s="218"/>
      <c r="AY77" s="219"/>
      <c r="AZ77" s="219"/>
      <c r="BA77" s="136"/>
    </row>
    <row r="78" spans="1:53" s="82" customFormat="1" ht="24.95" hidden="1" customHeight="1" outlineLevel="1">
      <c r="A78" s="840"/>
      <c r="C78" s="63"/>
      <c r="D78" s="71"/>
      <c r="E78" s="64"/>
      <c r="F78" s="64"/>
      <c r="G78" s="64"/>
      <c r="H78" s="64"/>
      <c r="I78" s="64"/>
      <c r="J78" s="72"/>
      <c r="K78" s="66"/>
      <c r="L78" s="69"/>
      <c r="M78" s="67"/>
      <c r="N78" s="67"/>
      <c r="O78" s="67">
        <f t="shared" si="50"/>
        <v>0</v>
      </c>
      <c r="P78" s="67"/>
      <c r="Q78" s="68"/>
      <c r="R78" s="69"/>
      <c r="S78" s="70"/>
      <c r="T78" s="70"/>
      <c r="U78" s="70"/>
      <c r="V78" s="70"/>
      <c r="W78" s="70"/>
      <c r="X78" s="69"/>
      <c r="Y78" s="69"/>
      <c r="Z78" s="204"/>
      <c r="AA78" s="72"/>
      <c r="AB78" s="192"/>
      <c r="AC78" s="192"/>
      <c r="AD78" s="193"/>
      <c r="AE78" s="89"/>
      <c r="AF78" s="194"/>
      <c r="AG78" s="72"/>
      <c r="AH78" s="72"/>
      <c r="AI78" s="72"/>
      <c r="AJ78" s="72"/>
      <c r="AK78" s="72"/>
      <c r="AL78" s="72"/>
      <c r="AM78" s="70"/>
      <c r="AN78" s="70"/>
      <c r="AO78" s="70"/>
      <c r="AP78" s="73"/>
      <c r="AQ78" s="73"/>
      <c r="AR78" s="106"/>
      <c r="AU78" s="311"/>
      <c r="AW78" s="218"/>
      <c r="AX78" s="218"/>
      <c r="AY78" s="219"/>
      <c r="AZ78" s="219"/>
      <c r="BA78" s="136"/>
    </row>
    <row r="79" spans="1:53" s="82" customFormat="1" ht="24.95" hidden="1" customHeight="1" outlineLevel="1">
      <c r="A79" s="840"/>
      <c r="C79" s="63"/>
      <c r="D79" s="71"/>
      <c r="E79" s="64"/>
      <c r="F79" s="64"/>
      <c r="G79" s="64"/>
      <c r="H79" s="64"/>
      <c r="I79" s="64"/>
      <c r="J79" s="72"/>
      <c r="K79" s="66"/>
      <c r="L79" s="69"/>
      <c r="M79" s="67"/>
      <c r="N79" s="67"/>
      <c r="O79" s="67">
        <f t="shared" si="50"/>
        <v>0</v>
      </c>
      <c r="P79" s="67"/>
      <c r="Q79" s="68"/>
      <c r="R79" s="69"/>
      <c r="S79" s="70"/>
      <c r="T79" s="70"/>
      <c r="U79" s="70"/>
      <c r="V79" s="70"/>
      <c r="W79" s="70"/>
      <c r="X79" s="69"/>
      <c r="Y79" s="69"/>
      <c r="Z79" s="204"/>
      <c r="AA79" s="72"/>
      <c r="AB79" s="72"/>
      <c r="AC79" s="72"/>
      <c r="AD79" s="72"/>
      <c r="AE79" s="89"/>
      <c r="AF79" s="80"/>
      <c r="AG79" s="80"/>
      <c r="AH79" s="80"/>
      <c r="AI79" s="80"/>
      <c r="AJ79" s="80"/>
      <c r="AK79" s="80"/>
      <c r="AL79" s="80"/>
      <c r="AM79" s="70"/>
      <c r="AN79" s="70"/>
      <c r="AO79" s="70"/>
      <c r="AP79" s="73"/>
      <c r="AQ79" s="73"/>
      <c r="AR79" s="107"/>
      <c r="AU79" s="311"/>
      <c r="AW79" s="218"/>
      <c r="AX79" s="218"/>
      <c r="AY79" s="219"/>
      <c r="AZ79" s="219"/>
      <c r="BA79" s="136"/>
    </row>
    <row r="80" spans="1:53" s="82" customFormat="1" ht="24.95" hidden="1" customHeight="1" outlineLevel="1">
      <c r="A80" s="840"/>
      <c r="C80" s="63"/>
      <c r="D80" s="71"/>
      <c r="E80" s="64"/>
      <c r="F80" s="64"/>
      <c r="G80" s="64"/>
      <c r="H80" s="64"/>
      <c r="I80" s="64"/>
      <c r="J80" s="65"/>
      <c r="K80" s="66"/>
      <c r="L80" s="69"/>
      <c r="M80" s="67"/>
      <c r="N80" s="67"/>
      <c r="O80" s="67">
        <f t="shared" si="50"/>
        <v>0</v>
      </c>
      <c r="P80" s="67"/>
      <c r="Q80" s="68"/>
      <c r="R80" s="69" t="s">
        <v>780</v>
      </c>
      <c r="S80" s="70"/>
      <c r="T80" s="70"/>
      <c r="U80" s="70"/>
      <c r="V80" s="70"/>
      <c r="W80" s="70"/>
      <c r="X80" s="69"/>
      <c r="Y80" s="69"/>
      <c r="Z80" s="204"/>
      <c r="AA80" s="72"/>
      <c r="AB80" s="72"/>
      <c r="AC80" s="72"/>
      <c r="AD80" s="72"/>
      <c r="AE80" s="89"/>
      <c r="AF80" s="80"/>
      <c r="AG80" s="80"/>
      <c r="AH80" s="80"/>
      <c r="AI80" s="80"/>
      <c r="AJ80" s="80"/>
      <c r="AK80" s="80"/>
      <c r="AL80" s="80"/>
      <c r="AM80" s="70"/>
      <c r="AN80" s="70"/>
      <c r="AO80" s="70"/>
      <c r="AP80" s="73"/>
      <c r="AQ80" s="73"/>
      <c r="AR80" s="106"/>
      <c r="AT80" s="82">
        <f t="shared" ref="AT80:AT82" si="51">C80</f>
        <v>0</v>
      </c>
      <c r="AU80" s="311">
        <f>L80</f>
        <v>0</v>
      </c>
      <c r="AW80" s="218">
        <f t="shared" ref="AW80:AX82" si="52">IF(M80=0,0,1)</f>
        <v>0</v>
      </c>
      <c r="AX80" s="218">
        <f t="shared" si="52"/>
        <v>0</v>
      </c>
      <c r="AY80" s="219">
        <f>IF(AW80+AX80=2,0.5,AW80)</f>
        <v>0</v>
      </c>
      <c r="AZ80" s="219">
        <f>IF(AW80+AX80=2,0.5,AX80)</f>
        <v>0</v>
      </c>
      <c r="BA80" s="136">
        <f>AY80+AZ80</f>
        <v>0</v>
      </c>
    </row>
    <row r="81" spans="1:53" s="82" customFormat="1" ht="24.95" hidden="1" customHeight="1" outlineLevel="1" thickBot="1">
      <c r="A81" s="840"/>
      <c r="C81" s="108"/>
      <c r="D81" s="91"/>
      <c r="E81" s="92"/>
      <c r="F81" s="92"/>
      <c r="G81" s="92"/>
      <c r="H81" s="92"/>
      <c r="I81" s="92"/>
      <c r="J81" s="150">
        <f>IFERROR(AVERAGE(J73:J80),0)</f>
        <v>0</v>
      </c>
      <c r="K81" s="150">
        <f>IFERROR(AVERAGE(K73:K80),0)</f>
        <v>0</v>
      </c>
      <c r="L81" s="95">
        <f>SUM(L73:L80)</f>
        <v>0</v>
      </c>
      <c r="M81" s="95">
        <f t="shared" ref="M81:O81" si="53">SUM(M73:M80)</f>
        <v>0</v>
      </c>
      <c r="N81" s="95">
        <f t="shared" si="53"/>
        <v>0</v>
      </c>
      <c r="O81" s="95">
        <f t="shared" si="53"/>
        <v>0</v>
      </c>
      <c r="P81" s="93"/>
      <c r="Q81" s="95"/>
      <c r="R81" s="95"/>
      <c r="S81" s="91"/>
      <c r="T81" s="91"/>
      <c r="U81" s="97"/>
      <c r="V81" s="96"/>
      <c r="W81" s="97"/>
      <c r="X81" s="98"/>
      <c r="Y81" s="98"/>
      <c r="Z81" s="207"/>
      <c r="AA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L81" s="99"/>
      <c r="AM81" s="100"/>
      <c r="AN81" s="100"/>
      <c r="AO81" s="100"/>
      <c r="AP81" s="96"/>
      <c r="AQ81" s="96"/>
      <c r="AR81" s="109"/>
      <c r="AT81" s="82">
        <f t="shared" si="51"/>
        <v>0</v>
      </c>
      <c r="AU81" s="311">
        <f t="shared" ref="AU81:AU82" si="54">L81</f>
        <v>0</v>
      </c>
      <c r="AW81" s="218">
        <f t="shared" si="52"/>
        <v>0</v>
      </c>
      <c r="AX81" s="218">
        <f t="shared" si="52"/>
        <v>0</v>
      </c>
      <c r="AY81" s="219">
        <f t="shared" ref="AY81:AY82" si="55">IF(AW81+AX81=2,0.5,AW81)</f>
        <v>0</v>
      </c>
      <c r="AZ81" s="219">
        <f t="shared" ref="AZ81:AZ82" si="56">IF(AW81+AX81=2,0.5,AX81)</f>
        <v>0</v>
      </c>
      <c r="BA81" s="136">
        <f t="shared" ref="BA81:BA82" si="57">AY81+AZ81</f>
        <v>0</v>
      </c>
    </row>
    <row r="82" spans="1:53" s="82" customFormat="1" ht="24.95" hidden="1" customHeight="1" outlineLevel="1" thickBot="1">
      <c r="A82" s="840"/>
      <c r="C82" s="644" t="s">
        <v>827</v>
      </c>
      <c r="D82" s="645"/>
      <c r="E82" s="645"/>
      <c r="F82" s="645"/>
      <c r="G82" s="645"/>
      <c r="H82" s="645"/>
      <c r="I82" s="645"/>
      <c r="J82" s="645"/>
      <c r="K82" s="645"/>
      <c r="L82" s="645"/>
      <c r="M82" s="696"/>
      <c r="N82" s="696"/>
      <c r="O82" s="696"/>
      <c r="P82" s="696"/>
      <c r="Q82" s="645"/>
      <c r="R82" s="645"/>
      <c r="S82" s="645"/>
      <c r="T82" s="645"/>
      <c r="U82" s="646"/>
      <c r="V82" s="645"/>
      <c r="W82" s="645"/>
      <c r="X82" s="645"/>
      <c r="Y82" s="645"/>
      <c r="Z82" s="647"/>
      <c r="AA82" s="645"/>
      <c r="AB82" s="645"/>
      <c r="AC82" s="645"/>
      <c r="AD82" s="645"/>
      <c r="AE82" s="645"/>
      <c r="AF82" s="645"/>
      <c r="AG82" s="645"/>
      <c r="AH82" s="645"/>
      <c r="AI82" s="645"/>
      <c r="AJ82" s="645"/>
      <c r="AK82" s="645"/>
      <c r="AL82" s="645"/>
      <c r="AM82" s="645"/>
      <c r="AN82" s="645"/>
      <c r="AO82" s="645"/>
      <c r="AP82" s="645"/>
      <c r="AQ82" s="645"/>
      <c r="AR82" s="648"/>
      <c r="AT82" s="82" t="str">
        <f t="shared" si="51"/>
        <v>2026년 9월 반입 예정 선박리스트</v>
      </c>
      <c r="AU82" s="311">
        <f t="shared" si="54"/>
        <v>0</v>
      </c>
      <c r="AW82" s="218">
        <f t="shared" si="52"/>
        <v>0</v>
      </c>
      <c r="AX82" s="218">
        <f t="shared" si="52"/>
        <v>0</v>
      </c>
      <c r="AY82" s="219">
        <f t="shared" si="55"/>
        <v>0</v>
      </c>
      <c r="AZ82" s="219">
        <f t="shared" si="56"/>
        <v>0</v>
      </c>
      <c r="BA82" s="136">
        <f t="shared" si="57"/>
        <v>0</v>
      </c>
    </row>
    <row r="83" spans="1:53" s="82" customFormat="1" ht="24.95" hidden="1" customHeight="1" outlineLevel="1">
      <c r="A83" s="840"/>
      <c r="C83" s="105"/>
      <c r="D83" s="929"/>
      <c r="E83" s="76"/>
      <c r="F83" s="76"/>
      <c r="G83" s="76"/>
      <c r="H83" s="76"/>
      <c r="I83" s="76"/>
      <c r="J83" s="72"/>
      <c r="K83" s="66"/>
      <c r="L83" s="942"/>
      <c r="M83" s="77"/>
      <c r="N83" s="77"/>
      <c r="O83" s="67">
        <f t="shared" ref="O83:O86" si="58">+M83+N83</f>
        <v>0</v>
      </c>
      <c r="P83" s="77"/>
      <c r="Q83" s="78"/>
      <c r="R83" s="69"/>
      <c r="S83" s="70"/>
      <c r="T83" s="315"/>
      <c r="U83" s="70"/>
      <c r="V83" s="70"/>
      <c r="W83" s="70"/>
      <c r="X83" s="925"/>
      <c r="Y83" s="83"/>
      <c r="Z83" s="943"/>
      <c r="AA83" s="943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59"/>
      <c r="AN83" s="944"/>
      <c r="AO83" s="70"/>
      <c r="AP83" s="211"/>
      <c r="AQ83" s="73"/>
      <c r="AR83" s="107"/>
      <c r="AU83" s="311"/>
      <c r="AW83" s="218"/>
      <c r="AX83" s="218"/>
      <c r="AY83" s="219"/>
      <c r="AZ83" s="219"/>
      <c r="BA83" s="136"/>
    </row>
    <row r="84" spans="1:53" s="82" customFormat="1" ht="24.95" hidden="1" customHeight="1" outlineLevel="1">
      <c r="A84" s="840"/>
      <c r="C84" s="63"/>
      <c r="D84" s="71"/>
      <c r="E84" s="64"/>
      <c r="F84" s="64"/>
      <c r="G84" s="64"/>
      <c r="H84" s="64"/>
      <c r="I84" s="64"/>
      <c r="J84" s="72"/>
      <c r="K84" s="66"/>
      <c r="L84" s="69"/>
      <c r="M84" s="67"/>
      <c r="N84" s="67"/>
      <c r="O84" s="67">
        <f t="shared" si="58"/>
        <v>0</v>
      </c>
      <c r="P84" s="67"/>
      <c r="Q84" s="68"/>
      <c r="R84" s="69"/>
      <c r="S84" s="70"/>
      <c r="T84" s="945"/>
      <c r="U84" s="70"/>
      <c r="V84" s="70"/>
      <c r="W84" s="70"/>
      <c r="X84" s="925"/>
      <c r="Y84" s="83"/>
      <c r="Z84" s="946"/>
      <c r="AA84" s="946"/>
      <c r="AB84" s="192"/>
      <c r="AC84" s="192"/>
      <c r="AD84" s="193"/>
      <c r="AE84" s="89"/>
      <c r="AF84" s="194"/>
      <c r="AG84" s="72"/>
      <c r="AH84" s="72"/>
      <c r="AI84" s="72"/>
      <c r="AJ84" s="72"/>
      <c r="AK84" s="72"/>
      <c r="AL84" s="72"/>
      <c r="AM84" s="70"/>
      <c r="AN84" s="70"/>
      <c r="AO84" s="70"/>
      <c r="AP84" s="73"/>
      <c r="AQ84" s="73"/>
      <c r="AR84" s="107"/>
      <c r="AU84" s="311"/>
      <c r="AW84" s="218"/>
      <c r="AX84" s="218"/>
      <c r="AY84" s="219"/>
      <c r="AZ84" s="219"/>
      <c r="BA84" s="136"/>
    </row>
    <row r="85" spans="1:53" s="82" customFormat="1" ht="24.95" hidden="1" customHeight="1" outlineLevel="1">
      <c r="A85" s="840"/>
      <c r="C85" s="63"/>
      <c r="D85" s="71"/>
      <c r="E85" s="64"/>
      <c r="F85" s="64"/>
      <c r="G85" s="64"/>
      <c r="H85" s="64"/>
      <c r="I85" s="64"/>
      <c r="J85" s="72"/>
      <c r="K85" s="66"/>
      <c r="L85" s="69"/>
      <c r="M85" s="67"/>
      <c r="N85" s="69"/>
      <c r="O85" s="67">
        <f t="shared" si="58"/>
        <v>0</v>
      </c>
      <c r="P85" s="67"/>
      <c r="Q85" s="68"/>
      <c r="R85" s="69"/>
      <c r="S85" s="70"/>
      <c r="T85" s="70"/>
      <c r="U85" s="70"/>
      <c r="V85" s="70"/>
      <c r="W85" s="70"/>
      <c r="X85" s="83"/>
      <c r="Y85" s="83"/>
      <c r="Z85" s="206"/>
      <c r="AA85" s="84"/>
      <c r="AB85" s="192"/>
      <c r="AC85" s="192"/>
      <c r="AD85" s="193"/>
      <c r="AE85" s="89"/>
      <c r="AF85" s="194"/>
      <c r="AG85" s="72"/>
      <c r="AH85" s="72"/>
      <c r="AI85" s="72"/>
      <c r="AJ85" s="72"/>
      <c r="AK85" s="72"/>
      <c r="AL85" s="72"/>
      <c r="AM85" s="70"/>
      <c r="AN85" s="947"/>
      <c r="AO85" s="947"/>
      <c r="AP85" s="73"/>
      <c r="AQ85" s="948"/>
      <c r="AR85" s="107"/>
      <c r="AU85" s="311"/>
      <c r="AW85" s="218"/>
      <c r="AX85" s="218"/>
      <c r="AY85" s="219"/>
      <c r="AZ85" s="219"/>
      <c r="BA85" s="136"/>
    </row>
    <row r="86" spans="1:53" s="82" customFormat="1" ht="24.95" hidden="1" customHeight="1" outlineLevel="1">
      <c r="A86" s="840"/>
      <c r="C86" s="63"/>
      <c r="D86" s="71"/>
      <c r="E86" s="64"/>
      <c r="F86" s="64"/>
      <c r="G86" s="64"/>
      <c r="H86" s="64"/>
      <c r="I86" s="64"/>
      <c r="J86" s="72"/>
      <c r="K86" s="66"/>
      <c r="L86" s="69"/>
      <c r="M86" s="67"/>
      <c r="N86" s="69"/>
      <c r="O86" s="67">
        <f t="shared" si="58"/>
        <v>0</v>
      </c>
      <c r="P86" s="67"/>
      <c r="Q86" s="68"/>
      <c r="R86" s="69"/>
      <c r="S86" s="70"/>
      <c r="T86" s="70"/>
      <c r="U86" s="70"/>
      <c r="V86" s="70"/>
      <c r="W86" s="70"/>
      <c r="X86" s="83"/>
      <c r="Y86" s="83"/>
      <c r="Z86" s="206"/>
      <c r="AA86" s="84"/>
      <c r="AB86" s="192"/>
      <c r="AC86" s="192"/>
      <c r="AD86" s="193"/>
      <c r="AE86" s="89"/>
      <c r="AF86" s="194"/>
      <c r="AG86" s="72"/>
      <c r="AH86" s="72"/>
      <c r="AI86" s="72"/>
      <c r="AJ86" s="72"/>
      <c r="AK86" s="72"/>
      <c r="AL86" s="72"/>
      <c r="AM86" s="70"/>
      <c r="AN86" s="947"/>
      <c r="AO86" s="947"/>
      <c r="AP86" s="73"/>
      <c r="AQ86" s="948"/>
      <c r="AR86" s="107"/>
      <c r="AU86" s="311"/>
      <c r="AW86" s="218"/>
      <c r="AX86" s="218"/>
      <c r="AY86" s="219"/>
      <c r="AZ86" s="219"/>
      <c r="BA86" s="136"/>
    </row>
    <row r="87" spans="1:53" s="82" customFormat="1" ht="24.95" hidden="1" customHeight="1" outlineLevel="1" thickBot="1">
      <c r="A87" s="840"/>
      <c r="C87" s="63"/>
      <c r="D87" s="91"/>
      <c r="E87" s="92"/>
      <c r="F87" s="92"/>
      <c r="G87" s="92"/>
      <c r="H87" s="92"/>
      <c r="I87" s="92"/>
      <c r="J87" s="150">
        <f>IFERROR(AVERAGE(J83:J86),0)</f>
        <v>0</v>
      </c>
      <c r="K87" s="150">
        <f>IFERROR(AVERAGE(K83:K86),0)</f>
        <v>0</v>
      </c>
      <c r="L87" s="95">
        <f>SUM(L83:L86)</f>
        <v>0</v>
      </c>
      <c r="M87" s="95">
        <f t="shared" ref="M87:O87" si="59">SUM(M83:M86)</f>
        <v>0</v>
      </c>
      <c r="N87" s="95">
        <f t="shared" si="59"/>
        <v>0</v>
      </c>
      <c r="O87" s="95">
        <f t="shared" si="59"/>
        <v>0</v>
      </c>
      <c r="P87" s="93"/>
      <c r="Q87" s="95"/>
      <c r="R87" s="95"/>
      <c r="S87" s="91"/>
      <c r="T87" s="91"/>
      <c r="U87" s="97"/>
      <c r="V87" s="96"/>
      <c r="W87" s="97"/>
      <c r="X87" s="98"/>
      <c r="Y87" s="98"/>
      <c r="Z87" s="207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9"/>
      <c r="AM87" s="100"/>
      <c r="AN87" s="100"/>
      <c r="AO87" s="100"/>
      <c r="AP87" s="96"/>
      <c r="AQ87" s="96"/>
      <c r="AR87" s="109"/>
      <c r="AT87" s="82">
        <f t="shared" ref="AT87:AT124" si="60">C87</f>
        <v>0</v>
      </c>
      <c r="AU87" s="311">
        <f t="shared" ref="AU87:AU95" si="61">L87</f>
        <v>0</v>
      </c>
      <c r="AW87" s="218">
        <f t="shared" ref="AW87:AX95" si="62">IF(M87=0,0,1)</f>
        <v>0</v>
      </c>
      <c r="AX87" s="218">
        <f t="shared" si="62"/>
        <v>0</v>
      </c>
      <c r="AY87" s="219">
        <f t="shared" ref="AY87:AY88" si="63">IF(AW87+AX87=2,0.5,AW87)</f>
        <v>0</v>
      </c>
      <c r="AZ87" s="219">
        <f t="shared" ref="AZ87:AZ88" si="64">IF(AW87+AX87=2,0.5,AX87)</f>
        <v>0</v>
      </c>
      <c r="BA87" s="136">
        <f t="shared" ref="BA87:BA95" si="65">AY87+AZ87</f>
        <v>0</v>
      </c>
    </row>
    <row r="88" spans="1:53" s="82" customFormat="1" ht="24.95" hidden="1" customHeight="1" outlineLevel="1" collapsed="1" thickBot="1">
      <c r="A88" s="840"/>
      <c r="C88" s="644" t="s">
        <v>828</v>
      </c>
      <c r="D88" s="645"/>
      <c r="E88" s="645"/>
      <c r="F88" s="645"/>
      <c r="G88" s="645"/>
      <c r="H88" s="645"/>
      <c r="I88" s="645"/>
      <c r="J88" s="645"/>
      <c r="K88" s="645"/>
      <c r="L88" s="645"/>
      <c r="M88" s="696"/>
      <c r="N88" s="696"/>
      <c r="O88" s="696"/>
      <c r="P88" s="696"/>
      <c r="Q88" s="645"/>
      <c r="R88" s="645"/>
      <c r="S88" s="645"/>
      <c r="T88" s="645"/>
      <c r="U88" s="646"/>
      <c r="V88" s="645"/>
      <c r="W88" s="645"/>
      <c r="X88" s="645"/>
      <c r="Y88" s="645"/>
      <c r="Z88" s="647"/>
      <c r="AA88" s="645"/>
      <c r="AB88" s="645"/>
      <c r="AC88" s="645"/>
      <c r="AD88" s="645"/>
      <c r="AE88" s="645"/>
      <c r="AF88" s="645"/>
      <c r="AG88" s="645"/>
      <c r="AH88" s="645"/>
      <c r="AI88" s="645"/>
      <c r="AJ88" s="645"/>
      <c r="AK88" s="645"/>
      <c r="AL88" s="645"/>
      <c r="AM88" s="645"/>
      <c r="AN88" s="645"/>
      <c r="AO88" s="645"/>
      <c r="AP88" s="645"/>
      <c r="AQ88" s="645"/>
      <c r="AR88" s="648"/>
      <c r="AT88" s="82" t="str">
        <f t="shared" si="60"/>
        <v>2026년 10월 반입 예정 선박리스트</v>
      </c>
      <c r="AU88" s="311">
        <f t="shared" si="61"/>
        <v>0</v>
      </c>
      <c r="AW88" s="218">
        <f t="shared" si="62"/>
        <v>0</v>
      </c>
      <c r="AX88" s="218">
        <f t="shared" si="62"/>
        <v>0</v>
      </c>
      <c r="AY88" s="219">
        <f t="shared" si="63"/>
        <v>0</v>
      </c>
      <c r="AZ88" s="219">
        <f t="shared" si="64"/>
        <v>0</v>
      </c>
      <c r="BA88" s="136">
        <f t="shared" si="65"/>
        <v>0</v>
      </c>
    </row>
    <row r="89" spans="1:53" s="82" customFormat="1" ht="24.95" hidden="1" customHeight="1" outlineLevel="1">
      <c r="A89" s="840"/>
      <c r="C89" s="63"/>
      <c r="D89" s="71"/>
      <c r="E89" s="64"/>
      <c r="F89" s="64"/>
      <c r="G89" s="64"/>
      <c r="H89" s="64"/>
      <c r="I89" s="64"/>
      <c r="J89" s="65"/>
      <c r="K89" s="66"/>
      <c r="L89" s="69"/>
      <c r="M89" s="67"/>
      <c r="N89" s="69"/>
      <c r="O89" s="67">
        <f t="shared" ref="O89:O93" si="66">+M89+N89</f>
        <v>0</v>
      </c>
      <c r="P89" s="67"/>
      <c r="Q89" s="68"/>
      <c r="R89" s="69"/>
      <c r="S89" s="70"/>
      <c r="T89" s="70"/>
      <c r="U89" s="70"/>
      <c r="V89" s="70"/>
      <c r="W89" s="70"/>
      <c r="X89" s="69"/>
      <c r="Y89" s="69"/>
      <c r="Z89" s="204"/>
      <c r="AA89" s="72"/>
      <c r="AB89" s="192"/>
      <c r="AC89" s="192"/>
      <c r="AD89" s="193"/>
      <c r="AE89" s="89"/>
      <c r="AF89" s="194"/>
      <c r="AG89" s="72"/>
      <c r="AH89" s="72"/>
      <c r="AI89" s="72"/>
      <c r="AJ89" s="72"/>
      <c r="AK89" s="72"/>
      <c r="AL89" s="72"/>
      <c r="AM89" s="70"/>
      <c r="AN89" s="70"/>
      <c r="AO89" s="70"/>
      <c r="AP89" s="73"/>
      <c r="AQ89" s="73"/>
      <c r="AR89" s="386"/>
      <c r="AU89" s="311"/>
      <c r="AW89" s="218"/>
      <c r="AX89" s="218"/>
      <c r="AY89" s="219"/>
      <c r="AZ89" s="219"/>
      <c r="BA89" s="136"/>
    </row>
    <row r="90" spans="1:53" s="82" customFormat="1" ht="24.95" hidden="1" customHeight="1" outlineLevel="1">
      <c r="A90" s="840"/>
      <c r="C90" s="105"/>
      <c r="D90" s="929"/>
      <c r="E90" s="931"/>
      <c r="F90" s="64"/>
      <c r="G90" s="64"/>
      <c r="H90" s="64"/>
      <c r="I90" s="64"/>
      <c r="J90" s="65"/>
      <c r="K90" s="66"/>
      <c r="L90" s="949"/>
      <c r="M90" s="67"/>
      <c r="N90" s="67"/>
      <c r="O90" s="67">
        <f t="shared" si="66"/>
        <v>0</v>
      </c>
      <c r="P90" s="67"/>
      <c r="Q90" s="68"/>
      <c r="R90" s="69"/>
      <c r="S90" s="70"/>
      <c r="T90" s="950"/>
      <c r="U90" s="70"/>
      <c r="V90" s="70"/>
      <c r="W90" s="70"/>
      <c r="X90" s="69"/>
      <c r="Y90" s="69"/>
      <c r="Z90" s="204"/>
      <c r="AA90" s="72"/>
      <c r="AB90" s="72"/>
      <c r="AC90" s="72"/>
      <c r="AD90" s="72"/>
      <c r="AE90" s="89"/>
      <c r="AF90" s="80"/>
      <c r="AG90" s="80"/>
      <c r="AH90" s="80"/>
      <c r="AI90" s="80"/>
      <c r="AJ90" s="80"/>
      <c r="AK90" s="80"/>
      <c r="AL90" s="80"/>
      <c r="AM90" s="70"/>
      <c r="AN90" s="951"/>
      <c r="AO90" s="951"/>
      <c r="AP90" s="73"/>
      <c r="AQ90" s="73"/>
      <c r="AR90" s="386"/>
      <c r="AU90" s="311"/>
      <c r="AW90" s="218"/>
      <c r="AX90" s="218"/>
      <c r="AY90" s="219"/>
      <c r="AZ90" s="219"/>
      <c r="BA90" s="136"/>
    </row>
    <row r="91" spans="1:53" s="82" customFormat="1" ht="24.95" hidden="1" customHeight="1" outlineLevel="1" thickBot="1">
      <c r="A91" s="840"/>
      <c r="C91" s="105"/>
      <c r="D91" s="929"/>
      <c r="E91" s="931"/>
      <c r="F91" s="64"/>
      <c r="G91" s="64"/>
      <c r="H91" s="64"/>
      <c r="I91" s="64"/>
      <c r="J91" s="65"/>
      <c r="K91" s="66"/>
      <c r="L91" s="870"/>
      <c r="M91" s="67"/>
      <c r="N91" s="67"/>
      <c r="O91" s="67">
        <f t="shared" si="66"/>
        <v>0</v>
      </c>
      <c r="P91" s="67"/>
      <c r="Q91" s="68"/>
      <c r="R91" s="69"/>
      <c r="S91" s="950"/>
      <c r="T91" s="950"/>
      <c r="U91" s="315"/>
      <c r="V91" s="70"/>
      <c r="W91" s="70"/>
      <c r="X91" s="925"/>
      <c r="Y91" s="952"/>
      <c r="Z91" s="83"/>
      <c r="AA91" s="946"/>
      <c r="AB91" s="871"/>
      <c r="AC91" s="871"/>
      <c r="AD91" s="871"/>
      <c r="AE91" s="89"/>
      <c r="AF91" s="80"/>
      <c r="AG91" s="80"/>
      <c r="AH91" s="80"/>
      <c r="AI91" s="80"/>
      <c r="AJ91" s="80"/>
      <c r="AK91" s="80"/>
      <c r="AL91" s="80"/>
      <c r="AM91" s="70"/>
      <c r="AN91" s="69"/>
      <c r="AO91" s="69"/>
      <c r="AP91" s="73"/>
      <c r="AQ91" s="73"/>
      <c r="AR91" s="104"/>
      <c r="AU91" s="311"/>
      <c r="AW91" s="218"/>
      <c r="AX91" s="218"/>
      <c r="AY91" s="219"/>
      <c r="AZ91" s="219"/>
      <c r="BA91" s="136"/>
    </row>
    <row r="92" spans="1:53" s="82" customFormat="1" ht="24.95" hidden="1" customHeight="1" outlineLevel="1">
      <c r="A92" s="840"/>
      <c r="C92" s="105"/>
      <c r="D92" s="929"/>
      <c r="E92" s="931"/>
      <c r="F92" s="76"/>
      <c r="G92" s="76"/>
      <c r="H92" s="76"/>
      <c r="I92" s="76"/>
      <c r="J92" s="65"/>
      <c r="K92" s="66"/>
      <c r="L92" s="949"/>
      <c r="M92" s="77"/>
      <c r="N92" s="67"/>
      <c r="O92" s="67">
        <f t="shared" si="66"/>
        <v>0</v>
      </c>
      <c r="P92" s="77"/>
      <c r="Q92" s="78"/>
      <c r="R92" s="69"/>
      <c r="S92" s="950"/>
      <c r="T92" s="950"/>
      <c r="U92" s="70"/>
      <c r="V92" s="70"/>
      <c r="W92" s="70"/>
      <c r="X92" s="925"/>
      <c r="Y92" s="83"/>
      <c r="Z92" s="946"/>
      <c r="AA92" s="946"/>
      <c r="AB92" s="315"/>
      <c r="AC92" s="315"/>
      <c r="AD92" s="315"/>
      <c r="AE92" s="60"/>
      <c r="AF92" s="60"/>
      <c r="AG92" s="60"/>
      <c r="AH92" s="60"/>
      <c r="AI92" s="60"/>
      <c r="AJ92" s="60"/>
      <c r="AK92" s="60"/>
      <c r="AL92" s="60"/>
      <c r="AM92" s="59"/>
      <c r="AN92" s="69"/>
      <c r="AO92" s="69"/>
      <c r="AP92" s="71"/>
      <c r="AQ92" s="71"/>
      <c r="AR92" s="107"/>
      <c r="AU92" s="311"/>
      <c r="AW92" s="218"/>
      <c r="AX92" s="218"/>
      <c r="AY92" s="219"/>
      <c r="AZ92" s="219"/>
      <c r="BA92" s="136"/>
    </row>
    <row r="93" spans="1:53" s="82" customFormat="1" ht="24.95" hidden="1" customHeight="1" outlineLevel="1">
      <c r="A93" s="840"/>
      <c r="C93" s="105"/>
      <c r="D93" s="929"/>
      <c r="E93" s="931"/>
      <c r="F93" s="64"/>
      <c r="G93" s="64"/>
      <c r="H93" s="64"/>
      <c r="I93" s="64"/>
      <c r="J93" s="65"/>
      <c r="K93" s="66"/>
      <c r="L93" s="949"/>
      <c r="M93" s="67"/>
      <c r="N93" s="67"/>
      <c r="O93" s="67">
        <f t="shared" si="66"/>
        <v>0</v>
      </c>
      <c r="P93" s="67"/>
      <c r="Q93" s="68"/>
      <c r="R93" s="69"/>
      <c r="S93" s="70"/>
      <c r="T93" s="950"/>
      <c r="U93" s="950"/>
      <c r="V93" s="70"/>
      <c r="W93" s="70"/>
      <c r="X93" s="925"/>
      <c r="Y93" s="925"/>
      <c r="Z93" s="925"/>
      <c r="AA93" s="953"/>
      <c r="AB93" s="192"/>
      <c r="AC93" s="192"/>
      <c r="AD93" s="193"/>
      <c r="AE93" s="89"/>
      <c r="AF93" s="194"/>
      <c r="AG93" s="72"/>
      <c r="AH93" s="72"/>
      <c r="AI93" s="72"/>
      <c r="AJ93" s="72"/>
      <c r="AK93" s="72"/>
      <c r="AL93" s="72"/>
      <c r="AM93" s="70"/>
      <c r="AN93" s="925"/>
      <c r="AO93" s="925"/>
      <c r="AP93" s="73"/>
      <c r="AQ93" s="73"/>
      <c r="AR93" s="107"/>
      <c r="AU93" s="311"/>
      <c r="AW93" s="218"/>
      <c r="AX93" s="218"/>
      <c r="AY93" s="219"/>
      <c r="AZ93" s="219"/>
      <c r="BA93" s="136"/>
    </row>
    <row r="94" spans="1:53" s="82" customFormat="1" ht="24.95" hidden="1" customHeight="1" outlineLevel="1" thickBot="1">
      <c r="A94" s="840"/>
      <c r="C94" s="108"/>
      <c r="D94" s="91"/>
      <c r="E94" s="92"/>
      <c r="F94" s="92"/>
      <c r="G94" s="92" t="s">
        <v>780</v>
      </c>
      <c r="H94" s="92"/>
      <c r="I94" s="92"/>
      <c r="J94" s="150">
        <f>IFERROR(AVERAGE(J89:J93),0)</f>
        <v>0</v>
      </c>
      <c r="K94" s="150">
        <f>IFERROR(AVERAGE(K89:K93),0)</f>
        <v>0</v>
      </c>
      <c r="L94" s="95">
        <f>SUM(L89:L93)</f>
        <v>0</v>
      </c>
      <c r="M94" s="95">
        <f>SUM(M89:M93)</f>
        <v>0</v>
      </c>
      <c r="N94" s="95">
        <f>SUM(N89:N93)</f>
        <v>0</v>
      </c>
      <c r="O94" s="95">
        <f>SUM(O89:O93)</f>
        <v>0</v>
      </c>
      <c r="P94" s="93"/>
      <c r="Q94" s="95"/>
      <c r="R94" s="95"/>
      <c r="S94" s="91"/>
      <c r="T94" s="91"/>
      <c r="U94" s="97"/>
      <c r="V94" s="96"/>
      <c r="W94" s="97"/>
      <c r="X94" s="98"/>
      <c r="Y94" s="98"/>
      <c r="Z94" s="207"/>
      <c r="AA94" s="99"/>
      <c r="AB94" s="741" t="str">
        <f>IF(F94="","",F94-E94+AI94+AL94)</f>
        <v/>
      </c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100"/>
      <c r="AN94" s="100"/>
      <c r="AO94" s="100"/>
      <c r="AP94" s="96"/>
      <c r="AQ94" s="96"/>
      <c r="AR94" s="109"/>
      <c r="AT94" s="82">
        <f t="shared" si="60"/>
        <v>0</v>
      </c>
      <c r="AU94" s="311">
        <f t="shared" si="61"/>
        <v>0</v>
      </c>
      <c r="AW94" s="218">
        <f t="shared" si="62"/>
        <v>0</v>
      </c>
      <c r="AX94" s="218">
        <f t="shared" si="62"/>
        <v>0</v>
      </c>
      <c r="AY94" s="219">
        <f t="shared" ref="AY94:AY95" si="67">IF(AW94+AX94=2,0.5,AW94)</f>
        <v>0</v>
      </c>
      <c r="AZ94" s="219">
        <f t="shared" ref="AZ94:AZ95" si="68">IF(AW94+AX94=2,0.5,AX94)</f>
        <v>0</v>
      </c>
      <c r="BA94" s="136">
        <f t="shared" si="65"/>
        <v>0</v>
      </c>
    </row>
    <row r="95" spans="1:53" s="82" customFormat="1" ht="24.95" hidden="1" customHeight="1" outlineLevel="1" thickBot="1">
      <c r="A95" s="840"/>
      <c r="C95" s="644" t="s">
        <v>829</v>
      </c>
      <c r="D95" s="645"/>
      <c r="E95" s="645"/>
      <c r="F95" s="645"/>
      <c r="G95" s="645"/>
      <c r="H95" s="645"/>
      <c r="I95" s="645"/>
      <c r="J95" s="645"/>
      <c r="K95" s="645"/>
      <c r="L95" s="645"/>
      <c r="M95" s="696"/>
      <c r="N95" s="696"/>
      <c r="O95" s="696"/>
      <c r="P95" s="696"/>
      <c r="Q95" s="645"/>
      <c r="R95" s="645"/>
      <c r="S95" s="645"/>
      <c r="T95" s="645"/>
      <c r="U95" s="646"/>
      <c r="V95" s="645"/>
      <c r="W95" s="645"/>
      <c r="X95" s="645"/>
      <c r="Y95" s="645"/>
      <c r="Z95" s="647"/>
      <c r="AA95" s="645"/>
      <c r="AB95" s="645"/>
      <c r="AC95" s="645"/>
      <c r="AD95" s="645"/>
      <c r="AE95" s="645"/>
      <c r="AF95" s="645"/>
      <c r="AG95" s="645"/>
      <c r="AH95" s="645"/>
      <c r="AI95" s="645"/>
      <c r="AJ95" s="645"/>
      <c r="AK95" s="645"/>
      <c r="AL95" s="645"/>
      <c r="AM95" s="645"/>
      <c r="AN95" s="645"/>
      <c r="AO95" s="645"/>
      <c r="AP95" s="645"/>
      <c r="AQ95" s="645"/>
      <c r="AR95" s="648"/>
      <c r="AT95" s="82" t="str">
        <f t="shared" si="60"/>
        <v>2026년 11월 반입 예정 선박리스트</v>
      </c>
      <c r="AU95" s="311">
        <f t="shared" si="61"/>
        <v>0</v>
      </c>
      <c r="AW95" s="218">
        <f t="shared" si="62"/>
        <v>0</v>
      </c>
      <c r="AX95" s="218">
        <f t="shared" si="62"/>
        <v>0</v>
      </c>
      <c r="AY95" s="219">
        <f t="shared" si="67"/>
        <v>0</v>
      </c>
      <c r="AZ95" s="219">
        <f t="shared" si="68"/>
        <v>0</v>
      </c>
      <c r="BA95" s="136">
        <f t="shared" si="65"/>
        <v>0</v>
      </c>
    </row>
    <row r="96" spans="1:53" s="82" customFormat="1" ht="24.95" hidden="1" customHeight="1" outlineLevel="1">
      <c r="A96" s="840"/>
      <c r="C96" s="105"/>
      <c r="D96" s="929"/>
      <c r="E96" s="931"/>
      <c r="F96" s="64"/>
      <c r="G96" s="64"/>
      <c r="H96" s="64"/>
      <c r="I96" s="64"/>
      <c r="J96" s="65"/>
      <c r="K96" s="66"/>
      <c r="L96" s="870"/>
      <c r="M96" s="67"/>
      <c r="N96" s="67"/>
      <c r="O96" s="67">
        <f t="shared" ref="O96:O101" si="69">+M96+N96</f>
        <v>0</v>
      </c>
      <c r="P96" s="67"/>
      <c r="Q96" s="68"/>
      <c r="R96" s="69"/>
      <c r="S96" s="70"/>
      <c r="T96" s="950"/>
      <c r="U96" s="70"/>
      <c r="V96" s="70"/>
      <c r="W96" s="70"/>
      <c r="X96" s="69"/>
      <c r="Y96" s="69"/>
      <c r="Z96" s="204"/>
      <c r="AA96" s="72"/>
      <c r="AB96" s="192"/>
      <c r="AC96" s="192"/>
      <c r="AD96" s="193"/>
      <c r="AE96" s="89"/>
      <c r="AF96" s="194"/>
      <c r="AG96" s="72"/>
      <c r="AH96" s="72"/>
      <c r="AI96" s="72"/>
      <c r="AJ96" s="72"/>
      <c r="AK96" s="72"/>
      <c r="AL96" s="72"/>
      <c r="AM96" s="70"/>
      <c r="AN96" s="947"/>
      <c r="AO96" s="947"/>
      <c r="AP96" s="73"/>
      <c r="AQ96" s="73"/>
      <c r="AR96" s="107"/>
      <c r="AU96" s="311"/>
      <c r="AW96" s="218"/>
      <c r="AX96" s="218"/>
      <c r="AY96" s="219"/>
      <c r="AZ96" s="219"/>
      <c r="BA96" s="136"/>
    </row>
    <row r="97" spans="1:53" s="82" customFormat="1" ht="24.95" hidden="1" customHeight="1" outlineLevel="1">
      <c r="A97" s="840"/>
      <c r="C97" s="105"/>
      <c r="D97" s="929"/>
      <c r="E97" s="931"/>
      <c r="F97" s="64"/>
      <c r="G97" s="64"/>
      <c r="H97" s="64"/>
      <c r="I97" s="64"/>
      <c r="J97" s="65"/>
      <c r="K97" s="66"/>
      <c r="L97" s="887"/>
      <c r="M97" s="67"/>
      <c r="N97" s="67"/>
      <c r="O97" s="67">
        <f t="shared" si="69"/>
        <v>0</v>
      </c>
      <c r="P97" s="67"/>
      <c r="Q97" s="68"/>
      <c r="R97" s="69"/>
      <c r="S97" s="70"/>
      <c r="T97" s="929"/>
      <c r="U97" s="929"/>
      <c r="V97" s="929"/>
      <c r="W97" s="70"/>
      <c r="X97" s="925"/>
      <c r="Y97" s="83"/>
      <c r="Z97" s="946"/>
      <c r="AA97" s="946"/>
      <c r="AB97" s="72"/>
      <c r="AC97" s="72"/>
      <c r="AD97" s="72"/>
      <c r="AE97" s="89"/>
      <c r="AF97" s="80"/>
      <c r="AG97" s="80"/>
      <c r="AH97" s="80"/>
      <c r="AI97" s="80"/>
      <c r="AJ97" s="80"/>
      <c r="AK97" s="80"/>
      <c r="AL97" s="80"/>
      <c r="AM97" s="70"/>
      <c r="AN97" s="70"/>
      <c r="AO97" s="70"/>
      <c r="AP97" s="73"/>
      <c r="AQ97" s="73"/>
      <c r="AR97" s="107"/>
      <c r="AU97" s="311"/>
      <c r="AW97" s="218"/>
      <c r="AX97" s="218"/>
      <c r="AY97" s="219"/>
      <c r="AZ97" s="219"/>
      <c r="BA97" s="136"/>
    </row>
    <row r="98" spans="1:53" s="82" customFormat="1" ht="24.95" hidden="1" customHeight="1" outlineLevel="1">
      <c r="A98" s="840"/>
      <c r="C98" s="105"/>
      <c r="D98" s="71"/>
      <c r="E98" s="64"/>
      <c r="F98" s="64"/>
      <c r="G98" s="64"/>
      <c r="H98" s="64"/>
      <c r="I98" s="64"/>
      <c r="J98" s="65"/>
      <c r="K98" s="66"/>
      <c r="L98" s="69"/>
      <c r="M98" s="67"/>
      <c r="N98" s="67"/>
      <c r="O98" s="67">
        <f t="shared" si="69"/>
        <v>0</v>
      </c>
      <c r="P98" s="67"/>
      <c r="Q98" s="68"/>
      <c r="R98" s="69"/>
      <c r="S98" s="70"/>
      <c r="T98" s="70"/>
      <c r="U98" s="70"/>
      <c r="V98" s="70"/>
      <c r="W98" s="70"/>
      <c r="X98" s="925"/>
      <c r="Y98" s="83"/>
      <c r="Z98" s="946"/>
      <c r="AA98" s="946"/>
      <c r="AB98" s="72"/>
      <c r="AC98" s="72"/>
      <c r="AD98" s="72"/>
      <c r="AE98" s="89"/>
      <c r="AF98" s="194"/>
      <c r="AG98" s="64"/>
      <c r="AH98" s="64"/>
      <c r="AI98" s="72"/>
      <c r="AJ98" s="80"/>
      <c r="AK98" s="80"/>
      <c r="AL98" s="80"/>
      <c r="AM98" s="70"/>
      <c r="AN98" s="70"/>
      <c r="AO98" s="70"/>
      <c r="AP98" s="73"/>
      <c r="AQ98" s="73"/>
      <c r="AR98" s="107"/>
      <c r="AU98" s="311"/>
      <c r="AW98" s="218"/>
      <c r="AX98" s="218"/>
      <c r="AY98" s="219"/>
      <c r="AZ98" s="219"/>
      <c r="BA98" s="136"/>
    </row>
    <row r="99" spans="1:53" s="82" customFormat="1" ht="24.95" hidden="1" customHeight="1" outlineLevel="1">
      <c r="A99" s="840"/>
      <c r="C99" s="105"/>
      <c r="D99" s="929"/>
      <c r="E99" s="931"/>
      <c r="F99" s="64"/>
      <c r="G99" s="64"/>
      <c r="H99" s="64"/>
      <c r="I99" s="64"/>
      <c r="J99" s="65"/>
      <c r="K99" s="66"/>
      <c r="L99" s="887"/>
      <c r="M99" s="67"/>
      <c r="N99" s="67"/>
      <c r="O99" s="67">
        <f t="shared" si="69"/>
        <v>0</v>
      </c>
      <c r="P99" s="67"/>
      <c r="Q99" s="68"/>
      <c r="R99" s="69"/>
      <c r="S99" s="70"/>
      <c r="T99" s="315"/>
      <c r="U99" s="70"/>
      <c r="V99" s="70"/>
      <c r="W99" s="70"/>
      <c r="X99" s="925"/>
      <c r="Y99" s="83"/>
      <c r="Z99" s="946"/>
      <c r="AA99" s="946"/>
      <c r="AB99" s="72"/>
      <c r="AC99" s="72"/>
      <c r="AD99" s="72"/>
      <c r="AE99" s="89"/>
      <c r="AF99" s="80"/>
      <c r="AG99" s="80"/>
      <c r="AH99" s="80"/>
      <c r="AI99" s="80"/>
      <c r="AJ99" s="80"/>
      <c r="AK99" s="80"/>
      <c r="AL99" s="80"/>
      <c r="AM99" s="70"/>
      <c r="AN99" s="70"/>
      <c r="AO99" s="70"/>
      <c r="AP99" s="73"/>
      <c r="AQ99" s="73"/>
      <c r="AR99" s="107"/>
      <c r="AU99" s="311"/>
      <c r="AW99" s="218"/>
      <c r="AX99" s="218"/>
      <c r="AY99" s="219"/>
      <c r="AZ99" s="219"/>
      <c r="BA99" s="136"/>
    </row>
    <row r="100" spans="1:53" s="82" customFormat="1" ht="24.95" hidden="1" customHeight="1" outlineLevel="1">
      <c r="A100" s="840"/>
      <c r="C100" s="105"/>
      <c r="D100" s="929"/>
      <c r="E100" s="954"/>
      <c r="F100" s="64"/>
      <c r="G100" s="64"/>
      <c r="H100" s="64"/>
      <c r="I100" s="64"/>
      <c r="J100" s="65"/>
      <c r="K100" s="66"/>
      <c r="L100" s="955"/>
      <c r="M100" s="67"/>
      <c r="N100" s="67"/>
      <c r="O100" s="67">
        <f t="shared" si="69"/>
        <v>0</v>
      </c>
      <c r="P100" s="67"/>
      <c r="Q100" s="68"/>
      <c r="R100" s="69"/>
      <c r="S100" s="70"/>
      <c r="T100" s="315"/>
      <c r="U100" s="70"/>
      <c r="V100" s="70"/>
      <c r="W100" s="70"/>
      <c r="X100" s="925"/>
      <c r="Y100" s="83"/>
      <c r="Z100" s="946"/>
      <c r="AA100" s="946"/>
      <c r="AB100" s="72"/>
      <c r="AC100" s="72"/>
      <c r="AD100" s="72"/>
      <c r="AE100" s="89"/>
      <c r="AF100" s="80"/>
      <c r="AG100" s="80"/>
      <c r="AH100" s="80"/>
      <c r="AI100" s="80"/>
      <c r="AJ100" s="80"/>
      <c r="AK100" s="80"/>
      <c r="AL100" s="80"/>
      <c r="AM100" s="70"/>
      <c r="AN100" s="70"/>
      <c r="AO100" s="70"/>
      <c r="AP100" s="73"/>
      <c r="AQ100" s="73"/>
      <c r="AR100" s="107"/>
      <c r="AU100" s="311"/>
      <c r="AW100" s="218"/>
      <c r="AX100" s="218"/>
      <c r="AY100" s="219"/>
      <c r="AZ100" s="219"/>
      <c r="BA100" s="136"/>
    </row>
    <row r="101" spans="1:53" s="82" customFormat="1" ht="24.95" hidden="1" customHeight="1" outlineLevel="1">
      <c r="A101" s="840"/>
      <c r="C101" s="105"/>
      <c r="D101" s="71"/>
      <c r="E101" s="64"/>
      <c r="F101" s="64"/>
      <c r="G101" s="64"/>
      <c r="H101" s="64"/>
      <c r="I101" s="64"/>
      <c r="J101" s="65"/>
      <c r="K101" s="66"/>
      <c r="L101" s="69"/>
      <c r="M101" s="67"/>
      <c r="N101" s="67"/>
      <c r="O101" s="67">
        <f t="shared" si="69"/>
        <v>0</v>
      </c>
      <c r="P101" s="67"/>
      <c r="Q101" s="68"/>
      <c r="R101" s="69"/>
      <c r="S101" s="70"/>
      <c r="T101" s="70"/>
      <c r="U101" s="70"/>
      <c r="V101" s="70"/>
      <c r="W101" s="70"/>
      <c r="X101" s="69"/>
      <c r="Y101" s="69"/>
      <c r="Z101" s="204"/>
      <c r="AA101" s="72"/>
      <c r="AB101" s="192"/>
      <c r="AC101" s="192"/>
      <c r="AD101" s="193"/>
      <c r="AE101" s="89"/>
      <c r="AF101" s="194"/>
      <c r="AG101" s="72"/>
      <c r="AH101" s="72"/>
      <c r="AI101" s="72"/>
      <c r="AJ101" s="72"/>
      <c r="AK101" s="72"/>
      <c r="AL101" s="72"/>
      <c r="AM101" s="70"/>
      <c r="AN101" s="70"/>
      <c r="AO101" s="70"/>
      <c r="AP101" s="73"/>
      <c r="AQ101" s="73"/>
      <c r="AR101" s="107"/>
      <c r="AU101" s="311"/>
      <c r="AW101" s="218"/>
      <c r="AX101" s="218"/>
      <c r="AY101" s="219"/>
      <c r="AZ101" s="219"/>
      <c r="BA101" s="136"/>
    </row>
    <row r="102" spans="1:53" s="82" customFormat="1" ht="24.75" hidden="1" customHeight="1" outlineLevel="1" thickBot="1">
      <c r="A102" s="840"/>
      <c r="C102" s="108"/>
      <c r="D102" s="91"/>
      <c r="E102" s="92"/>
      <c r="F102" s="92"/>
      <c r="G102" s="92"/>
      <c r="H102" s="92"/>
      <c r="I102" s="92"/>
      <c r="J102" s="150">
        <f>IFERROR(AVERAGE(J96:J101),0)</f>
        <v>0</v>
      </c>
      <c r="K102" s="150">
        <f>IFERROR(AVERAGE(K96:K101),0)</f>
        <v>0</v>
      </c>
      <c r="L102" s="95">
        <f>SUM(L96:L101)</f>
        <v>0</v>
      </c>
      <c r="M102" s="95">
        <f>SUM(M96:M101)</f>
        <v>0</v>
      </c>
      <c r="N102" s="95">
        <f>SUM(N96:N101)</f>
        <v>0</v>
      </c>
      <c r="O102" s="95">
        <f>SUM(O96:O101)</f>
        <v>0</v>
      </c>
      <c r="P102" s="93"/>
      <c r="Q102" s="95"/>
      <c r="R102" s="95"/>
      <c r="S102" s="91"/>
      <c r="T102" s="91"/>
      <c r="U102" s="97"/>
      <c r="V102" s="96"/>
      <c r="W102" s="97"/>
      <c r="X102" s="98"/>
      <c r="Y102" s="98"/>
      <c r="Z102" s="207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100"/>
      <c r="AN102" s="99"/>
      <c r="AO102" s="100"/>
      <c r="AP102" s="96"/>
      <c r="AQ102" s="96"/>
      <c r="AR102" s="109"/>
      <c r="AT102" s="82">
        <f t="shared" si="60"/>
        <v>0</v>
      </c>
      <c r="AU102" s="311">
        <f t="shared" ref="AU102:AU103" si="70">L102</f>
        <v>0</v>
      </c>
      <c r="AW102" s="218">
        <f t="shared" ref="AW102:AX103" si="71">IF(M102=0,0,1)</f>
        <v>0</v>
      </c>
      <c r="AX102" s="218">
        <f t="shared" si="71"/>
        <v>0</v>
      </c>
      <c r="AY102" s="219">
        <f t="shared" ref="AY102:AY124" si="72">IF(AW102+AX102=2,0.5,AW102)</f>
        <v>0</v>
      </c>
      <c r="AZ102" s="219">
        <f t="shared" ref="AZ102:AZ124" si="73">IF(AW102+AX102=2,0.5,AX102)</f>
        <v>0</v>
      </c>
      <c r="BA102" s="136">
        <f t="shared" ref="BA102:BA124" si="74">AY102+AZ102</f>
        <v>0</v>
      </c>
    </row>
    <row r="103" spans="1:53" s="82" customFormat="1" ht="24.95" hidden="1" customHeight="1" outlineLevel="1" thickBot="1">
      <c r="A103" s="840"/>
      <c r="C103" s="644" t="s">
        <v>830</v>
      </c>
      <c r="D103" s="645"/>
      <c r="E103" s="645"/>
      <c r="F103" s="645"/>
      <c r="G103" s="645"/>
      <c r="H103" s="645"/>
      <c r="I103" s="645"/>
      <c r="J103" s="645"/>
      <c r="K103" s="645"/>
      <c r="L103" s="645"/>
      <c r="M103" s="696"/>
      <c r="N103" s="696"/>
      <c r="O103" s="696"/>
      <c r="P103" s="696"/>
      <c r="Q103" s="645"/>
      <c r="R103" s="645"/>
      <c r="S103" s="645"/>
      <c r="T103" s="956"/>
      <c r="U103" s="646"/>
      <c r="V103" s="645"/>
      <c r="W103" s="645"/>
      <c r="X103" s="645"/>
      <c r="Y103" s="645"/>
      <c r="Z103" s="647"/>
      <c r="AA103" s="645"/>
      <c r="AB103" s="645"/>
      <c r="AC103" s="645"/>
      <c r="AD103" s="645"/>
      <c r="AE103" s="645"/>
      <c r="AF103" s="645"/>
      <c r="AG103" s="645"/>
      <c r="AH103" s="645"/>
      <c r="AI103" s="645"/>
      <c r="AJ103" s="645"/>
      <c r="AK103" s="645"/>
      <c r="AL103" s="645"/>
      <c r="AM103" s="645"/>
      <c r="AN103" s="100"/>
      <c r="AO103" s="645"/>
      <c r="AP103" s="645"/>
      <c r="AQ103" s="645"/>
      <c r="AR103" s="648"/>
      <c r="AT103" s="82" t="str">
        <f t="shared" si="60"/>
        <v>2026년 12월 반입 예정 선박리스트</v>
      </c>
      <c r="AU103" s="311">
        <f t="shared" si="70"/>
        <v>0</v>
      </c>
      <c r="AW103" s="218">
        <f t="shared" si="71"/>
        <v>0</v>
      </c>
      <c r="AX103" s="218">
        <f t="shared" si="71"/>
        <v>0</v>
      </c>
      <c r="AY103" s="219">
        <f t="shared" si="72"/>
        <v>0</v>
      </c>
      <c r="AZ103" s="219">
        <f t="shared" si="73"/>
        <v>0</v>
      </c>
      <c r="BA103" s="136">
        <f t="shared" si="74"/>
        <v>0</v>
      </c>
    </row>
    <row r="104" spans="1:53" s="82" customFormat="1" ht="24.95" hidden="1" customHeight="1" outlineLevel="1" thickBot="1">
      <c r="A104" s="840"/>
      <c r="C104" s="105"/>
      <c r="D104" s="71"/>
      <c r="E104" s="64"/>
      <c r="F104" s="76"/>
      <c r="G104" s="76"/>
      <c r="H104" s="76"/>
      <c r="I104" s="76"/>
      <c r="J104" s="65"/>
      <c r="K104" s="66"/>
      <c r="L104" s="69"/>
      <c r="M104" s="77"/>
      <c r="N104" s="77"/>
      <c r="O104" s="67">
        <f t="shared" ref="O104:O108" si="75">+M104+N104</f>
        <v>0</v>
      </c>
      <c r="P104" s="77"/>
      <c r="Q104" s="78"/>
      <c r="R104" s="69"/>
      <c r="S104" s="70"/>
      <c r="T104" s="70"/>
      <c r="U104" s="70"/>
      <c r="V104" s="70"/>
      <c r="W104" s="70"/>
      <c r="X104" s="925"/>
      <c r="Y104" s="83"/>
      <c r="Z104" s="946"/>
      <c r="AA104" s="946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70"/>
      <c r="AN104" s="70"/>
      <c r="AO104" s="70"/>
      <c r="AP104" s="71"/>
      <c r="AQ104" s="71"/>
      <c r="AR104" s="104"/>
      <c r="AU104" s="311"/>
      <c r="AW104" s="218"/>
      <c r="AX104" s="218"/>
      <c r="AY104" s="219"/>
      <c r="AZ104" s="219"/>
      <c r="BA104" s="136"/>
    </row>
    <row r="105" spans="1:53" s="82" customFormat="1" ht="24.95" hidden="1" customHeight="1" outlineLevel="1">
      <c r="A105" s="840"/>
      <c r="C105" s="105"/>
      <c r="D105" s="71"/>
      <c r="E105" s="64"/>
      <c r="F105" s="76"/>
      <c r="G105" s="76"/>
      <c r="H105" s="76"/>
      <c r="I105" s="76"/>
      <c r="J105" s="65"/>
      <c r="K105" s="66"/>
      <c r="L105" s="69"/>
      <c r="M105" s="77"/>
      <c r="N105" s="77"/>
      <c r="O105" s="67">
        <f t="shared" si="75"/>
        <v>0</v>
      </c>
      <c r="P105" s="77"/>
      <c r="Q105" s="78"/>
      <c r="R105" s="69"/>
      <c r="S105" s="70"/>
      <c r="T105" s="949"/>
      <c r="U105" s="949"/>
      <c r="V105" s="70"/>
      <c r="W105" s="70"/>
      <c r="X105" s="949"/>
      <c r="Y105" s="949"/>
      <c r="Z105" s="949"/>
      <c r="AA105" s="957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59"/>
      <c r="AN105" s="949"/>
      <c r="AO105" s="949"/>
      <c r="AP105" s="71"/>
      <c r="AQ105" s="71"/>
      <c r="AR105" s="104"/>
      <c r="AU105" s="311"/>
      <c r="AW105" s="218"/>
      <c r="AX105" s="218"/>
      <c r="AY105" s="219"/>
      <c r="AZ105" s="219"/>
      <c r="BA105" s="136"/>
    </row>
    <row r="106" spans="1:53" s="82" customFormat="1" ht="24.95" hidden="1" customHeight="1" outlineLevel="1">
      <c r="A106" s="840"/>
      <c r="C106" s="105"/>
      <c r="D106" s="71"/>
      <c r="E106" s="64"/>
      <c r="F106" s="76"/>
      <c r="G106" s="76"/>
      <c r="H106" s="76"/>
      <c r="I106" s="76"/>
      <c r="J106" s="65"/>
      <c r="K106" s="66"/>
      <c r="L106" s="69"/>
      <c r="M106" s="77"/>
      <c r="N106" s="77"/>
      <c r="O106" s="67">
        <f t="shared" si="75"/>
        <v>0</v>
      </c>
      <c r="P106" s="77"/>
      <c r="Q106" s="78"/>
      <c r="R106" s="69"/>
      <c r="S106" s="70"/>
      <c r="T106" s="70"/>
      <c r="U106" s="70"/>
      <c r="V106" s="70"/>
      <c r="W106" s="70"/>
      <c r="X106" s="949"/>
      <c r="Y106" s="949"/>
      <c r="Z106" s="949"/>
      <c r="AA106" s="957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70"/>
      <c r="AN106" s="949"/>
      <c r="AO106" s="949"/>
      <c r="AP106" s="71"/>
      <c r="AQ106" s="71"/>
      <c r="AR106" s="104"/>
      <c r="AU106" s="311"/>
      <c r="AW106" s="218"/>
      <c r="AX106" s="218"/>
      <c r="AY106" s="219"/>
      <c r="AZ106" s="219"/>
      <c r="BA106" s="136"/>
    </row>
    <row r="107" spans="1:53" s="82" customFormat="1" ht="24.95" hidden="1" customHeight="1" outlineLevel="1" thickBot="1">
      <c r="A107" s="840"/>
      <c r="C107" s="105"/>
      <c r="D107" s="71"/>
      <c r="E107" s="64"/>
      <c r="F107" s="76"/>
      <c r="G107" s="76"/>
      <c r="H107" s="76"/>
      <c r="I107" s="76"/>
      <c r="J107" s="65"/>
      <c r="K107" s="66"/>
      <c r="L107" s="69"/>
      <c r="M107" s="77"/>
      <c r="N107" s="77"/>
      <c r="O107" s="67">
        <f t="shared" si="75"/>
        <v>0</v>
      </c>
      <c r="P107" s="77"/>
      <c r="Q107" s="78"/>
      <c r="R107" s="69"/>
      <c r="S107" s="70"/>
      <c r="T107" s="70"/>
      <c r="U107" s="70"/>
      <c r="V107" s="70"/>
      <c r="W107" s="70"/>
      <c r="X107" s="925"/>
      <c r="Y107" s="925"/>
      <c r="Z107" s="925"/>
      <c r="AA107" s="953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70"/>
      <c r="AN107" s="925"/>
      <c r="AO107" s="925"/>
      <c r="AP107" s="71"/>
      <c r="AQ107" s="71"/>
      <c r="AR107" s="104"/>
      <c r="AU107" s="311"/>
      <c r="AW107" s="218"/>
      <c r="AX107" s="218"/>
      <c r="AY107" s="219"/>
      <c r="AZ107" s="219"/>
      <c r="BA107" s="136"/>
    </row>
    <row r="108" spans="1:53" s="82" customFormat="1" ht="24.95" hidden="1" customHeight="1" outlineLevel="1">
      <c r="A108" s="840"/>
      <c r="C108" s="105"/>
      <c r="D108" s="71"/>
      <c r="E108" s="64"/>
      <c r="F108" s="76"/>
      <c r="G108" s="76"/>
      <c r="H108" s="76"/>
      <c r="I108" s="76"/>
      <c r="J108" s="65"/>
      <c r="K108" s="66"/>
      <c r="L108" s="69"/>
      <c r="M108" s="77"/>
      <c r="N108" s="77"/>
      <c r="O108" s="67">
        <f t="shared" si="75"/>
        <v>0</v>
      </c>
      <c r="P108" s="77"/>
      <c r="Q108" s="78"/>
      <c r="R108" s="69"/>
      <c r="S108" s="70"/>
      <c r="T108" s="70"/>
      <c r="U108" s="70"/>
      <c r="V108" s="70"/>
      <c r="W108" s="70"/>
      <c r="X108" s="925"/>
      <c r="Y108" s="83"/>
      <c r="Z108" s="946"/>
      <c r="AA108" s="946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59"/>
      <c r="AN108" s="70"/>
      <c r="AO108" s="70"/>
      <c r="AP108" s="71"/>
      <c r="AQ108" s="71"/>
      <c r="AR108" s="104"/>
      <c r="AU108" s="311"/>
      <c r="AW108" s="218"/>
      <c r="AX108" s="218"/>
      <c r="AY108" s="219"/>
      <c r="AZ108" s="219"/>
      <c r="BA108" s="136"/>
    </row>
    <row r="109" spans="1:53" s="82" customFormat="1" ht="24.95" hidden="1" customHeight="1" outlineLevel="1" thickBot="1">
      <c r="A109" s="840"/>
      <c r="C109" s="108"/>
      <c r="D109" s="91"/>
      <c r="E109" s="92"/>
      <c r="F109" s="92"/>
      <c r="G109" s="92"/>
      <c r="H109" s="92"/>
      <c r="I109" s="92"/>
      <c r="J109" s="150">
        <f>IFERROR(AVERAGE(J104:J108),0)</f>
        <v>0</v>
      </c>
      <c r="K109" s="150">
        <f>IFERROR(AVERAGE(K104:K108),0)</f>
        <v>0</v>
      </c>
      <c r="L109" s="95">
        <f>SUM(L104:L108)</f>
        <v>0</v>
      </c>
      <c r="M109" s="95">
        <f>SUM(M104:M108)</f>
        <v>0</v>
      </c>
      <c r="N109" s="95">
        <f>SUM(N104:N108)</f>
        <v>0</v>
      </c>
      <c r="O109" s="95">
        <f>SUM(O104:O108)</f>
        <v>0</v>
      </c>
      <c r="P109" s="93"/>
      <c r="Q109" s="95"/>
      <c r="R109" s="95"/>
      <c r="S109" s="91"/>
      <c r="T109" s="91"/>
      <c r="U109" s="97"/>
      <c r="V109" s="96"/>
      <c r="W109" s="97"/>
      <c r="X109" s="98"/>
      <c r="Y109" s="98"/>
      <c r="Z109" s="207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100"/>
      <c r="AN109" s="99"/>
      <c r="AO109" s="100"/>
      <c r="AP109" s="96"/>
      <c r="AQ109" s="96"/>
      <c r="AR109" s="109"/>
      <c r="AT109" s="82">
        <f t="shared" si="60"/>
        <v>0</v>
      </c>
      <c r="AU109" s="311">
        <f>L109</f>
        <v>0</v>
      </c>
      <c r="AW109" s="218">
        <f t="shared" ref="AW109:AX124" si="76">IF(M109=0,0,1)</f>
        <v>0</v>
      </c>
      <c r="AX109" s="218">
        <f t="shared" si="76"/>
        <v>0</v>
      </c>
      <c r="AY109" s="219">
        <f t="shared" si="72"/>
        <v>0</v>
      </c>
      <c r="AZ109" s="219">
        <f t="shared" si="73"/>
        <v>0</v>
      </c>
      <c r="BA109" s="136">
        <f t="shared" si="74"/>
        <v>0</v>
      </c>
    </row>
    <row r="110" spans="1:53" s="82" customFormat="1" ht="24.95" hidden="1" customHeight="1" outlineLevel="1" thickBot="1">
      <c r="A110" s="840"/>
      <c r="C110" s="644" t="s">
        <v>831</v>
      </c>
      <c r="D110" s="645"/>
      <c r="E110" s="645"/>
      <c r="F110" s="645"/>
      <c r="G110" s="645"/>
      <c r="H110" s="645"/>
      <c r="I110" s="645"/>
      <c r="J110" s="645"/>
      <c r="K110" s="645"/>
      <c r="L110" s="645"/>
      <c r="M110" s="696"/>
      <c r="N110" s="696"/>
      <c r="O110" s="696"/>
      <c r="P110" s="696"/>
      <c r="Q110" s="645"/>
      <c r="R110" s="645"/>
      <c r="S110" s="645"/>
      <c r="T110" s="645"/>
      <c r="U110" s="646"/>
      <c r="V110" s="645"/>
      <c r="W110" s="645"/>
      <c r="X110" s="645"/>
      <c r="Y110" s="645"/>
      <c r="Z110" s="647"/>
      <c r="AA110" s="645"/>
      <c r="AB110" s="645"/>
      <c r="AC110" s="645"/>
      <c r="AD110" s="645"/>
      <c r="AE110" s="645"/>
      <c r="AF110" s="645"/>
      <c r="AG110" s="645"/>
      <c r="AH110" s="645"/>
      <c r="AI110" s="645"/>
      <c r="AJ110" s="645"/>
      <c r="AK110" s="645"/>
      <c r="AL110" s="645"/>
      <c r="AM110" s="645"/>
      <c r="AN110" s="100"/>
      <c r="AO110" s="645"/>
      <c r="AP110" s="645"/>
      <c r="AQ110" s="645"/>
      <c r="AR110" s="648"/>
      <c r="AT110" s="82" t="str">
        <f t="shared" si="60"/>
        <v>2027년 01월 반입 예정 선박리스트</v>
      </c>
      <c r="AU110" s="311">
        <f t="shared" ref="AU110:AU124" si="77">L110</f>
        <v>0</v>
      </c>
      <c r="AW110" s="218">
        <f t="shared" si="76"/>
        <v>0</v>
      </c>
      <c r="AX110" s="218">
        <f t="shared" si="76"/>
        <v>0</v>
      </c>
      <c r="AY110" s="219">
        <f t="shared" si="72"/>
        <v>0</v>
      </c>
      <c r="AZ110" s="219">
        <f t="shared" si="73"/>
        <v>0</v>
      </c>
      <c r="BA110" s="136">
        <f t="shared" si="74"/>
        <v>0</v>
      </c>
    </row>
    <row r="111" spans="1:53" s="102" customFormat="1" ht="24.95" hidden="1" customHeight="1" outlineLevel="1">
      <c r="A111" s="841"/>
      <c r="C111" s="402"/>
      <c r="D111" s="703"/>
      <c r="E111" s="403"/>
      <c r="F111" s="403"/>
      <c r="G111" s="403"/>
      <c r="H111" s="403"/>
      <c r="I111" s="403"/>
      <c r="J111" s="405"/>
      <c r="K111" s="406"/>
      <c r="L111" s="887"/>
      <c r="M111" s="408"/>
      <c r="N111" s="408"/>
      <c r="O111" s="67">
        <f t="shared" ref="O111:O115" si="78">+M111+N111</f>
        <v>0</v>
      </c>
      <c r="P111" s="408"/>
      <c r="Q111" s="409"/>
      <c r="R111" s="407"/>
      <c r="S111" s="70"/>
      <c r="T111" s="315"/>
      <c r="U111" s="396"/>
      <c r="V111" s="414"/>
      <c r="W111" s="396"/>
      <c r="X111" s="780"/>
      <c r="Y111" s="415"/>
      <c r="Z111" s="891"/>
      <c r="AA111" s="891"/>
      <c r="AB111" s="376"/>
      <c r="AC111" s="376"/>
      <c r="AD111" s="377"/>
      <c r="AE111" s="378"/>
      <c r="AF111" s="412"/>
      <c r="AG111" s="411"/>
      <c r="AH111" s="411"/>
      <c r="AI111" s="411"/>
      <c r="AJ111" s="411"/>
      <c r="AK111" s="411"/>
      <c r="AL111" s="411"/>
      <c r="AM111" s="396"/>
      <c r="AN111" s="396"/>
      <c r="AO111" s="396"/>
      <c r="AP111" s="400"/>
      <c r="AQ111" s="400"/>
      <c r="AR111" s="401"/>
      <c r="AT111" s="82"/>
      <c r="AU111" s="311"/>
      <c r="AV111" s="82"/>
      <c r="AW111" s="218"/>
      <c r="AX111" s="218"/>
      <c r="AY111" s="219"/>
      <c r="AZ111" s="219"/>
      <c r="BA111" s="136"/>
    </row>
    <row r="112" spans="1:53" s="102" customFormat="1" ht="24.95" hidden="1" customHeight="1" outlineLevel="1">
      <c r="A112" s="841"/>
      <c r="C112" s="402"/>
      <c r="D112" s="400"/>
      <c r="E112" s="403"/>
      <c r="F112" s="403"/>
      <c r="G112" s="403"/>
      <c r="H112" s="403"/>
      <c r="I112" s="403"/>
      <c r="J112" s="405"/>
      <c r="K112" s="406"/>
      <c r="L112" s="407"/>
      <c r="M112" s="408"/>
      <c r="N112" s="408"/>
      <c r="O112" s="67">
        <f t="shared" si="78"/>
        <v>0</v>
      </c>
      <c r="P112" s="408"/>
      <c r="Q112" s="409"/>
      <c r="R112" s="407"/>
      <c r="S112" s="396"/>
      <c r="T112" s="396"/>
      <c r="U112" s="396"/>
      <c r="V112" s="414"/>
      <c r="W112" s="396"/>
      <c r="X112" s="415"/>
      <c r="Y112" s="415"/>
      <c r="Z112" s="416"/>
      <c r="AA112" s="417"/>
      <c r="AB112" s="376"/>
      <c r="AC112" s="376"/>
      <c r="AD112" s="377"/>
      <c r="AE112" s="378"/>
      <c r="AF112" s="412"/>
      <c r="AG112" s="411"/>
      <c r="AH112" s="411"/>
      <c r="AI112" s="411"/>
      <c r="AJ112" s="411"/>
      <c r="AK112" s="411"/>
      <c r="AL112" s="411"/>
      <c r="AM112" s="396"/>
      <c r="AN112" s="396"/>
      <c r="AO112" s="414"/>
      <c r="AP112" s="400"/>
      <c r="AQ112" s="400"/>
      <c r="AR112" s="401"/>
      <c r="AT112" s="82"/>
      <c r="AU112" s="311"/>
      <c r="AV112" s="82"/>
      <c r="AW112" s="218"/>
      <c r="AX112" s="218"/>
      <c r="AY112" s="219"/>
      <c r="AZ112" s="219"/>
      <c r="BA112" s="136"/>
    </row>
    <row r="113" spans="1:53" s="895" customFormat="1" ht="24.95" hidden="1" customHeight="1" outlineLevel="1">
      <c r="A113" s="894"/>
      <c r="C113" s="402"/>
      <c r="D113" s="400"/>
      <c r="E113" s="403"/>
      <c r="F113" s="899"/>
      <c r="G113" s="899"/>
      <c r="H113" s="899"/>
      <c r="I113" s="899"/>
      <c r="J113" s="900"/>
      <c r="K113" s="901"/>
      <c r="L113" s="902"/>
      <c r="M113" s="902"/>
      <c r="N113" s="903"/>
      <c r="O113" s="67">
        <f t="shared" si="78"/>
        <v>0</v>
      </c>
      <c r="P113" s="904"/>
      <c r="Q113" s="905"/>
      <c r="R113" s="407"/>
      <c r="S113" s="906"/>
      <c r="T113" s="907"/>
      <c r="U113" s="907"/>
      <c r="V113" s="907"/>
      <c r="W113" s="781"/>
      <c r="X113" s="780"/>
      <c r="Y113" s="781"/>
      <c r="Z113" s="781"/>
      <c r="AA113" s="781"/>
      <c r="AB113" s="908"/>
      <c r="AC113" s="908"/>
      <c r="AD113" s="909"/>
      <c r="AE113" s="910"/>
      <c r="AF113" s="911"/>
      <c r="AG113" s="912"/>
      <c r="AH113" s="912"/>
      <c r="AI113" s="912"/>
      <c r="AJ113" s="912"/>
      <c r="AK113" s="912"/>
      <c r="AL113" s="912"/>
      <c r="AM113" s="913"/>
      <c r="AN113" s="781"/>
      <c r="AO113" s="780"/>
      <c r="AP113" s="400"/>
      <c r="AQ113" s="897"/>
      <c r="AR113" s="401"/>
      <c r="AT113" s="914"/>
      <c r="AU113" s="915"/>
      <c r="AV113" s="914"/>
      <c r="AW113" s="916"/>
      <c r="AX113" s="916"/>
      <c r="AY113" s="917"/>
      <c r="AZ113" s="917"/>
      <c r="BA113" s="918"/>
    </row>
    <row r="114" spans="1:53" s="895" customFormat="1" ht="24.95" hidden="1" customHeight="1" outlineLevel="1" collapsed="1">
      <c r="A114" s="894"/>
      <c r="C114" s="896"/>
      <c r="D114" s="897"/>
      <c r="E114" s="898"/>
      <c r="F114" s="899"/>
      <c r="G114" s="899"/>
      <c r="H114" s="899"/>
      <c r="I114" s="899"/>
      <c r="J114" s="900"/>
      <c r="K114" s="901"/>
      <c r="L114" s="902"/>
      <c r="M114" s="902"/>
      <c r="N114" s="903"/>
      <c r="O114" s="67">
        <f t="shared" si="78"/>
        <v>0</v>
      </c>
      <c r="P114" s="904"/>
      <c r="Q114" s="905"/>
      <c r="R114" s="407"/>
      <c r="S114" s="906"/>
      <c r="T114" s="907"/>
      <c r="U114" s="907"/>
      <c r="V114" s="907"/>
      <c r="W114" s="919"/>
      <c r="X114" s="920"/>
      <c r="Y114" s="921"/>
      <c r="Z114" s="892"/>
      <c r="AA114" s="892"/>
      <c r="AB114" s="908"/>
      <c r="AC114" s="908"/>
      <c r="AD114" s="909"/>
      <c r="AE114" s="910"/>
      <c r="AF114" s="911"/>
      <c r="AG114" s="912"/>
      <c r="AH114" s="912"/>
      <c r="AI114" s="912"/>
      <c r="AJ114" s="912"/>
      <c r="AK114" s="912"/>
      <c r="AL114" s="912"/>
      <c r="AM114" s="913"/>
      <c r="AN114" s="888"/>
      <c r="AO114" s="888"/>
      <c r="AP114" s="400"/>
      <c r="AQ114" s="897"/>
      <c r="AR114" s="401"/>
      <c r="AT114" s="914"/>
      <c r="AU114" s="915"/>
      <c r="AV114" s="914"/>
      <c r="AW114" s="916"/>
      <c r="AX114" s="916"/>
      <c r="AY114" s="917"/>
      <c r="AZ114" s="917"/>
      <c r="BA114" s="918"/>
    </row>
    <row r="115" spans="1:53" s="895" customFormat="1" ht="24.95" hidden="1" customHeight="1" outlineLevel="1">
      <c r="A115" s="894"/>
      <c r="C115" s="402"/>
      <c r="D115" s="400"/>
      <c r="E115" s="898"/>
      <c r="F115" s="899"/>
      <c r="G115" s="899"/>
      <c r="H115" s="899"/>
      <c r="I115" s="899"/>
      <c r="J115" s="900"/>
      <c r="K115" s="901"/>
      <c r="L115" s="902"/>
      <c r="M115" s="902"/>
      <c r="N115" s="903"/>
      <c r="O115" s="67">
        <f t="shared" si="78"/>
        <v>0</v>
      </c>
      <c r="P115" s="904"/>
      <c r="Q115" s="905"/>
      <c r="R115" s="407"/>
      <c r="S115" s="906"/>
      <c r="T115" s="907"/>
      <c r="U115" s="907"/>
      <c r="V115" s="907"/>
      <c r="W115" s="919"/>
      <c r="X115" s="920"/>
      <c r="Y115" s="921"/>
      <c r="Z115" s="892"/>
      <c r="AA115" s="892"/>
      <c r="AB115" s="908"/>
      <c r="AC115" s="908"/>
      <c r="AD115" s="909"/>
      <c r="AE115" s="910"/>
      <c r="AF115" s="911"/>
      <c r="AG115" s="912"/>
      <c r="AH115" s="912"/>
      <c r="AI115" s="912"/>
      <c r="AJ115" s="912"/>
      <c r="AK115" s="912"/>
      <c r="AL115" s="912"/>
      <c r="AM115" s="913"/>
      <c r="AN115" s="888"/>
      <c r="AO115" s="888"/>
      <c r="AP115" s="400"/>
      <c r="AQ115" s="897"/>
      <c r="AR115" s="401"/>
      <c r="AT115" s="914"/>
      <c r="AU115" s="915"/>
      <c r="AV115" s="914"/>
      <c r="AW115" s="916"/>
      <c r="AX115" s="916"/>
      <c r="AY115" s="917"/>
      <c r="AZ115" s="917"/>
      <c r="BA115" s="918"/>
    </row>
    <row r="116" spans="1:53" ht="24.95" hidden="1" customHeight="1" outlineLevel="1" thickBot="1">
      <c r="C116" s="108"/>
      <c r="D116" s="91"/>
      <c r="E116" s="92"/>
      <c r="F116" s="92"/>
      <c r="G116" s="92"/>
      <c r="H116" s="92"/>
      <c r="I116" s="92"/>
      <c r="J116" s="150">
        <f>IFERROR(AVERAGE(J111:J115),0)</f>
        <v>0</v>
      </c>
      <c r="K116" s="150">
        <f>IFERROR(AVERAGE(K111:K115),0)</f>
        <v>0</v>
      </c>
      <c r="L116" s="95">
        <f>SUM(L111:L115)</f>
        <v>0</v>
      </c>
      <c r="M116" s="95">
        <f>SUM(M111:M115)</f>
        <v>0</v>
      </c>
      <c r="N116" s="95">
        <f>SUM(N111:N115)</f>
        <v>0</v>
      </c>
      <c r="O116" s="95">
        <f>SUM(O111:O115)</f>
        <v>0</v>
      </c>
      <c r="P116" s="93"/>
      <c r="Q116" s="95"/>
      <c r="R116" s="95"/>
      <c r="S116" s="91"/>
      <c r="T116" s="91"/>
      <c r="U116" s="97"/>
      <c r="V116" s="96"/>
      <c r="W116" s="97"/>
      <c r="X116" s="98"/>
      <c r="Y116" s="98"/>
      <c r="Z116" s="207"/>
      <c r="AA116" s="99"/>
      <c r="AB116" s="99"/>
      <c r="AC116" s="99"/>
      <c r="AD116" s="99"/>
      <c r="AE116" s="99"/>
      <c r="AF116" s="99"/>
      <c r="AG116" s="99"/>
      <c r="AH116" s="99"/>
      <c r="AI116" s="99"/>
      <c r="AJ116" s="99"/>
      <c r="AK116" s="99"/>
      <c r="AL116" s="99"/>
      <c r="AM116" s="100"/>
      <c r="AN116" s="100"/>
      <c r="AO116" s="100"/>
      <c r="AP116" s="96"/>
      <c r="AQ116" s="96"/>
      <c r="AR116" s="109"/>
      <c r="AT116" s="82">
        <f t="shared" si="60"/>
        <v>0</v>
      </c>
      <c r="AU116" s="311">
        <f t="shared" si="77"/>
        <v>0</v>
      </c>
      <c r="AV116" s="82"/>
      <c r="AW116" s="218">
        <f t="shared" si="76"/>
        <v>0</v>
      </c>
      <c r="AX116" s="218">
        <f t="shared" si="76"/>
        <v>0</v>
      </c>
      <c r="AY116" s="219">
        <f t="shared" si="72"/>
        <v>0</v>
      </c>
      <c r="AZ116" s="219">
        <f t="shared" si="73"/>
        <v>0</v>
      </c>
      <c r="BA116" s="136">
        <f t="shared" si="74"/>
        <v>0</v>
      </c>
    </row>
    <row r="117" spans="1:53" ht="24.95" hidden="1" customHeight="1" outlineLevel="1" thickBot="1">
      <c r="C117" s="246" t="s">
        <v>832</v>
      </c>
      <c r="D117" s="117"/>
      <c r="E117" s="117"/>
      <c r="F117" s="117"/>
      <c r="G117" s="117"/>
      <c r="H117" s="117"/>
      <c r="I117" s="117"/>
      <c r="J117" s="117"/>
      <c r="K117" s="117"/>
      <c r="L117" s="117"/>
      <c r="M117" s="146"/>
      <c r="N117" s="146"/>
      <c r="O117" s="146"/>
      <c r="P117" s="146"/>
      <c r="Q117" s="117"/>
      <c r="R117" s="117"/>
      <c r="S117" s="117"/>
      <c r="T117" s="117"/>
      <c r="U117" s="475"/>
      <c r="V117" s="117"/>
      <c r="W117" s="117"/>
      <c r="X117" s="117"/>
      <c r="Y117" s="117"/>
      <c r="Z117" s="208"/>
      <c r="AA117" s="117"/>
      <c r="AB117" s="117"/>
      <c r="AC117" s="117"/>
      <c r="AD117" s="117"/>
      <c r="AE117" s="117"/>
      <c r="AF117" s="117"/>
      <c r="AG117" s="117"/>
      <c r="AH117" s="117"/>
      <c r="AI117" s="117"/>
      <c r="AJ117" s="117"/>
      <c r="AK117" s="117"/>
      <c r="AL117" s="117"/>
      <c r="AM117" s="117"/>
      <c r="AN117" s="117"/>
      <c r="AO117" s="117"/>
      <c r="AP117" s="117"/>
      <c r="AQ117" s="117"/>
      <c r="AR117" s="118"/>
      <c r="AT117" s="82" t="str">
        <f t="shared" si="60"/>
        <v>2027년 2~3월 반입 예정 선박리스트</v>
      </c>
      <c r="AU117" s="311">
        <f t="shared" si="77"/>
        <v>0</v>
      </c>
      <c r="AV117" s="82"/>
      <c r="AW117" s="218">
        <f t="shared" si="76"/>
        <v>0</v>
      </c>
      <c r="AX117" s="218">
        <f t="shared" si="76"/>
        <v>0</v>
      </c>
      <c r="AY117" s="219">
        <f t="shared" si="72"/>
        <v>0</v>
      </c>
      <c r="AZ117" s="219">
        <f t="shared" si="73"/>
        <v>0</v>
      </c>
      <c r="BA117" s="136">
        <f t="shared" si="74"/>
        <v>0</v>
      </c>
    </row>
    <row r="118" spans="1:53" ht="24.95" hidden="1" customHeight="1" outlineLevel="1">
      <c r="C118" s="389"/>
      <c r="D118" s="390"/>
      <c r="E118" s="391"/>
      <c r="F118" s="391"/>
      <c r="G118" s="391"/>
      <c r="H118" s="391"/>
      <c r="I118" s="391"/>
      <c r="J118" s="392"/>
      <c r="K118" s="392"/>
      <c r="L118" s="393"/>
      <c r="M118" s="394"/>
      <c r="N118" s="394"/>
      <c r="O118" s="67">
        <f t="shared" ref="O118:O123" si="79">+M118+N118</f>
        <v>0</v>
      </c>
      <c r="P118" s="394"/>
      <c r="Q118" s="393"/>
      <c r="R118" s="393"/>
      <c r="S118" s="395"/>
      <c r="T118" s="395"/>
      <c r="U118" s="395"/>
      <c r="V118" s="396"/>
      <c r="W118" s="396"/>
      <c r="X118" s="393"/>
      <c r="Y118" s="393"/>
      <c r="Z118" s="397"/>
      <c r="AA118" s="398"/>
      <c r="AB118" s="460"/>
      <c r="AC118" s="460"/>
      <c r="AD118" s="460"/>
      <c r="AE118" s="460"/>
      <c r="AF118" s="460"/>
      <c r="AG118" s="460"/>
      <c r="AH118" s="460"/>
      <c r="AI118" s="460"/>
      <c r="AJ118" s="460"/>
      <c r="AK118" s="460"/>
      <c r="AL118" s="460"/>
      <c r="AM118" s="399"/>
      <c r="AN118" s="396"/>
      <c r="AO118" s="396"/>
      <c r="AP118" s="400"/>
      <c r="AQ118" s="476"/>
      <c r="AR118" s="401"/>
      <c r="AT118" s="82">
        <f t="shared" si="60"/>
        <v>0</v>
      </c>
      <c r="AU118" s="311">
        <f t="shared" si="77"/>
        <v>0</v>
      </c>
      <c r="AV118" s="82"/>
      <c r="AW118" s="218">
        <f t="shared" si="76"/>
        <v>0</v>
      </c>
      <c r="AX118" s="218">
        <f t="shared" si="76"/>
        <v>0</v>
      </c>
      <c r="AY118" s="219">
        <f t="shared" si="72"/>
        <v>0</v>
      </c>
      <c r="AZ118" s="219">
        <f t="shared" si="73"/>
        <v>0</v>
      </c>
      <c r="BA118" s="136">
        <f t="shared" si="74"/>
        <v>0</v>
      </c>
    </row>
    <row r="119" spans="1:53" s="102" customFormat="1" ht="24.95" hidden="1" customHeight="1" outlineLevel="1">
      <c r="A119" s="841"/>
      <c r="C119" s="402"/>
      <c r="D119" s="400"/>
      <c r="E119" s="403"/>
      <c r="F119" s="403"/>
      <c r="G119" s="403"/>
      <c r="H119" s="403"/>
      <c r="I119" s="403"/>
      <c r="J119" s="405"/>
      <c r="K119" s="406"/>
      <c r="L119" s="407"/>
      <c r="M119" s="408"/>
      <c r="N119" s="408"/>
      <c r="O119" s="67">
        <f t="shared" si="79"/>
        <v>0</v>
      </c>
      <c r="P119" s="408"/>
      <c r="Q119" s="409"/>
      <c r="R119" s="407"/>
      <c r="S119" s="396"/>
      <c r="T119" s="907"/>
      <c r="U119" s="396"/>
      <c r="V119" s="414"/>
      <c r="W119" s="396"/>
      <c r="X119" s="415"/>
      <c r="Y119" s="415"/>
      <c r="Z119" s="416"/>
      <c r="AA119" s="417"/>
      <c r="AB119" s="376"/>
      <c r="AC119" s="376"/>
      <c r="AD119" s="377"/>
      <c r="AE119" s="378"/>
      <c r="AF119" s="412"/>
      <c r="AG119" s="411"/>
      <c r="AH119" s="411"/>
      <c r="AI119" s="411"/>
      <c r="AJ119" s="411"/>
      <c r="AK119" s="411"/>
      <c r="AL119" s="411"/>
      <c r="AM119" s="396"/>
      <c r="AN119" s="414"/>
      <c r="AO119" s="414"/>
      <c r="AP119" s="400"/>
      <c r="AQ119" s="400"/>
      <c r="AR119" s="401"/>
      <c r="AT119" s="82">
        <f t="shared" si="60"/>
        <v>0</v>
      </c>
      <c r="AU119" s="311">
        <f t="shared" si="77"/>
        <v>0</v>
      </c>
      <c r="AV119" s="82"/>
      <c r="AW119" s="218">
        <f t="shared" si="76"/>
        <v>0</v>
      </c>
      <c r="AX119" s="218">
        <f t="shared" si="76"/>
        <v>0</v>
      </c>
      <c r="AY119" s="219">
        <f t="shared" si="72"/>
        <v>0</v>
      </c>
      <c r="AZ119" s="219">
        <f t="shared" si="73"/>
        <v>0</v>
      </c>
      <c r="BA119" s="136">
        <f t="shared" si="74"/>
        <v>0</v>
      </c>
    </row>
    <row r="120" spans="1:53" s="102" customFormat="1" ht="24.95" hidden="1" customHeight="1" outlineLevel="1">
      <c r="A120" s="841"/>
      <c r="C120" s="402"/>
      <c r="D120" s="400"/>
      <c r="E120" s="403"/>
      <c r="F120" s="403"/>
      <c r="G120" s="403"/>
      <c r="H120" s="403"/>
      <c r="I120" s="403"/>
      <c r="J120" s="405"/>
      <c r="K120" s="406"/>
      <c r="L120" s="407"/>
      <c r="M120" s="408"/>
      <c r="N120" s="408"/>
      <c r="O120" s="67">
        <f t="shared" si="79"/>
        <v>0</v>
      </c>
      <c r="P120" s="408"/>
      <c r="Q120" s="409"/>
      <c r="R120" s="407"/>
      <c r="S120" s="396"/>
      <c r="T120" s="396"/>
      <c r="U120" s="396"/>
      <c r="V120" s="414"/>
      <c r="W120" s="396"/>
      <c r="X120" s="415"/>
      <c r="Y120" s="415"/>
      <c r="Z120" s="416"/>
      <c r="AA120" s="417"/>
      <c r="AB120" s="376"/>
      <c r="AC120" s="376"/>
      <c r="AD120" s="377"/>
      <c r="AE120" s="378"/>
      <c r="AF120" s="412"/>
      <c r="AG120" s="411"/>
      <c r="AH120" s="411"/>
      <c r="AI120" s="411"/>
      <c r="AJ120" s="411"/>
      <c r="AK120" s="411"/>
      <c r="AL120" s="411"/>
      <c r="AM120" s="396"/>
      <c r="AN120" s="414"/>
      <c r="AO120" s="414"/>
      <c r="AP120" s="400"/>
      <c r="AQ120" s="400"/>
      <c r="AR120" s="401"/>
      <c r="AT120" s="82">
        <f t="shared" si="60"/>
        <v>0</v>
      </c>
      <c r="AU120" s="311">
        <f t="shared" si="77"/>
        <v>0</v>
      </c>
      <c r="AV120" s="82"/>
      <c r="AW120" s="218">
        <f t="shared" si="76"/>
        <v>0</v>
      </c>
      <c r="AX120" s="218">
        <f t="shared" si="76"/>
        <v>0</v>
      </c>
      <c r="AY120" s="219">
        <f t="shared" si="72"/>
        <v>0</v>
      </c>
      <c r="AZ120" s="219">
        <f t="shared" si="73"/>
        <v>0</v>
      </c>
      <c r="BA120" s="136">
        <f t="shared" si="74"/>
        <v>0</v>
      </c>
    </row>
    <row r="121" spans="1:53" s="102" customFormat="1" ht="24.95" hidden="1" customHeight="1" outlineLevel="1">
      <c r="A121" s="841"/>
      <c r="C121" s="402"/>
      <c r="D121" s="400"/>
      <c r="E121" s="403"/>
      <c r="F121" s="403"/>
      <c r="G121" s="403"/>
      <c r="H121" s="403"/>
      <c r="I121" s="403"/>
      <c r="J121" s="405"/>
      <c r="K121" s="406"/>
      <c r="L121" s="407"/>
      <c r="M121" s="408"/>
      <c r="N121" s="408"/>
      <c r="O121" s="67">
        <f t="shared" si="79"/>
        <v>0</v>
      </c>
      <c r="P121" s="394"/>
      <c r="Q121" s="393"/>
      <c r="R121" s="407"/>
      <c r="S121" s="396"/>
      <c r="T121" s="396"/>
      <c r="U121" s="396"/>
      <c r="V121" s="396"/>
      <c r="W121" s="396"/>
      <c r="X121" s="407"/>
      <c r="Y121" s="407"/>
      <c r="Z121" s="410"/>
      <c r="AA121" s="411"/>
      <c r="AB121" s="411"/>
      <c r="AC121" s="411"/>
      <c r="AD121" s="411"/>
      <c r="AE121" s="378"/>
      <c r="AF121" s="398"/>
      <c r="AG121" s="398"/>
      <c r="AH121" s="398"/>
      <c r="AI121" s="398"/>
      <c r="AJ121" s="398"/>
      <c r="AK121" s="398"/>
      <c r="AL121" s="398"/>
      <c r="AM121" s="396"/>
      <c r="AN121" s="396"/>
      <c r="AO121" s="396"/>
      <c r="AP121" s="400"/>
      <c r="AQ121" s="400"/>
      <c r="AR121" s="418"/>
      <c r="AT121" s="82">
        <f t="shared" si="60"/>
        <v>0</v>
      </c>
      <c r="AU121" s="311">
        <f t="shared" si="77"/>
        <v>0</v>
      </c>
      <c r="AV121" s="82"/>
      <c r="AW121" s="218">
        <f t="shared" si="76"/>
        <v>0</v>
      </c>
      <c r="AX121" s="218">
        <f t="shared" si="76"/>
        <v>0</v>
      </c>
      <c r="AY121" s="219">
        <f t="shared" si="72"/>
        <v>0</v>
      </c>
      <c r="AZ121" s="219">
        <f t="shared" si="73"/>
        <v>0</v>
      </c>
      <c r="BA121" s="136">
        <f t="shared" si="74"/>
        <v>0</v>
      </c>
    </row>
    <row r="122" spans="1:53" s="82" customFormat="1" ht="24.95" hidden="1" customHeight="1" outlineLevel="1">
      <c r="A122" s="840"/>
      <c r="C122" s="402"/>
      <c r="D122" s="400"/>
      <c r="E122" s="403"/>
      <c r="F122" s="404"/>
      <c r="G122" s="404"/>
      <c r="H122" s="403"/>
      <c r="I122" s="404"/>
      <c r="J122" s="405"/>
      <c r="K122" s="406"/>
      <c r="L122" s="407"/>
      <c r="M122" s="509"/>
      <c r="N122" s="509"/>
      <c r="O122" s="67">
        <f t="shared" si="79"/>
        <v>0</v>
      </c>
      <c r="P122" s="514"/>
      <c r="Q122" s="515"/>
      <c r="R122" s="407"/>
      <c r="S122" s="396"/>
      <c r="T122" s="396"/>
      <c r="U122" s="396"/>
      <c r="V122" s="396"/>
      <c r="W122" s="396"/>
      <c r="X122" s="415"/>
      <c r="Y122" s="415"/>
      <c r="Z122" s="416"/>
      <c r="AA122" s="417"/>
      <c r="AB122" s="376"/>
      <c r="AC122" s="376"/>
      <c r="AD122" s="377"/>
      <c r="AE122" s="378"/>
      <c r="AF122" s="412"/>
      <c r="AG122" s="411"/>
      <c r="AH122" s="411"/>
      <c r="AI122" s="411"/>
      <c r="AJ122" s="411"/>
      <c r="AK122" s="411"/>
      <c r="AL122" s="411"/>
      <c r="AM122" s="396"/>
      <c r="AN122" s="396"/>
      <c r="AO122" s="396"/>
      <c r="AP122" s="414"/>
      <c r="AQ122" s="414"/>
      <c r="AR122" s="413"/>
      <c r="AT122" s="82">
        <f t="shared" si="60"/>
        <v>0</v>
      </c>
      <c r="AU122" s="311">
        <f t="shared" si="77"/>
        <v>0</v>
      </c>
      <c r="AW122" s="218">
        <f t="shared" si="76"/>
        <v>0</v>
      </c>
      <c r="AX122" s="218">
        <f t="shared" si="76"/>
        <v>0</v>
      </c>
      <c r="AY122" s="219">
        <f t="shared" si="72"/>
        <v>0</v>
      </c>
      <c r="AZ122" s="219">
        <f t="shared" si="73"/>
        <v>0</v>
      </c>
      <c r="BA122" s="136">
        <f t="shared" si="74"/>
        <v>0</v>
      </c>
    </row>
    <row r="123" spans="1:53" s="102" customFormat="1" ht="24.95" hidden="1" customHeight="1" outlineLevel="1" collapsed="1">
      <c r="A123" s="841"/>
      <c r="C123" s="105"/>
      <c r="D123" s="459"/>
      <c r="E123" s="403"/>
      <c r="F123" s="64"/>
      <c r="G123" s="64"/>
      <c r="H123" s="64"/>
      <c r="I123" s="64"/>
      <c r="J123" s="65"/>
      <c r="K123" s="66"/>
      <c r="L123" s="69"/>
      <c r="M123" s="69"/>
      <c r="N123" s="67"/>
      <c r="O123" s="67">
        <f t="shared" si="79"/>
        <v>0</v>
      </c>
      <c r="P123" s="408"/>
      <c r="Q123" s="68"/>
      <c r="R123" s="69"/>
      <c r="S123" s="471"/>
      <c r="T123" s="70"/>
      <c r="U123" s="70"/>
      <c r="V123" s="70"/>
      <c r="W123" s="70"/>
      <c r="X123" s="69"/>
      <c r="Y123" s="69"/>
      <c r="Z123" s="204"/>
      <c r="AA123" s="72"/>
      <c r="AB123" s="376"/>
      <c r="AC123" s="376"/>
      <c r="AD123" s="377"/>
      <c r="AE123" s="378"/>
      <c r="AF123" s="412"/>
      <c r="AG123" s="411"/>
      <c r="AH123" s="411"/>
      <c r="AI123" s="411"/>
      <c r="AJ123" s="411"/>
      <c r="AK123" s="411"/>
      <c r="AL123" s="411"/>
      <c r="AM123" s="396"/>
      <c r="AN123" s="70"/>
      <c r="AO123" s="70"/>
      <c r="AP123" s="71"/>
      <c r="AQ123" s="71"/>
      <c r="AR123" s="418"/>
      <c r="AT123" s="82">
        <f t="shared" si="60"/>
        <v>0</v>
      </c>
      <c r="AU123" s="311">
        <f t="shared" si="77"/>
        <v>0</v>
      </c>
      <c r="AV123" s="82"/>
      <c r="AW123" s="218">
        <f t="shared" si="76"/>
        <v>0</v>
      </c>
      <c r="AX123" s="218">
        <f t="shared" si="76"/>
        <v>0</v>
      </c>
      <c r="AY123" s="219">
        <f t="shared" si="72"/>
        <v>0</v>
      </c>
      <c r="AZ123" s="219">
        <f t="shared" si="73"/>
        <v>0</v>
      </c>
      <c r="BA123" s="136">
        <f t="shared" si="74"/>
        <v>0</v>
      </c>
    </row>
    <row r="124" spans="1:53" ht="24.95" hidden="1" customHeight="1" outlineLevel="1" thickBot="1">
      <c r="C124" s="108"/>
      <c r="D124" s="91"/>
      <c r="E124" s="92"/>
      <c r="F124" s="92"/>
      <c r="G124" s="92"/>
      <c r="H124" s="92"/>
      <c r="I124" s="92"/>
      <c r="J124" s="150">
        <f>IFERROR(AVERAGE(J118:J123),0)</f>
        <v>0</v>
      </c>
      <c r="K124" s="150">
        <f>IFERROR(AVERAGE(K118:K123),0)</f>
        <v>0</v>
      </c>
      <c r="L124" s="95">
        <f>SUM(L118:L123)</f>
        <v>0</v>
      </c>
      <c r="M124" s="95">
        <f>SUM(M118:M123)</f>
        <v>0</v>
      </c>
      <c r="N124" s="95">
        <f>SUM(N118:N123)</f>
        <v>0</v>
      </c>
      <c r="O124" s="95">
        <f>SUM(O118:O123)</f>
        <v>0</v>
      </c>
      <c r="P124" s="93"/>
      <c r="Q124" s="95"/>
      <c r="R124" s="95"/>
      <c r="S124" s="91"/>
      <c r="T124" s="91"/>
      <c r="U124" s="97"/>
      <c r="V124" s="96"/>
      <c r="W124" s="97"/>
      <c r="X124" s="98"/>
      <c r="Y124" s="98"/>
      <c r="Z124" s="207"/>
      <c r="AA124" s="99"/>
      <c r="AB124" s="99"/>
      <c r="AC124" s="99"/>
      <c r="AD124" s="99"/>
      <c r="AE124" s="99"/>
      <c r="AF124" s="99"/>
      <c r="AG124" s="99"/>
      <c r="AH124" s="99"/>
      <c r="AI124" s="99"/>
      <c r="AJ124" s="99"/>
      <c r="AK124" s="99"/>
      <c r="AL124" s="99"/>
      <c r="AM124" s="100"/>
      <c r="AN124" s="100"/>
      <c r="AO124" s="100"/>
      <c r="AP124" s="96"/>
      <c r="AQ124" s="96"/>
      <c r="AR124" s="109"/>
      <c r="AT124" s="82">
        <f t="shared" si="60"/>
        <v>0</v>
      </c>
      <c r="AU124" s="311">
        <f t="shared" si="77"/>
        <v>0</v>
      </c>
      <c r="AV124" s="82"/>
      <c r="AW124" s="218">
        <f t="shared" si="76"/>
        <v>0</v>
      </c>
      <c r="AX124" s="218">
        <f t="shared" si="76"/>
        <v>0</v>
      </c>
      <c r="AY124" s="219">
        <f t="shared" si="72"/>
        <v>0</v>
      </c>
      <c r="AZ124" s="219">
        <f t="shared" si="73"/>
        <v>0</v>
      </c>
      <c r="BA124" s="136">
        <f t="shared" si="74"/>
        <v>0</v>
      </c>
    </row>
    <row r="125" spans="1:53" ht="24.95" hidden="1" customHeight="1" outlineLevel="1">
      <c r="C125" s="1001"/>
      <c r="D125" s="1001"/>
      <c r="E125" s="1002"/>
      <c r="F125" s="1002"/>
      <c r="G125" s="1002"/>
      <c r="H125" s="1002"/>
      <c r="I125" s="1002"/>
      <c r="J125" s="869"/>
      <c r="K125" s="869"/>
      <c r="L125" s="1003"/>
      <c r="M125" s="1003"/>
      <c r="N125" s="1003"/>
      <c r="O125" s="1003"/>
      <c r="P125" s="1004"/>
      <c r="Q125" s="1003"/>
      <c r="R125" s="1003"/>
      <c r="S125" s="1001"/>
      <c r="T125" s="1001"/>
      <c r="U125" s="315"/>
      <c r="V125" s="102"/>
      <c r="W125" s="315"/>
      <c r="X125" s="870"/>
      <c r="Y125" s="870"/>
      <c r="Z125" s="1005"/>
      <c r="AA125" s="871"/>
      <c r="AB125" s="871"/>
      <c r="AC125" s="871"/>
      <c r="AD125" s="871"/>
      <c r="AE125" s="871"/>
      <c r="AF125" s="871"/>
      <c r="AG125" s="871"/>
      <c r="AH125" s="871"/>
      <c r="AI125" s="871"/>
      <c r="AJ125" s="871"/>
      <c r="AK125" s="871"/>
      <c r="AL125" s="871"/>
      <c r="AM125" s="1006"/>
      <c r="AN125" s="1006"/>
      <c r="AO125" s="1006"/>
      <c r="AP125" s="102"/>
      <c r="AQ125" s="102"/>
      <c r="AR125" s="82"/>
      <c r="AT125" s="82"/>
      <c r="AU125" s="311"/>
      <c r="AV125" s="82"/>
      <c r="AW125" s="218"/>
      <c r="AX125" s="218"/>
      <c r="AY125" s="219"/>
      <c r="AZ125" s="219"/>
      <c r="BA125" s="136"/>
    </row>
    <row r="126" spans="1:53" ht="24.95" hidden="1" customHeight="1" outlineLevel="1">
      <c r="C126" s="1001"/>
      <c r="D126" s="1001"/>
      <c r="E126" s="1002"/>
      <c r="F126" s="1002"/>
      <c r="G126" s="1002"/>
      <c r="H126" s="1002"/>
      <c r="I126" s="1002"/>
      <c r="J126" s="869"/>
      <c r="K126" s="869"/>
      <c r="L126" s="1003"/>
      <c r="M126" s="1003"/>
      <c r="N126" s="1003"/>
      <c r="O126" s="1003"/>
      <c r="P126" s="1004"/>
      <c r="Q126" s="1003"/>
      <c r="R126" s="1003"/>
      <c r="S126" s="1001"/>
      <c r="T126" s="1001"/>
      <c r="U126" s="315"/>
      <c r="V126" s="102"/>
      <c r="W126" s="315"/>
      <c r="X126" s="870"/>
      <c r="Y126" s="870"/>
      <c r="Z126" s="1005"/>
      <c r="AA126" s="871"/>
      <c r="AB126" s="871"/>
      <c r="AC126" s="871"/>
      <c r="AD126" s="871"/>
      <c r="AE126" s="871"/>
      <c r="AF126" s="871"/>
      <c r="AG126" s="871"/>
      <c r="AH126" s="871"/>
      <c r="AI126" s="871"/>
      <c r="AJ126" s="871"/>
      <c r="AK126" s="871"/>
      <c r="AL126" s="871"/>
      <c r="AM126" s="1006"/>
      <c r="AN126" s="1006"/>
      <c r="AO126" s="1006"/>
      <c r="AP126" s="102"/>
      <c r="AQ126" s="102"/>
      <c r="AR126" s="82"/>
      <c r="AT126" s="82"/>
      <c r="AU126" s="311"/>
      <c r="AV126" s="82"/>
      <c r="AW126" s="218"/>
      <c r="AX126" s="218"/>
      <c r="AY126" s="219"/>
      <c r="AZ126" s="219"/>
      <c r="BA126" s="136"/>
    </row>
    <row r="127" spans="1:53" ht="15" customHeight="1" collapsed="1" thickBot="1">
      <c r="F127" s="248"/>
      <c r="G127" s="248"/>
      <c r="H127" s="248"/>
      <c r="K127" s="259"/>
      <c r="R127" s="240"/>
      <c r="T127" s="884"/>
      <c r="U127" s="706"/>
      <c r="W127" s="710"/>
      <c r="X127" s="710"/>
      <c r="Y127" s="710"/>
      <c r="Z127" s="710"/>
      <c r="AA127" s="710"/>
      <c r="AB127" s="710"/>
      <c r="AC127" s="710"/>
      <c r="AD127" s="710"/>
      <c r="AE127" s="710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</row>
    <row r="128" spans="1:53" ht="15" customHeight="1" thickBot="1">
      <c r="F128" s="1030" t="s">
        <v>624</v>
      </c>
      <c r="G128" s="1033" t="s">
        <v>36</v>
      </c>
      <c r="H128" s="1034" t="s">
        <v>738</v>
      </c>
      <c r="I128" s="1034" t="s">
        <v>508</v>
      </c>
      <c r="J128" s="1034" t="s">
        <v>114</v>
      </c>
      <c r="K128" s="1035" t="s">
        <v>115</v>
      </c>
      <c r="L128" s="1034" t="s">
        <v>127</v>
      </c>
      <c r="M128" s="1034"/>
      <c r="N128" s="1034"/>
      <c r="O128" s="1034"/>
      <c r="P128" s="1035"/>
      <c r="Q128" s="1035"/>
      <c r="R128" s="1035" t="s">
        <v>137</v>
      </c>
      <c r="S128" s="1035" t="s">
        <v>139</v>
      </c>
      <c r="T128" s="1034" t="s">
        <v>140</v>
      </c>
      <c r="U128" s="1034" t="s">
        <v>145</v>
      </c>
      <c r="V128" s="1034" t="s">
        <v>146</v>
      </c>
      <c r="W128" s="1034" t="s">
        <v>151</v>
      </c>
      <c r="X128" s="1034" t="s">
        <v>152</v>
      </c>
      <c r="Y128" s="1036" t="s">
        <v>737</v>
      </c>
      <c r="Z128" s="707"/>
      <c r="AA128" s="708"/>
      <c r="AB128" s="708"/>
      <c r="AC128" s="707"/>
      <c r="AD128" s="708"/>
      <c r="AE128" s="708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</row>
    <row r="129" spans="3:44" ht="16.5" customHeight="1" thickBot="1">
      <c r="F129" s="1029" t="s">
        <v>765</v>
      </c>
      <c r="G129" s="1025">
        <v>219000</v>
      </c>
      <c r="H129" s="1012">
        <v>175000</v>
      </c>
      <c r="I129" s="1012">
        <v>174</v>
      </c>
      <c r="J129" s="1012">
        <v>174000</v>
      </c>
      <c r="K129" s="1013">
        <v>243000</v>
      </c>
      <c r="L129" s="1012">
        <v>229000</v>
      </c>
      <c r="M129" s="1012"/>
      <c r="N129" s="1012"/>
      <c r="O129" s="1012"/>
      <c r="P129" s="1013"/>
      <c r="Q129" s="1013"/>
      <c r="R129" s="1013">
        <v>224000</v>
      </c>
      <c r="S129" s="1013">
        <v>233000</v>
      </c>
      <c r="T129" s="1012">
        <v>255000</v>
      </c>
      <c r="U129" s="1012">
        <v>214000</v>
      </c>
      <c r="V129" s="1012">
        <v>281000</v>
      </c>
      <c r="W129" s="1012">
        <v>255000</v>
      </c>
      <c r="X129" s="1012">
        <v>314000</v>
      </c>
      <c r="Y129" s="1020">
        <f>+G129+H129+J129+K129+L129+R129+S129+T129+U129+V129+W129+X129</f>
        <v>2816000</v>
      </c>
      <c r="Z129" s="707"/>
      <c r="AA129" s="708"/>
      <c r="AB129" s="708"/>
      <c r="AC129" s="707"/>
      <c r="AD129" s="708"/>
      <c r="AE129" s="708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</row>
    <row r="130" spans="3:44" ht="15" customHeight="1" thickBot="1">
      <c r="F130" s="1037" t="s">
        <v>286</v>
      </c>
      <c r="G130" s="1083">
        <v>188355</v>
      </c>
      <c r="H130" s="1084">
        <f>+O27</f>
        <v>354604</v>
      </c>
      <c r="I130" s="1084"/>
      <c r="J130" s="1084">
        <f>+L29+L30+L31+L32+L33+L34</f>
        <v>296609</v>
      </c>
      <c r="K130" s="1085"/>
      <c r="L130" s="1084"/>
      <c r="M130" s="1084"/>
      <c r="N130" s="1084"/>
      <c r="O130" s="1084"/>
      <c r="P130" s="1085"/>
      <c r="Q130" s="1085"/>
      <c r="R130" s="1085"/>
      <c r="S130" s="1085"/>
      <c r="T130" s="1084"/>
      <c r="U130" s="1084"/>
      <c r="V130" s="1084"/>
      <c r="W130" s="1084"/>
      <c r="X130" s="1084"/>
      <c r="Y130" s="1086">
        <f t="shared" ref="Y130:Y134" si="80">+G130+H130+J130+K130+L130+R130+S130+T130+U130+V130+W130+X130</f>
        <v>839568</v>
      </c>
      <c r="Z130" s="240"/>
      <c r="AA130" s="709"/>
      <c r="AB130" s="709"/>
      <c r="AC130" s="709"/>
      <c r="AD130" s="709"/>
      <c r="AE130" s="709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</row>
    <row r="131" spans="3:44" ht="15" customHeight="1">
      <c r="F131" s="1028" t="s">
        <v>893</v>
      </c>
      <c r="G131" s="1024">
        <v>1</v>
      </c>
      <c r="H131" s="1009">
        <v>4</v>
      </c>
      <c r="I131" s="1009"/>
      <c r="J131" s="1009">
        <v>4</v>
      </c>
      <c r="K131" s="1018">
        <v>2</v>
      </c>
      <c r="L131" s="1018">
        <v>2</v>
      </c>
      <c r="M131" s="1019"/>
      <c r="N131" s="1019"/>
      <c r="O131" s="1019"/>
      <c r="P131" s="1018"/>
      <c r="Q131" s="1018"/>
      <c r="R131" s="1018">
        <v>2</v>
      </c>
      <c r="S131" s="1018">
        <v>2</v>
      </c>
      <c r="T131" s="1018">
        <v>2</v>
      </c>
      <c r="U131" s="1018">
        <v>2</v>
      </c>
      <c r="V131" s="1019">
        <v>2</v>
      </c>
      <c r="W131" s="1019">
        <v>2</v>
      </c>
      <c r="X131" s="1019">
        <v>2</v>
      </c>
      <c r="Y131" s="1010">
        <f t="shared" si="80"/>
        <v>27</v>
      </c>
      <c r="Z131" s="240"/>
      <c r="AA131" s="709"/>
      <c r="AB131" s="709"/>
      <c r="AC131" s="709"/>
      <c r="AD131" s="709"/>
      <c r="AE131" s="709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</row>
    <row r="132" spans="3:44" ht="15" customHeight="1" thickBot="1">
      <c r="F132" s="1041" t="s">
        <v>894</v>
      </c>
      <c r="G132" s="1042">
        <f>+O12</f>
        <v>75355</v>
      </c>
      <c r="H132" s="1043">
        <f>+O21+O22+O25+O26</f>
        <v>142517</v>
      </c>
      <c r="I132" s="1043"/>
      <c r="J132" s="1043">
        <f>+L29+L30+L31++L34+L36+L35</f>
        <v>255009</v>
      </c>
      <c r="K132" s="1075">
        <f>+L43+L44</f>
        <v>90000</v>
      </c>
      <c r="L132" s="1044">
        <v>100000</v>
      </c>
      <c r="M132" s="1076"/>
      <c r="N132" s="1076"/>
      <c r="O132" s="1076"/>
      <c r="P132" s="1076"/>
      <c r="Q132" s="1076"/>
      <c r="R132" s="1044">
        <v>100000</v>
      </c>
      <c r="S132" s="1044">
        <v>100000</v>
      </c>
      <c r="T132" s="1044">
        <v>100000</v>
      </c>
      <c r="U132" s="1044">
        <v>100000</v>
      </c>
      <c r="V132" s="1045">
        <v>100000</v>
      </c>
      <c r="W132" s="1045">
        <v>100000</v>
      </c>
      <c r="X132" s="1045">
        <v>100000</v>
      </c>
      <c r="Y132" s="1011">
        <f t="shared" si="80"/>
        <v>1362881</v>
      </c>
      <c r="Z132" s="240"/>
      <c r="AA132" s="709"/>
      <c r="AB132" s="709"/>
      <c r="AC132" s="709"/>
      <c r="AD132" s="709"/>
      <c r="AE132" s="709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</row>
    <row r="133" spans="3:44" ht="16.5" customHeight="1" thickBot="1">
      <c r="F133" s="1029" t="s">
        <v>765</v>
      </c>
      <c r="G133" s="1025">
        <v>180000</v>
      </c>
      <c r="H133" s="1012">
        <v>111000</v>
      </c>
      <c r="I133" s="1012"/>
      <c r="J133" s="1012">
        <v>248662</v>
      </c>
      <c r="K133" s="1013">
        <v>200000</v>
      </c>
      <c r="L133" s="1012">
        <v>243000</v>
      </c>
      <c r="M133" s="1012"/>
      <c r="N133" s="1012"/>
      <c r="O133" s="1012"/>
      <c r="P133" s="1013"/>
      <c r="Q133" s="1013"/>
      <c r="R133" s="1013">
        <v>240000</v>
      </c>
      <c r="S133" s="1013">
        <v>230000</v>
      </c>
      <c r="T133" s="1012">
        <v>200000</v>
      </c>
      <c r="U133" s="1012">
        <v>240000</v>
      </c>
      <c r="V133" s="1012">
        <v>250000</v>
      </c>
      <c r="W133" s="1012">
        <v>250000</v>
      </c>
      <c r="X133" s="1012">
        <v>238000</v>
      </c>
      <c r="Y133" s="1020">
        <f t="shared" si="80"/>
        <v>2630662</v>
      </c>
      <c r="Z133" s="707"/>
      <c r="AA133" s="708"/>
      <c r="AB133" s="708"/>
      <c r="AC133" s="707"/>
      <c r="AD133" s="708"/>
      <c r="AE133" s="708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</row>
    <row r="134" spans="3:44" ht="15" customHeight="1" thickBot="1">
      <c r="F134" s="1046" t="s">
        <v>543</v>
      </c>
      <c r="G134" s="1087">
        <f>+'7선석 접안(니켈)'!L19</f>
        <v>268296</v>
      </c>
      <c r="H134" s="1088">
        <f>+'7선석 접안(니켈)'!L23</f>
        <v>62292</v>
      </c>
      <c r="I134" s="1088"/>
      <c r="J134" s="1088">
        <v>44750</v>
      </c>
      <c r="K134" s="1089"/>
      <c r="L134" s="1088"/>
      <c r="M134" s="1088"/>
      <c r="N134" s="1088"/>
      <c r="O134" s="1088"/>
      <c r="P134" s="1089"/>
      <c r="Q134" s="1089"/>
      <c r="R134" s="1089"/>
      <c r="S134" s="1089"/>
      <c r="T134" s="1088"/>
      <c r="U134" s="1088"/>
      <c r="V134" s="1088"/>
      <c r="W134" s="1088"/>
      <c r="X134" s="1088"/>
      <c r="Y134" s="1090">
        <f t="shared" si="80"/>
        <v>375338</v>
      </c>
      <c r="Z134" s="240"/>
      <c r="AA134" s="709"/>
      <c r="AB134" s="709"/>
      <c r="AC134" s="709"/>
      <c r="AD134" s="709"/>
      <c r="AE134" s="709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1092"/>
      <c r="AR134" s="1092"/>
    </row>
    <row r="135" spans="3:44" ht="16.5" hidden="1" customHeight="1" thickBot="1">
      <c r="F135" s="1031" t="s">
        <v>778</v>
      </c>
      <c r="G135" s="1026"/>
      <c r="H135" s="1007"/>
      <c r="I135" s="1007"/>
      <c r="J135" s="1007"/>
      <c r="K135" s="1008"/>
      <c r="L135" s="1007"/>
      <c r="M135" s="1007"/>
      <c r="N135" s="1007"/>
      <c r="O135" s="1007"/>
      <c r="P135" s="1008"/>
      <c r="Q135" s="1008"/>
      <c r="R135" s="1008"/>
      <c r="S135" s="1008"/>
      <c r="T135" s="1007"/>
      <c r="U135" s="1014"/>
      <c r="V135" s="1014"/>
      <c r="W135" s="1014"/>
      <c r="X135" s="1014"/>
      <c r="Y135" s="1021"/>
      <c r="Z135" s="240"/>
      <c r="AA135" s="709"/>
      <c r="AB135" s="709"/>
      <c r="AC135" s="709"/>
      <c r="AD135" s="709"/>
      <c r="AE135" s="709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</row>
    <row r="136" spans="3:44" ht="15" customHeight="1" thickBot="1">
      <c r="F136" s="1032" t="s">
        <v>737</v>
      </c>
      <c r="G136" s="1027">
        <f>+G130+G134</f>
        <v>456651</v>
      </c>
      <c r="H136" s="1022">
        <f t="shared" ref="H136:Y136" si="81">+H130+H134</f>
        <v>416896</v>
      </c>
      <c r="I136" s="1022">
        <f t="shared" si="81"/>
        <v>0</v>
      </c>
      <c r="J136" s="1022">
        <f t="shared" si="81"/>
        <v>341359</v>
      </c>
      <c r="K136" s="1022">
        <f t="shared" si="81"/>
        <v>0</v>
      </c>
      <c r="L136" s="1022">
        <f t="shared" si="81"/>
        <v>0</v>
      </c>
      <c r="M136" s="1022">
        <f t="shared" si="81"/>
        <v>0</v>
      </c>
      <c r="N136" s="1022">
        <f t="shared" si="81"/>
        <v>0</v>
      </c>
      <c r="O136" s="1022">
        <f t="shared" si="81"/>
        <v>0</v>
      </c>
      <c r="P136" s="1022">
        <f t="shared" si="81"/>
        <v>0</v>
      </c>
      <c r="Q136" s="1022">
        <f t="shared" si="81"/>
        <v>0</v>
      </c>
      <c r="R136" s="1022">
        <f t="shared" si="81"/>
        <v>0</v>
      </c>
      <c r="S136" s="1022">
        <f t="shared" si="81"/>
        <v>0</v>
      </c>
      <c r="T136" s="1022">
        <f t="shared" si="81"/>
        <v>0</v>
      </c>
      <c r="U136" s="1022">
        <f t="shared" si="81"/>
        <v>0</v>
      </c>
      <c r="V136" s="1022">
        <f t="shared" si="81"/>
        <v>0</v>
      </c>
      <c r="W136" s="1022">
        <f t="shared" si="81"/>
        <v>0</v>
      </c>
      <c r="X136" s="1022">
        <f t="shared" si="81"/>
        <v>0</v>
      </c>
      <c r="Y136" s="1023">
        <f t="shared" si="81"/>
        <v>1214906</v>
      </c>
      <c r="Z136" s="240"/>
      <c r="AA136" s="709"/>
      <c r="AB136" s="709"/>
      <c r="AC136" s="709"/>
      <c r="AD136" s="709"/>
      <c r="AE136" s="709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1093"/>
      <c r="AR136" s="57"/>
    </row>
    <row r="137" spans="3:44" ht="17.45" customHeight="1">
      <c r="J137" s="323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</row>
    <row r="138" spans="3:44" ht="17.45" customHeight="1">
      <c r="C138" s="329" t="s">
        <v>892</v>
      </c>
      <c r="D138" s="82"/>
      <c r="J138" s="323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</row>
    <row r="139" spans="3:44" ht="17.45" customHeight="1">
      <c r="C139" s="330" t="s">
        <v>106</v>
      </c>
      <c r="P139" s="122"/>
      <c r="Q139" s="122"/>
      <c r="R139" s="122"/>
      <c r="S139" s="123"/>
      <c r="T139" s="331"/>
      <c r="U139" s="124"/>
      <c r="V139" s="332"/>
      <c r="W139" s="332"/>
      <c r="X139" s="245"/>
      <c r="Y139" s="245"/>
      <c r="Z139" s="333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</row>
    <row r="140" spans="3:44" ht="17.45" customHeight="1">
      <c r="C140" s="1140" t="s">
        <v>51</v>
      </c>
      <c r="D140" s="1141"/>
      <c r="E140" s="1144" t="s">
        <v>52</v>
      </c>
      <c r="F140" s="1145"/>
      <c r="G140" s="1146"/>
      <c r="H140" s="1144" t="s">
        <v>53</v>
      </c>
      <c r="I140" s="1145"/>
      <c r="J140" s="1146"/>
      <c r="K140" s="1144" t="s">
        <v>54</v>
      </c>
      <c r="L140" s="1145"/>
      <c r="M140" s="1146"/>
      <c r="P140" s="1111" t="s">
        <v>71</v>
      </c>
      <c r="Q140" s="1111" t="s">
        <v>72</v>
      </c>
      <c r="R140" s="1111" t="s">
        <v>73</v>
      </c>
      <c r="S140" s="1111" t="s">
        <v>74</v>
      </c>
      <c r="T140" s="122"/>
      <c r="U140" s="1097" t="s">
        <v>71</v>
      </c>
      <c r="V140" s="1097" t="s">
        <v>72</v>
      </c>
      <c r="W140" s="1097" t="s">
        <v>73</v>
      </c>
      <c r="X140" s="1097" t="s">
        <v>74</v>
      </c>
      <c r="Y140" s="1097" t="s">
        <v>75</v>
      </c>
      <c r="Z140" s="1107" t="s">
        <v>254</v>
      </c>
      <c r="AA140" s="1109" t="s">
        <v>111</v>
      </c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</row>
    <row r="141" spans="3:44" ht="17.45" customHeight="1">
      <c r="C141" s="1142"/>
      <c r="D141" s="1143"/>
      <c r="E141" s="209" t="s">
        <v>55</v>
      </c>
      <c r="F141" s="209" t="s">
        <v>56</v>
      </c>
      <c r="G141" s="209" t="s">
        <v>57</v>
      </c>
      <c r="H141" s="209" t="s">
        <v>55</v>
      </c>
      <c r="I141" s="209" t="s">
        <v>56</v>
      </c>
      <c r="J141" s="209" t="s">
        <v>57</v>
      </c>
      <c r="K141" s="209" t="s">
        <v>55</v>
      </c>
      <c r="L141" s="209" t="s">
        <v>56</v>
      </c>
      <c r="M141" s="209" t="s">
        <v>57</v>
      </c>
      <c r="P141" s="1112"/>
      <c r="Q141" s="1112"/>
      <c r="R141" s="1112"/>
      <c r="S141" s="1112"/>
      <c r="T141" s="122"/>
      <c r="U141" s="1098"/>
      <c r="V141" s="1098"/>
      <c r="W141" s="1098"/>
      <c r="X141" s="1098"/>
      <c r="Y141" s="1098"/>
      <c r="Z141" s="1108"/>
      <c r="AA141" s="1110"/>
      <c r="AO141" s="363"/>
      <c r="AP141" s="364" t="s">
        <v>156</v>
      </c>
      <c r="AQ141" s="451"/>
    </row>
    <row r="142" spans="3:44" ht="17.45" customHeight="1">
      <c r="C142" s="1103" t="s">
        <v>58</v>
      </c>
      <c r="D142" s="110" t="s">
        <v>179</v>
      </c>
      <c r="E142" s="111">
        <f>SUMIF($C$12:$C$109,D142,$M$12:$M$109)</f>
        <v>0</v>
      </c>
      <c r="F142" s="111">
        <f>SUMIF($C$12:$C$109,D142,$N$12:$N$109)</f>
        <v>150708</v>
      </c>
      <c r="G142" s="111">
        <f>E142+F142</f>
        <v>150708</v>
      </c>
      <c r="H142" s="112">
        <f t="shared" ref="H142:H168" si="82">IFERROR(E142/G142,"")</f>
        <v>0</v>
      </c>
      <c r="I142" s="112">
        <f t="shared" ref="I142:I168" si="83">IFERROR(F142/G142,"")</f>
        <v>1</v>
      </c>
      <c r="J142" s="112">
        <f t="shared" ref="J142:J147" si="84">IFERROR(H142+I142,"")</f>
        <v>1</v>
      </c>
      <c r="K142" s="111">
        <f>SUMIF($C$12:$C$109,D142,$AY$12:$AY$109)</f>
        <v>0</v>
      </c>
      <c r="L142" s="111">
        <f>SUMIF($C$12:$C$109,D142,$AZ$12:$AZ$109)</f>
        <v>1</v>
      </c>
      <c r="M142" s="111">
        <f>K142+L142</f>
        <v>1</v>
      </c>
      <c r="P142" s="125" t="str">
        <f t="shared" ref="P142:P148" si="85">D142</f>
        <v>SGC에너지</v>
      </c>
      <c r="Q142" s="126">
        <f>SUMIF($C$12:$C$109,P142,$J$12:$J$109)</f>
        <v>5.4833333333372138</v>
      </c>
      <c r="R142" s="111">
        <f>SUMIF($C$12:$C$109,P142,$BA$12:$BA$109)</f>
        <v>1</v>
      </c>
      <c r="S142" s="126">
        <f>IFERROR(Q142/R142,"")</f>
        <v>5.4833333333372138</v>
      </c>
      <c r="T142" s="122"/>
      <c r="U142" s="125" t="str">
        <f>P142</f>
        <v>SGC에너지</v>
      </c>
      <c r="V142" s="126">
        <f>Q142</f>
        <v>5.4833333333372138</v>
      </c>
      <c r="W142" s="111">
        <f>R142</f>
        <v>1</v>
      </c>
      <c r="X142" s="163">
        <f>IFERROR(V142/W142,"")</f>
        <v>5.4833333333372138</v>
      </c>
      <c r="Y142" s="164">
        <f t="shared" ref="Y142:Y148" si="86">G142/1000</f>
        <v>150.708</v>
      </c>
      <c r="Z142" s="111"/>
      <c r="AA142" s="158" t="str">
        <f t="shared" ref="AA142:AA160" si="87">IFERROR(IF(Y142=0,"",Y142/Z142),"")</f>
        <v/>
      </c>
      <c r="AO142" s="335"/>
      <c r="AP142" s="336">
        <f>Y142-AO142</f>
        <v>150.708</v>
      </c>
      <c r="AQ142" s="452"/>
    </row>
    <row r="143" spans="3:44" ht="17.45" customHeight="1">
      <c r="C143" s="1104"/>
      <c r="D143" s="110" t="s">
        <v>59</v>
      </c>
      <c r="E143" s="111">
        <f>SUMIF($C$12:$C$109,D143,$M$12:$M$109)</f>
        <v>0</v>
      </c>
      <c r="F143" s="111">
        <f>SUMIF($C$12:$C$109,D143,$N$12:$N$109)</f>
        <v>137000</v>
      </c>
      <c r="G143" s="111">
        <f t="shared" ref="G143:G166" si="88">E143+F143</f>
        <v>137000</v>
      </c>
      <c r="H143" s="112">
        <f t="shared" si="82"/>
        <v>0</v>
      </c>
      <c r="I143" s="112">
        <f t="shared" si="83"/>
        <v>1</v>
      </c>
      <c r="J143" s="112">
        <f t="shared" si="84"/>
        <v>1</v>
      </c>
      <c r="K143" s="111">
        <f>SUMIF($C$12:$C$109,D143,$AY$12:$AY$109)</f>
        <v>0</v>
      </c>
      <c r="L143" s="111">
        <f>SUMIF($C$12:$C$109,D143,$AZ$12:$AZ$109)</f>
        <v>2</v>
      </c>
      <c r="M143" s="111">
        <f t="shared" ref="M143:M144" si="89">K143+L143</f>
        <v>2</v>
      </c>
      <c r="P143" s="125" t="str">
        <f t="shared" si="85"/>
        <v>남동발전</v>
      </c>
      <c r="Q143" s="126">
        <f>SUMIF($C$12:$C$109,P143,$J$12:$J$109)</f>
        <v>20.779861111106584</v>
      </c>
      <c r="R143" s="111">
        <f>SUMIF($C$12:$C$109,P143,$BA$12:$BA$109)</f>
        <v>2</v>
      </c>
      <c r="S143" s="126">
        <f t="shared" ref="S143:S167" si="90">IFERROR(Q143/R143,"")</f>
        <v>10.389930555553292</v>
      </c>
      <c r="T143" s="122"/>
      <c r="U143" s="125" t="str">
        <f t="shared" ref="U143:W166" si="91">P143</f>
        <v>남동발전</v>
      </c>
      <c r="V143" s="126">
        <f t="shared" si="91"/>
        <v>20.779861111106584</v>
      </c>
      <c r="W143" s="111">
        <f t="shared" si="91"/>
        <v>2</v>
      </c>
      <c r="X143" s="163">
        <f t="shared" ref="X143:X169" si="92">IFERROR(V143/W143,"")</f>
        <v>10.389930555553292</v>
      </c>
      <c r="Y143" s="164">
        <f t="shared" si="86"/>
        <v>137</v>
      </c>
      <c r="Z143" s="111"/>
      <c r="AA143" s="158" t="str">
        <f t="shared" si="87"/>
        <v/>
      </c>
      <c r="AO143" s="335"/>
      <c r="AP143" s="336">
        <f t="shared" ref="AP143:AP166" si="93">Y143-AO143</f>
        <v>137</v>
      </c>
      <c r="AQ143" s="452"/>
    </row>
    <row r="144" spans="3:44" ht="17.45" customHeight="1">
      <c r="C144" s="1104"/>
      <c r="D144" s="110" t="s">
        <v>682</v>
      </c>
      <c r="E144" s="111">
        <f>SUMIF($C$12:$C$109,D144,$M$12:$M$109)</f>
        <v>0</v>
      </c>
      <c r="F144" s="111">
        <f>SUMIF($C$12:$C$109,D144,$N$12:$N$109)</f>
        <v>0</v>
      </c>
      <c r="G144" s="111">
        <f t="shared" si="88"/>
        <v>0</v>
      </c>
      <c r="H144" s="112" t="str">
        <f t="shared" si="82"/>
        <v/>
      </c>
      <c r="I144" s="112" t="str">
        <f t="shared" si="83"/>
        <v/>
      </c>
      <c r="J144" s="112" t="str">
        <f t="shared" si="84"/>
        <v/>
      </c>
      <c r="K144" s="111">
        <f>SUMIF($C$12:$C$109,D144,$AY$12:$AY$109)</f>
        <v>0</v>
      </c>
      <c r="L144" s="111">
        <f>SUMIF($C$12:$C$109,D144,$AZ$12:$AZ$109)</f>
        <v>0</v>
      </c>
      <c r="M144" s="111">
        <f t="shared" si="89"/>
        <v>0</v>
      </c>
      <c r="P144" s="125" t="str">
        <f t="shared" si="85"/>
        <v>J-POWER</v>
      </c>
      <c r="Q144" s="126">
        <f>SUMIF($C$12:$C$109,P144,$J$12:$J$109)</f>
        <v>0</v>
      </c>
      <c r="R144" s="111">
        <f>SUMIF($C$12:$C$109,P144,$BA$12:$BA$109)</f>
        <v>0</v>
      </c>
      <c r="S144" s="126" t="str">
        <f t="shared" si="90"/>
        <v/>
      </c>
      <c r="T144" s="122"/>
      <c r="U144" s="125" t="str">
        <f t="shared" si="91"/>
        <v>J-POWER</v>
      </c>
      <c r="V144" s="126">
        <f t="shared" si="91"/>
        <v>0</v>
      </c>
      <c r="W144" s="111">
        <f t="shared" si="91"/>
        <v>0</v>
      </c>
      <c r="X144" s="163" t="str">
        <f t="shared" si="92"/>
        <v/>
      </c>
      <c r="Y144" s="164">
        <f t="shared" si="86"/>
        <v>0</v>
      </c>
      <c r="Z144" s="111"/>
      <c r="AA144" s="158" t="str">
        <f t="shared" si="87"/>
        <v/>
      </c>
      <c r="AO144" s="335"/>
      <c r="AP144" s="336">
        <f t="shared" si="93"/>
        <v>0</v>
      </c>
      <c r="AQ144" s="452"/>
    </row>
    <row r="145" spans="3:44" ht="17.45" customHeight="1">
      <c r="C145" s="1104"/>
      <c r="D145" s="110" t="s">
        <v>428</v>
      </c>
      <c r="E145" s="111">
        <f>SUMIF($C$12:$C$109,D145,$M$12:$M$109)</f>
        <v>0</v>
      </c>
      <c r="F145" s="111">
        <f>SUMIF($C$12:$C$109,D145,$N$12:$N$109)</f>
        <v>0</v>
      </c>
      <c r="G145" s="111">
        <f t="shared" si="88"/>
        <v>0</v>
      </c>
      <c r="H145" s="112" t="str">
        <f t="shared" si="82"/>
        <v/>
      </c>
      <c r="I145" s="112" t="str">
        <f t="shared" si="83"/>
        <v/>
      </c>
      <c r="J145" s="112" t="str">
        <f t="shared" si="84"/>
        <v/>
      </c>
      <c r="K145" s="111">
        <f>SUMIF($C$12:$C$109,D145,$AY$12:$AY$109)</f>
        <v>0</v>
      </c>
      <c r="L145" s="111">
        <f>SUMIF($C$12:$C$109,D145,$AZ$12:$AZ$109)</f>
        <v>0</v>
      </c>
      <c r="M145" s="111">
        <f>K145+L145</f>
        <v>0</v>
      </c>
      <c r="P145" s="125" t="str">
        <f t="shared" si="85"/>
        <v>태평양시멘트</v>
      </c>
      <c r="Q145" s="126">
        <f>SUMIF($C$12:$C$109,P145,$J$12:$J$109)</f>
        <v>0</v>
      </c>
      <c r="R145" s="111">
        <f>SUMIF($C$12:$C$109,P145,$BA$12:$BA$109)</f>
        <v>0</v>
      </c>
      <c r="S145" s="126" t="str">
        <f t="shared" si="90"/>
        <v/>
      </c>
      <c r="T145" s="122"/>
      <c r="U145" s="125" t="str">
        <f t="shared" si="91"/>
        <v>태평양시멘트</v>
      </c>
      <c r="V145" s="126">
        <f t="shared" si="91"/>
        <v>0</v>
      </c>
      <c r="W145" s="111">
        <f t="shared" si="91"/>
        <v>0</v>
      </c>
      <c r="X145" s="163" t="str">
        <f t="shared" si="92"/>
        <v/>
      </c>
      <c r="Y145" s="164">
        <f t="shared" si="86"/>
        <v>0</v>
      </c>
      <c r="Z145" s="111"/>
      <c r="AA145" s="158" t="str">
        <f t="shared" si="87"/>
        <v/>
      </c>
      <c r="AO145" s="335"/>
      <c r="AP145" s="336"/>
      <c r="AQ145" s="452"/>
    </row>
    <row r="146" spans="3:44" ht="17.45" customHeight="1">
      <c r="C146" s="1104"/>
      <c r="D146" s="110" t="s">
        <v>469</v>
      </c>
      <c r="E146" s="111">
        <f>SUMIF($C$12:$C$109,D146,$M$12:$M$109)</f>
        <v>0</v>
      </c>
      <c r="F146" s="111">
        <f>SUMIF($C$12:$C$109,D146,$N$12:$N$109)</f>
        <v>0</v>
      </c>
      <c r="G146" s="111">
        <f t="shared" si="88"/>
        <v>0</v>
      </c>
      <c r="H146" s="112" t="str">
        <f t="shared" si="82"/>
        <v/>
      </c>
      <c r="I146" s="112" t="str">
        <f t="shared" si="83"/>
        <v/>
      </c>
      <c r="J146" s="112" t="str">
        <f t="shared" si="84"/>
        <v/>
      </c>
      <c r="K146" s="111">
        <f>SUMIF($C$12:$C$109,D146,$AY$12:$AY$109)</f>
        <v>0</v>
      </c>
      <c r="L146" s="111">
        <f>SUMIF($C$12:$C$109,D146,$AZ$12:$AZ$109)</f>
        <v>0</v>
      </c>
      <c r="M146" s="111">
        <f>K146+L146</f>
        <v>0</v>
      </c>
      <c r="P146" s="125" t="str">
        <f t="shared" si="85"/>
        <v>오사카시멘트</v>
      </c>
      <c r="Q146" s="126">
        <f>SUMIF($C$12:$C$109,P146,$J$12:$J$109)</f>
        <v>0</v>
      </c>
      <c r="R146" s="111">
        <f>SUMIF($C$12:$C$109,P146,$BA$12:$BA$109)</f>
        <v>0</v>
      </c>
      <c r="S146" s="126" t="str">
        <f t="shared" si="90"/>
        <v/>
      </c>
      <c r="T146" s="122"/>
      <c r="U146" s="125" t="str">
        <f t="shared" si="91"/>
        <v>오사카시멘트</v>
      </c>
      <c r="V146" s="126">
        <f t="shared" si="91"/>
        <v>0</v>
      </c>
      <c r="W146" s="111">
        <f t="shared" si="91"/>
        <v>0</v>
      </c>
      <c r="X146" s="163" t="str">
        <f t="shared" si="92"/>
        <v/>
      </c>
      <c r="Y146" s="164">
        <f t="shared" si="86"/>
        <v>0</v>
      </c>
      <c r="Z146" s="111"/>
      <c r="AA146" s="158" t="str">
        <f t="shared" si="87"/>
        <v/>
      </c>
      <c r="AO146" s="335"/>
      <c r="AP146" s="336"/>
      <c r="AQ146" s="452"/>
    </row>
    <row r="147" spans="3:44" ht="17.45" customHeight="1">
      <c r="C147" s="1104"/>
      <c r="D147" s="110" t="s">
        <v>168</v>
      </c>
      <c r="E147" s="111">
        <f>SUMIF($C$12:$C$109,D147,$M$12:$M$109)</f>
        <v>0</v>
      </c>
      <c r="F147" s="111">
        <f>SUMIF($C$12:$C$109,D147,$N$12:$N$109)</f>
        <v>0</v>
      </c>
      <c r="G147" s="111">
        <f t="shared" si="88"/>
        <v>0</v>
      </c>
      <c r="H147" s="112" t="str">
        <f t="shared" si="82"/>
        <v/>
      </c>
      <c r="I147" s="112" t="str">
        <f t="shared" si="83"/>
        <v/>
      </c>
      <c r="J147" s="112" t="str">
        <f t="shared" si="84"/>
        <v/>
      </c>
      <c r="K147" s="111">
        <f>SUMIF($C$12:$C$109,D147,$AY$12:$AY$109)</f>
        <v>0</v>
      </c>
      <c r="L147" s="111">
        <f>SUMIF($C$12:$C$109,D147,$AZ$12:$AZ$109)</f>
        <v>0</v>
      </c>
      <c r="M147" s="111">
        <f>K147+L147</f>
        <v>0</v>
      </c>
      <c r="P147" s="125" t="str">
        <f t="shared" si="85"/>
        <v>포스코인터</v>
      </c>
      <c r="Q147" s="126">
        <f>SUMIF($C$12:$C$109,P147,$J$12:$J$109)</f>
        <v>0</v>
      </c>
      <c r="R147" s="111">
        <f>SUMIF($C$12:$C$109,P147,$BA$12:$BA$109)</f>
        <v>0</v>
      </c>
      <c r="S147" s="126" t="str">
        <f t="shared" si="90"/>
        <v/>
      </c>
      <c r="T147" s="122"/>
      <c r="U147" s="125" t="str">
        <f t="shared" si="91"/>
        <v>포스코인터</v>
      </c>
      <c r="V147" s="126">
        <f t="shared" si="91"/>
        <v>0</v>
      </c>
      <c r="W147" s="111">
        <f t="shared" si="91"/>
        <v>0</v>
      </c>
      <c r="X147" s="163" t="str">
        <f t="shared" si="92"/>
        <v/>
      </c>
      <c r="Y147" s="164">
        <f t="shared" si="86"/>
        <v>0</v>
      </c>
      <c r="Z147" s="111"/>
      <c r="AA147" s="158" t="str">
        <f t="shared" si="87"/>
        <v/>
      </c>
      <c r="AO147" s="335"/>
      <c r="AP147" s="336"/>
      <c r="AQ147" s="452"/>
    </row>
    <row r="148" spans="3:44" ht="17.45" customHeight="1">
      <c r="C148" s="1104"/>
      <c r="D148" s="110" t="s">
        <v>443</v>
      </c>
      <c r="E148" s="111">
        <f>SUMIF($C$12:$C$109,D148,$M$12:$M$109)</f>
        <v>0</v>
      </c>
      <c r="F148" s="111">
        <f>SUMIF($C$12:$C$109,D148,$N$12:$N$109)</f>
        <v>0</v>
      </c>
      <c r="G148" s="111">
        <f t="shared" si="88"/>
        <v>0</v>
      </c>
      <c r="H148" s="112" t="str">
        <f t="shared" si="82"/>
        <v/>
      </c>
      <c r="I148" s="112" t="str">
        <f t="shared" si="83"/>
        <v/>
      </c>
      <c r="J148" s="112" t="str">
        <f>IFERROR(H148+I148,"")</f>
        <v/>
      </c>
      <c r="K148" s="111">
        <f>SUMIF($C$12:$C$109,D148,$AY$12:$AY$109)</f>
        <v>0</v>
      </c>
      <c r="L148" s="111">
        <f>SUMIF($C$12:$C$109,D148,$AZ$12:$AZ$109)</f>
        <v>0</v>
      </c>
      <c r="M148" s="111">
        <f>K148+L148</f>
        <v>0</v>
      </c>
      <c r="P148" s="125" t="str">
        <f t="shared" si="85"/>
        <v>도하기업</v>
      </c>
      <c r="Q148" s="126">
        <f>SUMIF($C$12:$C$109,P148,$J$12:$J$109)</f>
        <v>0</v>
      </c>
      <c r="R148" s="111">
        <f>SUMIF($C$12:$C$109,P148,$BA$12:$BA$109)</f>
        <v>0</v>
      </c>
      <c r="S148" s="126" t="str">
        <f t="shared" si="90"/>
        <v/>
      </c>
      <c r="T148" s="122"/>
      <c r="U148" s="125" t="str">
        <f t="shared" si="91"/>
        <v>도하기업</v>
      </c>
      <c r="V148" s="126">
        <f t="shared" si="91"/>
        <v>0</v>
      </c>
      <c r="W148" s="111">
        <f t="shared" si="91"/>
        <v>0</v>
      </c>
      <c r="X148" s="163" t="str">
        <f t="shared" si="92"/>
        <v/>
      </c>
      <c r="Y148" s="164">
        <f t="shared" si="86"/>
        <v>0</v>
      </c>
      <c r="Z148" s="111"/>
      <c r="AA148" s="158" t="str">
        <f t="shared" si="87"/>
        <v/>
      </c>
      <c r="AO148" s="335"/>
      <c r="AP148" s="336">
        <f t="shared" si="93"/>
        <v>0</v>
      </c>
      <c r="AQ148" s="452"/>
      <c r="AR148" s="337"/>
    </row>
    <row r="149" spans="3:44" ht="17.45" customHeight="1">
      <c r="C149" s="1105"/>
      <c r="D149" s="113" t="s">
        <v>61</v>
      </c>
      <c r="E149" s="114">
        <f>SUM(E142:E148)</f>
        <v>0</v>
      </c>
      <c r="F149" s="114">
        <f>SUM(F142:F148)</f>
        <v>287708</v>
      </c>
      <c r="G149" s="114">
        <f>SUM(G142:G148)</f>
        <v>287708</v>
      </c>
      <c r="H149" s="115">
        <f t="shared" si="82"/>
        <v>0</v>
      </c>
      <c r="I149" s="115">
        <f t="shared" si="83"/>
        <v>1</v>
      </c>
      <c r="J149" s="115">
        <f>IFERROR(H149+I149,"")</f>
        <v>1</v>
      </c>
      <c r="K149" s="114">
        <f t="shared" ref="K149:M149" si="94">SUM(K142:K148)</f>
        <v>0</v>
      </c>
      <c r="L149" s="114">
        <f t="shared" si="94"/>
        <v>3</v>
      </c>
      <c r="M149" s="114">
        <f t="shared" si="94"/>
        <v>3</v>
      </c>
      <c r="P149" s="128" t="s">
        <v>61</v>
      </c>
      <c r="Q149" s="129">
        <f>SUM(Q142:Q148)</f>
        <v>26.263194444443798</v>
      </c>
      <c r="R149" s="114">
        <f>SUM(R142:R148)</f>
        <v>3</v>
      </c>
      <c r="S149" s="129">
        <f t="shared" si="90"/>
        <v>8.7543981481479332</v>
      </c>
      <c r="T149" s="122"/>
      <c r="U149" s="128" t="s">
        <v>61</v>
      </c>
      <c r="V149" s="129">
        <f>SUM(V142:V148)</f>
        <v>26.263194444443798</v>
      </c>
      <c r="W149" s="114">
        <f>SUM(W142:W148)</f>
        <v>3</v>
      </c>
      <c r="X149" s="159">
        <f t="shared" si="92"/>
        <v>8.7543981481479332</v>
      </c>
      <c r="Y149" s="160">
        <f>SUM(Y142:Y148)</f>
        <v>287.70799999999997</v>
      </c>
      <c r="Z149" s="114">
        <f>SUM(Z142:Z148)</f>
        <v>0</v>
      </c>
      <c r="AA149" s="156" t="str">
        <f t="shared" si="87"/>
        <v/>
      </c>
      <c r="AO149" s="338">
        <f>SUM(AO142:AO148)</f>
        <v>0</v>
      </c>
      <c r="AP149" s="338">
        <f>SUM(AP142:AP148)</f>
        <v>287.70799999999997</v>
      </c>
      <c r="AQ149" s="453"/>
    </row>
    <row r="150" spans="3:44" ht="17.45" customHeight="1">
      <c r="C150" s="1103" t="s">
        <v>62</v>
      </c>
      <c r="D150" s="110" t="s">
        <v>367</v>
      </c>
      <c r="E150" s="111">
        <f>SUMIF($C$12:$C$109,D150,$M$12:$M$109)</f>
        <v>0</v>
      </c>
      <c r="F150" s="111">
        <f>SUMIF($C$12:$C$109,D150,$N$12:$N$109)</f>
        <v>0</v>
      </c>
      <c r="G150" s="111">
        <f t="shared" ref="G150" si="95">E150+F150</f>
        <v>0</v>
      </c>
      <c r="H150" s="112" t="str">
        <f t="shared" si="82"/>
        <v/>
      </c>
      <c r="I150" s="112" t="str">
        <f t="shared" si="83"/>
        <v/>
      </c>
      <c r="J150" s="112" t="str">
        <f t="shared" ref="J150:J161" si="96">IFERROR(H150+I150,"")</f>
        <v/>
      </c>
      <c r="K150" s="111">
        <f>SUMIF($C$12:$C$109,D150,$AY$12:$AY$109)</f>
        <v>0</v>
      </c>
      <c r="L150" s="111">
        <f>SUMIF($C$12:$C$109,D150,$AZ$12:$AZ$109)</f>
        <v>0</v>
      </c>
      <c r="M150" s="111">
        <f t="shared" ref="M150:M166" si="97">K150+L150</f>
        <v>0</v>
      </c>
      <c r="P150" s="125" t="str">
        <f t="shared" ref="P150:P166" si="98">D150</f>
        <v>보임코퍼레이션</v>
      </c>
      <c r="Q150" s="126">
        <f>SUMIF($C$12:$C$109,P150,$J$12:$J$109)</f>
        <v>0</v>
      </c>
      <c r="R150" s="111">
        <f>SUMIF($C$12:$C$109,P150,$BA$12:$BA$109)</f>
        <v>0</v>
      </c>
      <c r="S150" s="126" t="str">
        <f t="shared" si="90"/>
        <v/>
      </c>
      <c r="T150" s="122"/>
      <c r="U150" s="125" t="str">
        <f t="shared" ref="U150:W165" si="99">P150</f>
        <v>보임코퍼레이션</v>
      </c>
      <c r="V150" s="126">
        <f t="shared" si="99"/>
        <v>0</v>
      </c>
      <c r="W150" s="111">
        <f t="shared" si="99"/>
        <v>0</v>
      </c>
      <c r="X150" s="163" t="str">
        <f t="shared" si="92"/>
        <v/>
      </c>
      <c r="Y150" s="164">
        <f t="shared" ref="Y150:Y166" si="100">G150/1000</f>
        <v>0</v>
      </c>
      <c r="Z150" s="111"/>
      <c r="AA150" s="158" t="str">
        <f t="shared" si="87"/>
        <v/>
      </c>
      <c r="AO150" s="335"/>
      <c r="AP150" s="336">
        <f t="shared" ref="AP150" si="101">Y150-AO150</f>
        <v>0</v>
      </c>
      <c r="AQ150" s="452"/>
    </row>
    <row r="151" spans="3:44" ht="17.45" customHeight="1">
      <c r="C151" s="1104"/>
      <c r="D151" s="110" t="s">
        <v>222</v>
      </c>
      <c r="E151" s="111">
        <f>SUMIF($C$12:$C$109,D151,$M$12:$M$109)</f>
        <v>0</v>
      </c>
      <c r="F151" s="111">
        <f>SUMIF($C$12:$C$109,D151,$N$12:$N$109)</f>
        <v>0</v>
      </c>
      <c r="G151" s="111">
        <f t="shared" si="88"/>
        <v>0</v>
      </c>
      <c r="H151" s="112" t="str">
        <f t="shared" si="82"/>
        <v/>
      </c>
      <c r="I151" s="112" t="str">
        <f t="shared" si="83"/>
        <v/>
      </c>
      <c r="J151" s="112" t="str">
        <f t="shared" si="96"/>
        <v/>
      </c>
      <c r="K151" s="111">
        <f>SUMIF($C$12:$C$109,D151,$AY$12:$AY$109)</f>
        <v>0</v>
      </c>
      <c r="L151" s="111">
        <f>SUMIF($C$12:$C$109,D151,$AZ$12:$AZ$109)</f>
        <v>0</v>
      </c>
      <c r="M151" s="111">
        <f t="shared" si="97"/>
        <v>0</v>
      </c>
      <c r="P151" s="125" t="str">
        <f t="shared" si="98"/>
        <v>태경비케이</v>
      </c>
      <c r="Q151" s="126">
        <f>SUMIF($C$12:$C$109,P151,$J$12:$J$109)</f>
        <v>0</v>
      </c>
      <c r="R151" s="111">
        <f>SUMIF($C$12:$C$109,P151,$BA$12:$BA$109)</f>
        <v>0</v>
      </c>
      <c r="S151" s="126" t="str">
        <f t="shared" si="90"/>
        <v/>
      </c>
      <c r="T151" s="122"/>
      <c r="U151" s="125" t="str">
        <f t="shared" si="91"/>
        <v>태경비케이</v>
      </c>
      <c r="V151" s="126">
        <f t="shared" si="99"/>
        <v>0</v>
      </c>
      <c r="W151" s="111">
        <f t="shared" si="99"/>
        <v>0</v>
      </c>
      <c r="X151" s="163" t="str">
        <f t="shared" si="92"/>
        <v/>
      </c>
      <c r="Y151" s="164">
        <f t="shared" si="100"/>
        <v>0</v>
      </c>
      <c r="Z151" s="111"/>
      <c r="AA151" s="158" t="str">
        <f t="shared" si="87"/>
        <v/>
      </c>
      <c r="AO151" s="335"/>
      <c r="AP151" s="336">
        <f t="shared" si="93"/>
        <v>0</v>
      </c>
      <c r="AQ151" s="452"/>
    </row>
    <row r="152" spans="3:44" ht="17.45" customHeight="1">
      <c r="C152" s="1104"/>
      <c r="D152" s="110" t="s">
        <v>78</v>
      </c>
      <c r="E152" s="111">
        <f>SUMIF($C$12:$C$109,D152,$M$12:$M$109)</f>
        <v>0</v>
      </c>
      <c r="F152" s="111">
        <f>SUMIF($C$12:$C$109,D152,$N$12:$N$109)</f>
        <v>0</v>
      </c>
      <c r="G152" s="111">
        <f t="shared" si="88"/>
        <v>0</v>
      </c>
      <c r="H152" s="112" t="str">
        <f t="shared" si="82"/>
        <v/>
      </c>
      <c r="I152" s="112" t="str">
        <f t="shared" si="83"/>
        <v/>
      </c>
      <c r="J152" s="112" t="str">
        <f t="shared" si="96"/>
        <v/>
      </c>
      <c r="K152" s="111">
        <f>SUMIF($C$12:$C$109,D152,$AY$12:$AY$109)</f>
        <v>0</v>
      </c>
      <c r="L152" s="111">
        <f>SUMIF($C$12:$C$109,D152,$AZ$12:$AZ$109)</f>
        <v>0</v>
      </c>
      <c r="M152" s="111">
        <f t="shared" si="97"/>
        <v>0</v>
      </c>
      <c r="P152" s="125" t="str">
        <f t="shared" si="98"/>
        <v>삼영산업</v>
      </c>
      <c r="Q152" s="126">
        <f>SUMIF($C$12:$C$109,P152,$J$12:$J$109)</f>
        <v>0</v>
      </c>
      <c r="R152" s="111">
        <f>SUMIF($C$12:$C$109,P152,$BA$12:$BA$109)</f>
        <v>0</v>
      </c>
      <c r="S152" s="126" t="str">
        <f t="shared" si="90"/>
        <v/>
      </c>
      <c r="T152" s="122"/>
      <c r="U152" s="125" t="str">
        <f t="shared" si="91"/>
        <v>삼영산업</v>
      </c>
      <c r="V152" s="126">
        <f t="shared" si="99"/>
        <v>0</v>
      </c>
      <c r="W152" s="111">
        <f t="shared" si="99"/>
        <v>0</v>
      </c>
      <c r="X152" s="163" t="str">
        <f t="shared" si="92"/>
        <v/>
      </c>
      <c r="Y152" s="164">
        <f t="shared" si="100"/>
        <v>0</v>
      </c>
      <c r="Z152" s="111"/>
      <c r="AA152" s="158" t="str">
        <f t="shared" si="87"/>
        <v/>
      </c>
      <c r="AO152" s="335"/>
      <c r="AP152" s="336">
        <f t="shared" si="93"/>
        <v>0</v>
      </c>
      <c r="AQ152" s="452"/>
    </row>
    <row r="153" spans="3:44" ht="17.25" customHeight="1">
      <c r="C153" s="1104"/>
      <c r="D153" s="110" t="s">
        <v>176</v>
      </c>
      <c r="E153" s="111">
        <f>SUMIF($C$12:$C$109,D153,$M$12:$M$109)</f>
        <v>0</v>
      </c>
      <c r="F153" s="111">
        <f>SUMIF($C$12:$C$109,D153,$N$12:$N$109)</f>
        <v>0</v>
      </c>
      <c r="G153" s="111">
        <f t="shared" si="88"/>
        <v>0</v>
      </c>
      <c r="H153" s="112" t="str">
        <f t="shared" si="82"/>
        <v/>
      </c>
      <c r="I153" s="112" t="str">
        <f t="shared" si="83"/>
        <v/>
      </c>
      <c r="J153" s="112" t="str">
        <f t="shared" si="96"/>
        <v/>
      </c>
      <c r="K153" s="111">
        <f>SUMIF($C$12:$C$109,D153,$AY$12:$AY$109)</f>
        <v>0</v>
      </c>
      <c r="L153" s="111">
        <f>SUMIF($C$12:$C$109,D153,$AZ$12:$AZ$109)</f>
        <v>0</v>
      </c>
      <c r="M153" s="111">
        <f t="shared" si="97"/>
        <v>0</v>
      </c>
      <c r="P153" s="125" t="str">
        <f t="shared" si="98"/>
        <v>고려시멘트</v>
      </c>
      <c r="Q153" s="126">
        <f>SUMIF($C$12:$C$109,P153,$J$12:$J$109)</f>
        <v>0</v>
      </c>
      <c r="R153" s="111">
        <f>SUMIF($C$12:$C$109,P153,$BA$12:$BA$109)</f>
        <v>0</v>
      </c>
      <c r="S153" s="126" t="str">
        <f t="shared" si="90"/>
        <v/>
      </c>
      <c r="T153" s="122"/>
      <c r="U153" s="125" t="str">
        <f t="shared" si="91"/>
        <v>고려시멘트</v>
      </c>
      <c r="V153" s="126">
        <f t="shared" si="99"/>
        <v>0</v>
      </c>
      <c r="W153" s="111">
        <f t="shared" si="99"/>
        <v>0</v>
      </c>
      <c r="X153" s="163" t="str">
        <f t="shared" si="92"/>
        <v/>
      </c>
      <c r="Y153" s="164">
        <f t="shared" si="100"/>
        <v>0</v>
      </c>
      <c r="Z153" s="111"/>
      <c r="AA153" s="158" t="str">
        <f t="shared" si="87"/>
        <v/>
      </c>
      <c r="AO153" s="335"/>
      <c r="AP153" s="336">
        <f t="shared" si="93"/>
        <v>0</v>
      </c>
      <c r="AQ153" s="452"/>
    </row>
    <row r="154" spans="3:44" ht="17.45" customHeight="1">
      <c r="C154" s="1104"/>
      <c r="D154" s="110" t="s">
        <v>63</v>
      </c>
      <c r="E154" s="111">
        <f>SUMIF($C$12:$C$109,D154,$M$12:$M$109)</f>
        <v>0</v>
      </c>
      <c r="F154" s="111">
        <f>SUMIF($C$12:$C$109,D154,$N$12:$N$109)</f>
        <v>0</v>
      </c>
      <c r="G154" s="111">
        <f t="shared" si="88"/>
        <v>0</v>
      </c>
      <c r="H154" s="112" t="str">
        <f t="shared" si="82"/>
        <v/>
      </c>
      <c r="I154" s="112" t="str">
        <f t="shared" si="83"/>
        <v/>
      </c>
      <c r="J154" s="112" t="str">
        <f t="shared" si="96"/>
        <v/>
      </c>
      <c r="K154" s="111">
        <f>SUMIF($C$12:$C$109,D154,$AY$12:$AY$109)</f>
        <v>0</v>
      </c>
      <c r="L154" s="111">
        <f>SUMIF($C$12:$C$109,D154,$AZ$12:$AZ$109)</f>
        <v>0</v>
      </c>
      <c r="M154" s="111">
        <f t="shared" si="97"/>
        <v>0</v>
      </c>
      <c r="P154" s="125" t="str">
        <f t="shared" si="98"/>
        <v>청해실업</v>
      </c>
      <c r="Q154" s="126">
        <f>SUMIF($C$12:$C$109,P154,$J$12:$J$109)</f>
        <v>0</v>
      </c>
      <c r="R154" s="111">
        <f>SUMIF($C$12:$C$109,P154,$BA$12:$BA$109)</f>
        <v>0</v>
      </c>
      <c r="S154" s="126" t="str">
        <f t="shared" si="90"/>
        <v/>
      </c>
      <c r="T154" s="122"/>
      <c r="U154" s="125" t="str">
        <f t="shared" si="91"/>
        <v>청해실업</v>
      </c>
      <c r="V154" s="126">
        <f t="shared" si="99"/>
        <v>0</v>
      </c>
      <c r="W154" s="111">
        <f t="shared" si="99"/>
        <v>0</v>
      </c>
      <c r="X154" s="163" t="str">
        <f t="shared" si="92"/>
        <v/>
      </c>
      <c r="Y154" s="164">
        <f t="shared" si="100"/>
        <v>0</v>
      </c>
      <c r="Z154" s="111"/>
      <c r="AA154" s="158" t="str">
        <f t="shared" si="87"/>
        <v/>
      </c>
      <c r="AO154" s="339"/>
      <c r="AP154" s="340">
        <f t="shared" si="93"/>
        <v>0</v>
      </c>
      <c r="AQ154" s="454"/>
      <c r="AR154" s="240" t="s">
        <v>30</v>
      </c>
    </row>
    <row r="155" spans="3:44" ht="17.45" customHeight="1">
      <c r="C155" s="1104"/>
      <c r="D155" s="110" t="s">
        <v>64</v>
      </c>
      <c r="E155" s="111">
        <f>SUMIF($C$12:$C$109,D155,$M$12:$M$109)</f>
        <v>0</v>
      </c>
      <c r="F155" s="111">
        <f>SUMIF($C$12:$C$109,D155,$N$12:$N$109)</f>
        <v>73727</v>
      </c>
      <c r="G155" s="111">
        <f t="shared" si="88"/>
        <v>73727</v>
      </c>
      <c r="H155" s="112">
        <f t="shared" si="82"/>
        <v>0</v>
      </c>
      <c r="I155" s="112">
        <f t="shared" si="83"/>
        <v>1</v>
      </c>
      <c r="J155" s="112">
        <f t="shared" si="96"/>
        <v>1</v>
      </c>
      <c r="K155" s="111">
        <f>SUMIF($C$12:$C$109,D155,$AY$12:$AY$109)</f>
        <v>0</v>
      </c>
      <c r="L155" s="111">
        <f>SUMIF($C$12:$C$109,D155,$AZ$12:$AZ$109)</f>
        <v>1</v>
      </c>
      <c r="M155" s="111">
        <f t="shared" si="97"/>
        <v>1</v>
      </c>
      <c r="P155" s="125" t="str">
        <f t="shared" si="98"/>
        <v>한화에너지</v>
      </c>
      <c r="Q155" s="126">
        <f>SUMIF($C$12:$C$109,P155,$J$12:$J$109)</f>
        <v>16.423611111109494</v>
      </c>
      <c r="R155" s="111">
        <f>SUMIF($C$12:$C$109,P155,$BA$12:$BA$109)</f>
        <v>1</v>
      </c>
      <c r="S155" s="126">
        <f t="shared" si="90"/>
        <v>16.423611111109494</v>
      </c>
      <c r="T155" s="122"/>
      <c r="U155" s="125" t="str">
        <f t="shared" si="91"/>
        <v>한화에너지</v>
      </c>
      <c r="V155" s="126">
        <f t="shared" si="99"/>
        <v>16.423611111109494</v>
      </c>
      <c r="W155" s="111">
        <f t="shared" si="99"/>
        <v>1</v>
      </c>
      <c r="X155" s="163">
        <f t="shared" si="92"/>
        <v>16.423611111109494</v>
      </c>
      <c r="Y155" s="164">
        <f t="shared" si="100"/>
        <v>73.727000000000004</v>
      </c>
      <c r="Z155" s="111"/>
      <c r="AA155" s="158" t="str">
        <f t="shared" si="87"/>
        <v/>
      </c>
      <c r="AO155" s="335"/>
      <c r="AP155" s="336">
        <f t="shared" si="93"/>
        <v>73.727000000000004</v>
      </c>
      <c r="AQ155" s="452"/>
    </row>
    <row r="156" spans="3:44" ht="17.45" customHeight="1">
      <c r="C156" s="1104"/>
      <c r="D156" s="110" t="s">
        <v>777</v>
      </c>
      <c r="E156" s="111">
        <f>SUMIF($C$12:$C$109,D156,$M$12:$M$109)</f>
        <v>0</v>
      </c>
      <c r="F156" s="111">
        <f>SUMIF($C$12:$C$109,D156,$N$12:$N$109)</f>
        <v>333254</v>
      </c>
      <c r="G156" s="111">
        <f t="shared" si="88"/>
        <v>333254</v>
      </c>
      <c r="H156" s="112">
        <f t="shared" si="82"/>
        <v>0</v>
      </c>
      <c r="I156" s="112">
        <f t="shared" si="83"/>
        <v>1</v>
      </c>
      <c r="J156" s="112">
        <f t="shared" si="96"/>
        <v>1</v>
      </c>
      <c r="K156" s="111">
        <f>SUMIF($C$12:$C$109,D156,$AY$12:$AY$109)</f>
        <v>0</v>
      </c>
      <c r="L156" s="111">
        <f>SUMIF($C$12:$C$109,D156,$AZ$12:$AZ$109)</f>
        <v>3</v>
      </c>
      <c r="M156" s="111">
        <f t="shared" si="97"/>
        <v>3</v>
      </c>
      <c r="P156" s="125" t="str">
        <f t="shared" si="98"/>
        <v>포스코</v>
      </c>
      <c r="Q156" s="126">
        <f>SUMIF($C$12:$C$109,P156,$J$12:$J$109)</f>
        <v>36.959027777775191</v>
      </c>
      <c r="R156" s="111">
        <f>SUMIF($C$12:$C$109,P156,$BA$12:$BA$109)</f>
        <v>3</v>
      </c>
      <c r="S156" s="126">
        <f t="shared" si="90"/>
        <v>12.319675925925063</v>
      </c>
      <c r="T156" s="122"/>
      <c r="U156" s="125" t="str">
        <f t="shared" si="91"/>
        <v>포스코</v>
      </c>
      <c r="V156" s="126">
        <f t="shared" si="99"/>
        <v>36.959027777775191</v>
      </c>
      <c r="W156" s="111">
        <f t="shared" si="99"/>
        <v>3</v>
      </c>
      <c r="X156" s="163">
        <f t="shared" si="92"/>
        <v>12.319675925925063</v>
      </c>
      <c r="Y156" s="164">
        <f t="shared" si="100"/>
        <v>333.25400000000002</v>
      </c>
      <c r="Z156" s="111"/>
      <c r="AA156" s="158" t="str">
        <f t="shared" si="87"/>
        <v/>
      </c>
      <c r="AO156" s="335"/>
      <c r="AP156" s="336">
        <f t="shared" si="93"/>
        <v>333.25400000000002</v>
      </c>
      <c r="AQ156" s="452"/>
    </row>
    <row r="157" spans="3:44" ht="17.45" customHeight="1">
      <c r="C157" s="1104"/>
      <c r="D157" s="110" t="s">
        <v>501</v>
      </c>
      <c r="E157" s="111">
        <f>SUMIF($C$12:$C$109,D157,$M$12:$M$109)</f>
        <v>0</v>
      </c>
      <c r="F157" s="111">
        <f>SUMIF($C$12:$C$109,D157,$N$12:$N$109)</f>
        <v>0</v>
      </c>
      <c r="G157" s="111">
        <f t="shared" si="88"/>
        <v>0</v>
      </c>
      <c r="H157" s="112" t="str">
        <f t="shared" si="82"/>
        <v/>
      </c>
      <c r="I157" s="112" t="str">
        <f t="shared" si="83"/>
        <v/>
      </c>
      <c r="J157" s="112" t="str">
        <f t="shared" si="96"/>
        <v/>
      </c>
      <c r="K157" s="111">
        <f>SUMIF($C$12:$C$109,D157,$AY$12:$AY$109)</f>
        <v>0</v>
      </c>
      <c r="L157" s="111">
        <f>SUMIF($C$12:$C$109,D157,$AZ$12:$AZ$109)</f>
        <v>0</v>
      </c>
      <c r="M157" s="111">
        <f t="shared" si="97"/>
        <v>0</v>
      </c>
      <c r="P157" s="125" t="str">
        <f t="shared" si="98"/>
        <v>전북에너지</v>
      </c>
      <c r="Q157" s="126">
        <f>SUMIF($C$12:$C$109,P157,$J$12:$J$109)</f>
        <v>0</v>
      </c>
      <c r="R157" s="111">
        <f>SUMIF($C$12:$C$109,P157,$BA$12:$BA$109)</f>
        <v>0</v>
      </c>
      <c r="S157" s="126" t="str">
        <f t="shared" si="90"/>
        <v/>
      </c>
      <c r="T157" s="122"/>
      <c r="U157" s="125" t="str">
        <f t="shared" si="91"/>
        <v>전북에너지</v>
      </c>
      <c r="V157" s="126">
        <f t="shared" si="99"/>
        <v>0</v>
      </c>
      <c r="W157" s="111">
        <f t="shared" si="99"/>
        <v>0</v>
      </c>
      <c r="X157" s="163" t="str">
        <f t="shared" si="92"/>
        <v/>
      </c>
      <c r="Y157" s="164">
        <f t="shared" si="100"/>
        <v>0</v>
      </c>
      <c r="Z157" s="111"/>
      <c r="AA157" s="158" t="str">
        <f>IFERROR(IF(Y157=0,"",Y157/Z157),"")</f>
        <v/>
      </c>
      <c r="AO157" s="335"/>
      <c r="AP157" s="336">
        <f t="shared" si="93"/>
        <v>0</v>
      </c>
      <c r="AQ157" s="452"/>
    </row>
    <row r="158" spans="3:44" ht="17.45" customHeight="1">
      <c r="C158" s="1104"/>
      <c r="D158" s="110" t="s">
        <v>65</v>
      </c>
      <c r="E158" s="111">
        <f>SUMIF($C$12:$C$109,D158,$M$12:$M$109)</f>
        <v>0</v>
      </c>
      <c r="F158" s="111">
        <f>SUMIF($C$12:$C$109,D158,$N$12:$N$109)</f>
        <v>0</v>
      </c>
      <c r="G158" s="111">
        <f t="shared" si="88"/>
        <v>0</v>
      </c>
      <c r="H158" s="112" t="str">
        <f t="shared" si="82"/>
        <v/>
      </c>
      <c r="I158" s="112" t="str">
        <f t="shared" si="83"/>
        <v/>
      </c>
      <c r="J158" s="112" t="str">
        <f t="shared" si="96"/>
        <v/>
      </c>
      <c r="K158" s="111">
        <f>SUMIF($C$12:$C$109,D158,$AY$12:$AY$109)</f>
        <v>0</v>
      </c>
      <c r="L158" s="111">
        <f>SUMIF($C$12:$C$109,D158,$AZ$12:$AZ$109)</f>
        <v>0</v>
      </c>
      <c r="M158" s="111">
        <f t="shared" si="97"/>
        <v>0</v>
      </c>
      <c r="P158" s="125" t="str">
        <f t="shared" si="98"/>
        <v>LG상사</v>
      </c>
      <c r="Q158" s="126">
        <f>SUMIF($C$12:$C$109,P158,$J$12:$J$109)</f>
        <v>0</v>
      </c>
      <c r="R158" s="111">
        <f>SUMIF($C$12:$C$109,P158,$BA$12:$BA$109)</f>
        <v>0</v>
      </c>
      <c r="S158" s="126" t="str">
        <f t="shared" si="90"/>
        <v/>
      </c>
      <c r="T158" s="122"/>
      <c r="U158" s="125" t="str">
        <f t="shared" si="91"/>
        <v>LG상사</v>
      </c>
      <c r="V158" s="126">
        <f>Q158</f>
        <v>0</v>
      </c>
      <c r="W158" s="111">
        <f>R158</f>
        <v>0</v>
      </c>
      <c r="X158" s="163" t="str">
        <f>IFERROR(V158/W158,"")</f>
        <v/>
      </c>
      <c r="Y158" s="164">
        <f t="shared" si="100"/>
        <v>0</v>
      </c>
      <c r="Z158" s="111"/>
      <c r="AA158" s="158" t="str">
        <f t="shared" si="87"/>
        <v/>
      </c>
      <c r="AO158" s="335"/>
      <c r="AP158" s="336">
        <f t="shared" si="93"/>
        <v>0</v>
      </c>
      <c r="AQ158" s="452"/>
    </row>
    <row r="159" spans="3:44" ht="17.45" customHeight="1">
      <c r="C159" s="1104"/>
      <c r="D159" s="110" t="s">
        <v>66</v>
      </c>
      <c r="E159" s="111">
        <f>SUMIF($C$12:$C$109,D159,$M$12:$M$109)</f>
        <v>0</v>
      </c>
      <c r="F159" s="111">
        <f>SUMIF($C$12:$C$109,D159,$N$12:$N$109)</f>
        <v>0</v>
      </c>
      <c r="G159" s="111">
        <f t="shared" si="88"/>
        <v>0</v>
      </c>
      <c r="H159" s="112" t="str">
        <f t="shared" si="82"/>
        <v/>
      </c>
      <c r="I159" s="112" t="str">
        <f t="shared" si="83"/>
        <v/>
      </c>
      <c r="J159" s="112" t="str">
        <f t="shared" si="96"/>
        <v/>
      </c>
      <c r="K159" s="111">
        <f>SUMIF($C$12:$C$109,D159,$AY$12:$AY$109)</f>
        <v>0</v>
      </c>
      <c r="L159" s="111">
        <f>SUMIF($C$12:$C$109,D159,$AZ$12:$AZ$109)</f>
        <v>0</v>
      </c>
      <c r="M159" s="111">
        <f t="shared" si="97"/>
        <v>0</v>
      </c>
      <c r="P159" s="125" t="str">
        <f t="shared" si="98"/>
        <v>LG화학</v>
      </c>
      <c r="Q159" s="126">
        <f>SUMIF($C$12:$C$109,P159,$J$12:$J$109)</f>
        <v>0</v>
      </c>
      <c r="R159" s="111">
        <f>SUMIF($C$12:$C$109,P159,$BA$12:$BA$109)</f>
        <v>0</v>
      </c>
      <c r="S159" s="126" t="str">
        <f t="shared" si="90"/>
        <v/>
      </c>
      <c r="T159" s="122"/>
      <c r="U159" s="125" t="str">
        <f t="shared" si="91"/>
        <v>LG화학</v>
      </c>
      <c r="V159" s="126">
        <f t="shared" si="99"/>
        <v>0</v>
      </c>
      <c r="W159" s="111">
        <f t="shared" si="99"/>
        <v>0</v>
      </c>
      <c r="X159" s="163" t="str">
        <f t="shared" si="92"/>
        <v/>
      </c>
      <c r="Y159" s="164">
        <f t="shared" si="100"/>
        <v>0</v>
      </c>
      <c r="Z159" s="111"/>
      <c r="AA159" s="158" t="str">
        <f t="shared" si="87"/>
        <v/>
      </c>
      <c r="AO159" s="335"/>
      <c r="AP159" s="336">
        <f t="shared" si="93"/>
        <v>0</v>
      </c>
      <c r="AQ159" s="452"/>
    </row>
    <row r="160" spans="3:44" ht="17.45" customHeight="1">
      <c r="C160" s="1104"/>
      <c r="D160" s="110" t="s">
        <v>67</v>
      </c>
      <c r="E160" s="111">
        <f>SUMIF($C$12:$C$109,D160,$M$12:$M$109)</f>
        <v>0</v>
      </c>
      <c r="F160" s="111">
        <f>SUMIF($C$12:$C$109,D160,$N$12:$N$109)</f>
        <v>22252</v>
      </c>
      <c r="G160" s="111">
        <f t="shared" si="88"/>
        <v>22252</v>
      </c>
      <c r="H160" s="112">
        <f t="shared" si="82"/>
        <v>0</v>
      </c>
      <c r="I160" s="112">
        <f t="shared" si="83"/>
        <v>1</v>
      </c>
      <c r="J160" s="112">
        <f t="shared" si="96"/>
        <v>1</v>
      </c>
      <c r="K160" s="111">
        <f>SUMIF($C$12:$C$109,D160,$AY$12:$AY$109)</f>
        <v>0</v>
      </c>
      <c r="L160" s="111">
        <f>SUMIF($C$12:$C$109,D160,$AZ$12:$AZ$109)</f>
        <v>1</v>
      </c>
      <c r="M160" s="111">
        <f t="shared" si="97"/>
        <v>1</v>
      </c>
      <c r="P160" s="125" t="str">
        <f t="shared" si="98"/>
        <v>OCI SE</v>
      </c>
      <c r="Q160" s="126">
        <f>SUMIF($C$12:$C$109,P160,$J$12:$J$109)</f>
        <v>8.3333333328482695E-2</v>
      </c>
      <c r="R160" s="111">
        <f>SUMIF($C$12:$C$109,P160,$BA$12:$BA$109)</f>
        <v>1</v>
      </c>
      <c r="S160" s="126">
        <f t="shared" si="90"/>
        <v>8.3333333328482695E-2</v>
      </c>
      <c r="T160" s="122"/>
      <c r="U160" s="125" t="str">
        <f t="shared" si="91"/>
        <v>OCI SE</v>
      </c>
      <c r="V160" s="126">
        <f t="shared" si="99"/>
        <v>8.3333333328482695E-2</v>
      </c>
      <c r="W160" s="111">
        <f t="shared" si="99"/>
        <v>1</v>
      </c>
      <c r="X160" s="163">
        <f t="shared" si="92"/>
        <v>8.3333333328482695E-2</v>
      </c>
      <c r="Y160" s="164">
        <f t="shared" si="100"/>
        <v>22.251999999999999</v>
      </c>
      <c r="Z160" s="111"/>
      <c r="AA160" s="158" t="str">
        <f t="shared" si="87"/>
        <v/>
      </c>
      <c r="AO160" s="335"/>
      <c r="AP160" s="336">
        <f t="shared" si="93"/>
        <v>22.251999999999999</v>
      </c>
      <c r="AQ160" s="452"/>
    </row>
    <row r="161" spans="3:44" ht="17.45" customHeight="1">
      <c r="C161" s="1104"/>
      <c r="D161" s="110" t="s">
        <v>37</v>
      </c>
      <c r="E161" s="111">
        <f>SUMIF($C$12:$C$109,D161,$M$12:$M$109)</f>
        <v>0</v>
      </c>
      <c r="F161" s="111">
        <f>SUMIF($C$12:$C$109,D161,$N$12:$N$109)</f>
        <v>0</v>
      </c>
      <c r="G161" s="111">
        <f t="shared" si="88"/>
        <v>0</v>
      </c>
      <c r="H161" s="112" t="str">
        <f t="shared" si="82"/>
        <v/>
      </c>
      <c r="I161" s="112" t="str">
        <f t="shared" si="83"/>
        <v/>
      </c>
      <c r="J161" s="112" t="str">
        <f t="shared" si="96"/>
        <v/>
      </c>
      <c r="K161" s="111">
        <f>SUMIF($C$12:$C$109,D161,$AY$12:$AY$109)</f>
        <v>0</v>
      </c>
      <c r="L161" s="111">
        <f>SUMIF($C$12:$C$109,D161,$AZ$12:$AZ$109)</f>
        <v>0</v>
      </c>
      <c r="M161" s="111">
        <f t="shared" si="97"/>
        <v>0</v>
      </c>
      <c r="P161" s="125" t="str">
        <f t="shared" si="98"/>
        <v>청해소재</v>
      </c>
      <c r="Q161" s="126">
        <f>SUMIF($C$12:$C$109,P161,$J$12:$J$109)</f>
        <v>0</v>
      </c>
      <c r="R161" s="111">
        <f>SUMIF($C$12:$C$109,P161,$BA$12:$BA$109)</f>
        <v>0</v>
      </c>
      <c r="S161" s="126" t="str">
        <f t="shared" si="90"/>
        <v/>
      </c>
      <c r="T161" s="122"/>
      <c r="U161" s="125" t="str">
        <f t="shared" si="91"/>
        <v>청해소재</v>
      </c>
      <c r="V161" s="126">
        <f t="shared" si="99"/>
        <v>0</v>
      </c>
      <c r="W161" s="111">
        <f t="shared" si="99"/>
        <v>0</v>
      </c>
      <c r="X161" s="163" t="str">
        <f>IFERROR(V161/W161,"")</f>
        <v/>
      </c>
      <c r="Y161" s="164">
        <f t="shared" si="100"/>
        <v>0</v>
      </c>
      <c r="Z161" s="111"/>
      <c r="AA161" s="158" t="str">
        <f>IFERROR(IF(Y161=0,"",Y161/Z161),"")</f>
        <v/>
      </c>
      <c r="AO161" s="335"/>
      <c r="AP161" s="336">
        <f t="shared" si="93"/>
        <v>0</v>
      </c>
      <c r="AQ161" s="452"/>
      <c r="AR161" s="240" t="s">
        <v>157</v>
      </c>
    </row>
    <row r="162" spans="3:44" ht="17.45" customHeight="1">
      <c r="C162" s="1104"/>
      <c r="D162" s="110" t="s">
        <v>366</v>
      </c>
      <c r="E162" s="111"/>
      <c r="F162" s="111">
        <f>SUMIF($C$12:$C$109,D162,$N$12:$N$109)</f>
        <v>0</v>
      </c>
      <c r="G162" s="111">
        <f t="shared" si="88"/>
        <v>0</v>
      </c>
      <c r="H162" s="112" t="str">
        <f t="shared" si="82"/>
        <v/>
      </c>
      <c r="I162" s="112" t="str">
        <f t="shared" si="83"/>
        <v/>
      </c>
      <c r="J162" s="112" t="str">
        <f>IFERROR(H162+I162,"")</f>
        <v/>
      </c>
      <c r="K162" s="111">
        <f>SUMIF($C$12:$C$109,D162,$AY$12:$AY$109)</f>
        <v>0</v>
      </c>
      <c r="L162" s="111">
        <f>SUMIF($C$12:$C$109,D162,$AZ$12:$AZ$109)</f>
        <v>0</v>
      </c>
      <c r="M162" s="111">
        <f t="shared" si="97"/>
        <v>0</v>
      </c>
      <c r="P162" s="125" t="str">
        <f t="shared" si="98"/>
        <v>김천에너지</v>
      </c>
      <c r="Q162" s="126">
        <f>SUMIF($C$12:$C$109,P162,$J$12:$J$109)</f>
        <v>0</v>
      </c>
      <c r="R162" s="111">
        <f>SUMIF($C$12:$C$109,P162,$BA$12:$BA$109)</f>
        <v>0</v>
      </c>
      <c r="S162" s="126" t="str">
        <f t="shared" si="90"/>
        <v/>
      </c>
      <c r="T162" s="122"/>
      <c r="U162" s="125" t="str">
        <f t="shared" si="91"/>
        <v>김천에너지</v>
      </c>
      <c r="V162" s="126">
        <f t="shared" si="99"/>
        <v>0</v>
      </c>
      <c r="W162" s="111">
        <f t="shared" si="99"/>
        <v>0</v>
      </c>
      <c r="X162" s="163" t="str">
        <f t="shared" si="92"/>
        <v/>
      </c>
      <c r="Y162" s="164">
        <f t="shared" si="100"/>
        <v>0</v>
      </c>
      <c r="Z162" s="111"/>
      <c r="AA162" s="158" t="str">
        <f t="shared" ref="AA162:AA171" si="102">IFERROR(IF(Y162=0,"",Y162/Z162),"")</f>
        <v/>
      </c>
      <c r="AO162" s="335"/>
      <c r="AP162" s="336">
        <f t="shared" si="93"/>
        <v>0</v>
      </c>
      <c r="AQ162" s="452"/>
    </row>
    <row r="163" spans="3:44" ht="17.45" customHeight="1">
      <c r="C163" s="1104"/>
      <c r="D163" s="110" t="s">
        <v>107</v>
      </c>
      <c r="E163" s="111">
        <f>SUMIF($C$12:$C$109,D163,$M$12:$M$109)</f>
        <v>0</v>
      </c>
      <c r="F163" s="111">
        <f>SUMIF($C$12:$C$109,D163,$N$12:$N$109)</f>
        <v>0</v>
      </c>
      <c r="G163" s="111">
        <f t="shared" si="88"/>
        <v>0</v>
      </c>
      <c r="H163" s="112" t="str">
        <f t="shared" si="82"/>
        <v/>
      </c>
      <c r="I163" s="112" t="str">
        <f t="shared" si="83"/>
        <v/>
      </c>
      <c r="J163" s="112" t="str">
        <f>IFERROR(H163+I163,"")</f>
        <v/>
      </c>
      <c r="K163" s="111">
        <f>SUMIF($C$12:$C$109,D163,$AY$12:$AY$109)</f>
        <v>0</v>
      </c>
      <c r="L163" s="111">
        <f>SUMIF($C$12:$C$109,D163,$AZ$12:$AZ$109)</f>
        <v>0</v>
      </c>
      <c r="M163" s="111">
        <f t="shared" si="97"/>
        <v>0</v>
      </c>
      <c r="P163" s="125" t="str">
        <f t="shared" si="98"/>
        <v>대구염색공단</v>
      </c>
      <c r="Q163" s="126">
        <f>SUMIF($C$12:$C$109,P163,$J$12:$J$109)</f>
        <v>0</v>
      </c>
      <c r="R163" s="111">
        <f>SUMIF($C$12:$C$109,P163,$BA$12:$BA$109)</f>
        <v>0</v>
      </c>
      <c r="S163" s="126" t="str">
        <f t="shared" si="90"/>
        <v/>
      </c>
      <c r="T163" s="122"/>
      <c r="U163" s="125" t="str">
        <f t="shared" si="91"/>
        <v>대구염색공단</v>
      </c>
      <c r="V163" s="126">
        <f t="shared" si="99"/>
        <v>0</v>
      </c>
      <c r="W163" s="111">
        <f t="shared" si="99"/>
        <v>0</v>
      </c>
      <c r="X163" s="163" t="str">
        <f t="shared" si="92"/>
        <v/>
      </c>
      <c r="Y163" s="164">
        <f t="shared" si="100"/>
        <v>0</v>
      </c>
      <c r="Z163" s="111"/>
      <c r="AA163" s="158" t="str">
        <f t="shared" si="102"/>
        <v/>
      </c>
      <c r="AO163" s="335"/>
      <c r="AP163" s="336">
        <f t="shared" si="93"/>
        <v>0</v>
      </c>
      <c r="AQ163" s="452"/>
    </row>
    <row r="164" spans="3:44" ht="17.45" customHeight="1">
      <c r="C164" s="1104"/>
      <c r="D164" s="110" t="s">
        <v>108</v>
      </c>
      <c r="E164" s="111">
        <f>SUMIF($C$12:$C$109,D164,$M$12:$M$109)</f>
        <v>0</v>
      </c>
      <c r="F164" s="111">
        <f>SUMIF($C$12:$C$109,D164,$N$12:$N$109)</f>
        <v>0</v>
      </c>
      <c r="G164" s="111">
        <f t="shared" si="88"/>
        <v>0</v>
      </c>
      <c r="H164" s="112" t="str">
        <f t="shared" si="82"/>
        <v/>
      </c>
      <c r="I164" s="112" t="str">
        <f t="shared" si="83"/>
        <v/>
      </c>
      <c r="J164" s="112" t="str">
        <f t="shared" ref="J164:J166" si="103">IFERROR(H164+I164,"")</f>
        <v/>
      </c>
      <c r="K164" s="111">
        <f>SUMIF($C$12:$C$109,D164,$AY$12:$AY$109)</f>
        <v>0</v>
      </c>
      <c r="L164" s="111">
        <f>SUMIF($C$12:$C$109,D164,$AZ$12:$AZ$109)</f>
        <v>0</v>
      </c>
      <c r="M164" s="111">
        <f t="shared" si="97"/>
        <v>0</v>
      </c>
      <c r="P164" s="125" t="str">
        <f t="shared" si="98"/>
        <v>SNNC(니켈)</v>
      </c>
      <c r="Q164" s="126">
        <f>SUMIF($C$12:$C$109,P164,$J$12:$J$109)</f>
        <v>0</v>
      </c>
      <c r="R164" s="111">
        <f>SUMIF($C$12:$C$109,P164,$BA$12:$BA$109)</f>
        <v>0</v>
      </c>
      <c r="S164" s="126" t="str">
        <f t="shared" si="90"/>
        <v/>
      </c>
      <c r="T164" s="122"/>
      <c r="U164" s="125" t="str">
        <f t="shared" si="91"/>
        <v>SNNC(니켈)</v>
      </c>
      <c r="V164" s="126">
        <f t="shared" si="99"/>
        <v>0</v>
      </c>
      <c r="W164" s="111">
        <f t="shared" si="99"/>
        <v>0</v>
      </c>
      <c r="X164" s="163" t="str">
        <f t="shared" si="92"/>
        <v/>
      </c>
      <c r="Y164" s="164">
        <f t="shared" si="100"/>
        <v>0</v>
      </c>
      <c r="Z164" s="111"/>
      <c r="AA164" s="158" t="str">
        <f t="shared" si="102"/>
        <v/>
      </c>
      <c r="AO164" s="335"/>
      <c r="AP164" s="336">
        <f t="shared" si="93"/>
        <v>0</v>
      </c>
      <c r="AQ164" s="452"/>
    </row>
    <row r="165" spans="3:44" ht="17.45" customHeight="1">
      <c r="C165" s="1104"/>
      <c r="D165" s="110" t="s">
        <v>704</v>
      </c>
      <c r="E165" s="111">
        <f>SUMIF($C$12:$C$109,D165,$M$12:$M$109)</f>
        <v>0</v>
      </c>
      <c r="F165" s="111">
        <f>SUMIF($C$12:$C$109,D165,$N$12:$N$109)</f>
        <v>0</v>
      </c>
      <c r="G165" s="111">
        <f t="shared" si="88"/>
        <v>0</v>
      </c>
      <c r="H165" s="112" t="str">
        <f t="shared" si="82"/>
        <v/>
      </c>
      <c r="I165" s="112" t="str">
        <f t="shared" si="83"/>
        <v/>
      </c>
      <c r="J165" s="112" t="str">
        <f t="shared" si="103"/>
        <v/>
      </c>
      <c r="K165" s="111">
        <f>SUMIF($C$12:$C$109,D165,$AY$12:$AY$109)</f>
        <v>0</v>
      </c>
      <c r="L165" s="111">
        <f>SUMIF($C$12:$C$109,D165,$AZ$12:$AZ$109)</f>
        <v>0</v>
      </c>
      <c r="M165" s="111">
        <f t="shared" si="97"/>
        <v>0</v>
      </c>
      <c r="P165" s="125" t="str">
        <f t="shared" si="98"/>
        <v>렘코</v>
      </c>
      <c r="Q165" s="126">
        <f>SUMIF($C$12:$C$109,P165,$J$12:$J$109)</f>
        <v>0</v>
      </c>
      <c r="R165" s="111">
        <f>SUMIF($C$12:$C$109,P165,$BA$12:$BA$109)</f>
        <v>0</v>
      </c>
      <c r="S165" s="126" t="str">
        <f t="shared" si="90"/>
        <v/>
      </c>
      <c r="T165" s="122"/>
      <c r="U165" s="125" t="s">
        <v>704</v>
      </c>
      <c r="V165" s="126">
        <f t="shared" si="99"/>
        <v>0</v>
      </c>
      <c r="W165" s="111">
        <f t="shared" si="99"/>
        <v>0</v>
      </c>
      <c r="X165" s="163" t="str">
        <f t="shared" si="92"/>
        <v/>
      </c>
      <c r="Y165" s="164">
        <f t="shared" si="100"/>
        <v>0</v>
      </c>
      <c r="Z165" s="111"/>
      <c r="AA165" s="158" t="str">
        <f t="shared" si="102"/>
        <v/>
      </c>
      <c r="AO165" s="335"/>
      <c r="AP165" s="336">
        <f t="shared" si="93"/>
        <v>0</v>
      </c>
      <c r="AQ165" s="452"/>
    </row>
    <row r="166" spans="3:44" ht="17.45" customHeight="1">
      <c r="C166" s="1104"/>
      <c r="D166" s="110" t="s">
        <v>68</v>
      </c>
      <c r="E166" s="111">
        <f>SUMIF($C$12:$C$109,D166,$M$12:$M$109)</f>
        <v>0</v>
      </c>
      <c r="F166" s="111">
        <f>SUMIF($C$12:$C$109,D166,$N$12:$N$109)</f>
        <v>46000</v>
      </c>
      <c r="G166" s="111">
        <f t="shared" si="88"/>
        <v>46000</v>
      </c>
      <c r="H166" s="112">
        <f t="shared" si="82"/>
        <v>0</v>
      </c>
      <c r="I166" s="112">
        <f t="shared" si="83"/>
        <v>1</v>
      </c>
      <c r="J166" s="112">
        <f t="shared" si="103"/>
        <v>1</v>
      </c>
      <c r="K166" s="111">
        <f>SUMIF($C$12:$C$109,D166,$AY$12:$AY$109)</f>
        <v>0</v>
      </c>
      <c r="L166" s="111">
        <f>SUMIF($C$12:$C$109,D166,$AZ$12:$AZ$109)</f>
        <v>1</v>
      </c>
      <c r="M166" s="111">
        <f t="shared" si="97"/>
        <v>1</v>
      </c>
      <c r="P166" s="125" t="str">
        <f t="shared" si="98"/>
        <v>SNNC</v>
      </c>
      <c r="Q166" s="126">
        <f>SUMIF($C$12:$C$109,P166,$J$12:$J$109)</f>
        <v>10.395833333335759</v>
      </c>
      <c r="R166" s="111">
        <f>SUMIF($C$12:$C$109,P166,$BA$12:$BA$109)</f>
        <v>1</v>
      </c>
      <c r="S166" s="126">
        <f t="shared" si="90"/>
        <v>10.395833333335759</v>
      </c>
      <c r="T166" s="122"/>
      <c r="U166" s="125" t="str">
        <f t="shared" si="91"/>
        <v>SNNC</v>
      </c>
      <c r="V166" s="126">
        <f t="shared" si="91"/>
        <v>10.395833333335759</v>
      </c>
      <c r="W166" s="111">
        <f t="shared" si="91"/>
        <v>1</v>
      </c>
      <c r="X166" s="163">
        <f t="shared" si="92"/>
        <v>10.395833333335759</v>
      </c>
      <c r="Y166" s="164">
        <f t="shared" si="100"/>
        <v>46</v>
      </c>
      <c r="Z166" s="111"/>
      <c r="AA166" s="158" t="str">
        <f t="shared" si="102"/>
        <v/>
      </c>
      <c r="AO166" s="335"/>
      <c r="AP166" s="336">
        <f t="shared" si="93"/>
        <v>46</v>
      </c>
      <c r="AQ166" s="452"/>
    </row>
    <row r="167" spans="3:44" ht="17.45" customHeight="1" thickBot="1">
      <c r="C167" s="1105"/>
      <c r="D167" s="113" t="s">
        <v>61</v>
      </c>
      <c r="E167" s="114">
        <f>SUM(E150:E166)</f>
        <v>0</v>
      </c>
      <c r="F167" s="179">
        <f>SUM(F150:F166)</f>
        <v>475233</v>
      </c>
      <c r="G167" s="114">
        <f>SUM(G150:G166)</f>
        <v>475233</v>
      </c>
      <c r="H167" s="115">
        <f t="shared" si="82"/>
        <v>0</v>
      </c>
      <c r="I167" s="185">
        <f t="shared" si="83"/>
        <v>1</v>
      </c>
      <c r="J167" s="115">
        <f>IFERROR(H167+I167,"")</f>
        <v>1</v>
      </c>
      <c r="K167" s="114">
        <f>SUM(K150:K166)</f>
        <v>0</v>
      </c>
      <c r="L167" s="114">
        <f>SUM(L150:L166)</f>
        <v>6</v>
      </c>
      <c r="M167" s="114">
        <f>SUM(M150:M166)</f>
        <v>6</v>
      </c>
      <c r="P167" s="128" t="s">
        <v>61</v>
      </c>
      <c r="Q167" s="129">
        <f>SUM(Q150:Q166)</f>
        <v>63.861805555548926</v>
      </c>
      <c r="R167" s="114">
        <f>SUM(R150:R166)</f>
        <v>6</v>
      </c>
      <c r="S167" s="129">
        <f t="shared" si="90"/>
        <v>10.643634259258155</v>
      </c>
      <c r="T167" s="122"/>
      <c r="U167" s="128" t="s">
        <v>61</v>
      </c>
      <c r="V167" s="129">
        <f>SUM(V150:V166)</f>
        <v>63.861805555548926</v>
      </c>
      <c r="W167" s="114">
        <f>SUM(W150:W166)</f>
        <v>6</v>
      </c>
      <c r="X167" s="161">
        <f>IFERROR(V167/W167,"")</f>
        <v>10.643634259258155</v>
      </c>
      <c r="Y167" s="160">
        <f>SUM(Y150:Y166)</f>
        <v>475.233</v>
      </c>
      <c r="Z167" s="114">
        <f>SUM(Z151:Z166)</f>
        <v>0</v>
      </c>
      <c r="AA167" s="156" t="str">
        <f t="shared" si="102"/>
        <v/>
      </c>
      <c r="AO167" s="341">
        <f>SUM(AO151:AO166)</f>
        <v>0</v>
      </c>
      <c r="AP167" s="341">
        <f>SUM(AP150:AP166)</f>
        <v>475.233</v>
      </c>
      <c r="AQ167" s="455"/>
    </row>
    <row r="168" spans="3:44" ht="17.45" customHeight="1" thickTop="1" thickBot="1">
      <c r="C168" s="1106" t="s">
        <v>57</v>
      </c>
      <c r="D168" s="1106"/>
      <c r="E168" s="147">
        <f>SUM(E167,E149)</f>
        <v>0</v>
      </c>
      <c r="F168" s="182">
        <f>SUM(F167,F149)</f>
        <v>762941</v>
      </c>
      <c r="G168" s="149">
        <f>SUM(G167,G149)</f>
        <v>762941</v>
      </c>
      <c r="H168" s="183">
        <f t="shared" si="82"/>
        <v>0</v>
      </c>
      <c r="I168" s="186">
        <f t="shared" si="83"/>
        <v>1</v>
      </c>
      <c r="J168" s="184">
        <f>IFERROR(H168+I168,"")</f>
        <v>1</v>
      </c>
      <c r="K168" s="116">
        <f>SUM(K167,K149)</f>
        <v>0</v>
      </c>
      <c r="L168" s="116">
        <f>SUM(L167,L149)</f>
        <v>9</v>
      </c>
      <c r="M168" s="116">
        <f>SUM(M167,M149)</f>
        <v>9</v>
      </c>
      <c r="P168" s="131" t="s">
        <v>79</v>
      </c>
      <c r="Q168" s="132">
        <f>SUM(Q167,Q149)</f>
        <v>90.124999999992724</v>
      </c>
      <c r="R168" s="116">
        <f>SUM(R167,R149)</f>
        <v>9</v>
      </c>
      <c r="S168" s="132">
        <f>IFERROR(Q168/R168,"")</f>
        <v>10.013888888888081</v>
      </c>
      <c r="T168" s="122"/>
      <c r="U168" s="131" t="s">
        <v>76</v>
      </c>
      <c r="V168" s="132">
        <f>SUM(V167,V149)</f>
        <v>90.124999999992724</v>
      </c>
      <c r="W168" s="147">
        <f>SUM(W167,W149)</f>
        <v>9</v>
      </c>
      <c r="X168" s="133">
        <f>IFERROR(V168/W168,"")</f>
        <v>10.013888888888081</v>
      </c>
      <c r="Y168" s="162">
        <f>SUM(Y149,Y167)</f>
        <v>762.94100000000003</v>
      </c>
      <c r="Z168" s="149">
        <f>SUM(Z149,Z167)</f>
        <v>0</v>
      </c>
      <c r="AA168" s="157" t="str">
        <f t="shared" si="102"/>
        <v/>
      </c>
      <c r="AO168" s="342">
        <f>SUM(AO149,AO167)</f>
        <v>0</v>
      </c>
      <c r="AP168" s="342">
        <f>SUM(AP149,AP167)</f>
        <v>762.94100000000003</v>
      </c>
      <c r="AQ168" s="456"/>
    </row>
    <row r="169" spans="3:44" ht="17.45" customHeight="1">
      <c r="E169" s="343" t="e">
        <f>IF(E168=#REF!,"","CHECK")</f>
        <v>#REF!</v>
      </c>
      <c r="F169" s="344" t="e">
        <f>IF(F168=#REF!,"","CHECK")</f>
        <v>#REF!</v>
      </c>
      <c r="G169" s="344" t="e">
        <f>IF(G168=#REF!,"","CHECK")</f>
        <v>#REF!</v>
      </c>
      <c r="P169" s="134" t="s">
        <v>77</v>
      </c>
      <c r="Q169" s="126"/>
      <c r="R169" s="126"/>
      <c r="S169" s="126" t="str">
        <f>IFERROR(Q169/R169,"")</f>
        <v/>
      </c>
      <c r="T169" s="122"/>
      <c r="U169" s="134" t="s">
        <v>77</v>
      </c>
      <c r="V169" s="126"/>
      <c r="W169" s="111"/>
      <c r="X169" s="165" t="str">
        <f t="shared" si="92"/>
        <v/>
      </c>
      <c r="Y169" s="163"/>
      <c r="Z169" s="126"/>
      <c r="AA169" s="158" t="str">
        <f t="shared" si="102"/>
        <v/>
      </c>
      <c r="AO169" s="335"/>
      <c r="AP169" s="336">
        <f t="shared" ref="AP169:AP170" si="104">Y169-AO169</f>
        <v>0</v>
      </c>
      <c r="AQ169" s="452"/>
    </row>
    <row r="170" spans="3:44" ht="17.45" customHeight="1" thickBot="1">
      <c r="U170" s="345" t="s">
        <v>109</v>
      </c>
      <c r="V170" s="345"/>
      <c r="W170" s="328"/>
      <c r="X170" s="346"/>
      <c r="Y170" s="346">
        <f>$F$185/1000</f>
        <v>0</v>
      </c>
      <c r="Z170" s="347"/>
      <c r="AA170" s="200" t="str">
        <f>IFERROR(IF(Y170=0,"",Y170/Z170),"")</f>
        <v/>
      </c>
      <c r="AO170" s="335"/>
      <c r="AP170" s="336">
        <f t="shared" si="104"/>
        <v>0</v>
      </c>
      <c r="AQ170" s="452"/>
    </row>
    <row r="171" spans="3:44" ht="17.45" customHeight="1" thickBot="1">
      <c r="C171" s="1099" t="s">
        <v>173</v>
      </c>
      <c r="D171" s="1100" t="s">
        <v>52</v>
      </c>
      <c r="E171" s="1100"/>
      <c r="F171" s="1100"/>
      <c r="G171" s="1100" t="s">
        <v>73</v>
      </c>
      <c r="H171" s="1100" t="s">
        <v>75</v>
      </c>
      <c r="I171" s="1100" t="s">
        <v>95</v>
      </c>
      <c r="J171" s="119"/>
      <c r="K171" s="1099" t="s">
        <v>172</v>
      </c>
      <c r="L171" s="1102" t="s">
        <v>124</v>
      </c>
      <c r="M171" s="1102"/>
      <c r="N171" s="1102"/>
      <c r="O171" s="1102" t="s">
        <v>75</v>
      </c>
      <c r="P171" s="1102"/>
      <c r="Q171" s="1102"/>
      <c r="R171" s="1097" t="s">
        <v>72</v>
      </c>
      <c r="S171" s="1097" t="s">
        <v>73</v>
      </c>
      <c r="T171" s="1097" t="s">
        <v>74</v>
      </c>
      <c r="U171" s="262" t="s">
        <v>110</v>
      </c>
      <c r="V171" s="262"/>
      <c r="W171" s="334"/>
      <c r="X171" s="346"/>
      <c r="Y171" s="346">
        <f>SUM(Y168,Y169,Y170)</f>
        <v>762.94100000000003</v>
      </c>
      <c r="Z171" s="348">
        <f>SUM(Z168,Z170)</f>
        <v>0</v>
      </c>
      <c r="AA171" s="201" t="str">
        <f t="shared" si="102"/>
        <v/>
      </c>
      <c r="AO171" s="342">
        <f>SUM(AO168,AO170)</f>
        <v>0</v>
      </c>
      <c r="AP171" s="342">
        <f>SUM(AP168,AP170)</f>
        <v>762.94100000000003</v>
      </c>
      <c r="AQ171" s="456"/>
    </row>
    <row r="172" spans="3:44" ht="17.45" customHeight="1">
      <c r="C172" s="1099"/>
      <c r="D172" s="233" t="s">
        <v>55</v>
      </c>
      <c r="E172" s="233" t="s">
        <v>56</v>
      </c>
      <c r="F172" s="233" t="s">
        <v>57</v>
      </c>
      <c r="G172" s="1100"/>
      <c r="H172" s="1100"/>
      <c r="I172" s="1100"/>
      <c r="J172" s="119"/>
      <c r="K172" s="1099"/>
      <c r="L172" s="235" t="s">
        <v>125</v>
      </c>
      <c r="M172" s="235" t="s">
        <v>126</v>
      </c>
      <c r="N172" s="235" t="s">
        <v>123</v>
      </c>
      <c r="O172" s="235" t="s">
        <v>125</v>
      </c>
      <c r="P172" s="235" t="s">
        <v>126</v>
      </c>
      <c r="Q172" s="235" t="s">
        <v>123</v>
      </c>
      <c r="R172" s="1098"/>
      <c r="S172" s="1098"/>
      <c r="T172" s="1098"/>
    </row>
    <row r="173" spans="3:44" ht="17.45" customHeight="1">
      <c r="C173" s="139" t="s">
        <v>81</v>
      </c>
      <c r="D173" s="111">
        <f>SUMIF($S$12:$S$109,C173,$M$12:$M$109)</f>
        <v>0</v>
      </c>
      <c r="E173" s="111">
        <f>SUMIF($S$12:$S$109,C173,$N$12:$N$109)</f>
        <v>309087</v>
      </c>
      <c r="F173" s="111">
        <f>D173+E173</f>
        <v>309087</v>
      </c>
      <c r="G173" s="111">
        <f>SUMIF($S$12:$S$109,C173,$BA$12:$BA$109)</f>
        <v>5</v>
      </c>
      <c r="H173" s="111">
        <f t="shared" ref="H173:H183" si="105">F173/1000</f>
        <v>309.08699999999999</v>
      </c>
      <c r="I173" s="111"/>
      <c r="J173" s="119"/>
      <c r="K173" s="139" t="s">
        <v>117</v>
      </c>
      <c r="L173" s="202">
        <f>SUMIF($R$12:$R$109,K173,$M$12:$M$109)</f>
        <v>0</v>
      </c>
      <c r="M173" s="202">
        <f>SUMIF($R$12:$R$109,K173,$N$12:$N$109)</f>
        <v>0</v>
      </c>
      <c r="N173" s="202">
        <f>L173+M173</f>
        <v>0</v>
      </c>
      <c r="O173" s="202">
        <f>L173/1000</f>
        <v>0</v>
      </c>
      <c r="P173" s="202">
        <f>M173/1000</f>
        <v>0</v>
      </c>
      <c r="Q173" s="202">
        <f>O173+P173</f>
        <v>0</v>
      </c>
      <c r="R173" s="358">
        <f>SUMIF($R$12:$R$109,K173,$J$12:$J$109)</f>
        <v>0</v>
      </c>
      <c r="S173" s="111">
        <f>SUMIF($R$12:$R$109,K173,$BA$12:$BA$109)</f>
        <v>0</v>
      </c>
      <c r="T173" s="126" t="str">
        <f>IFERROR(R173/S173,"")</f>
        <v/>
      </c>
      <c r="W173" s="241" t="s">
        <v>157</v>
      </c>
      <c r="X173" s="237">
        <f>IFERROR(($Q$151+$Q$161)/($R$151+$R$161),0)</f>
        <v>0</v>
      </c>
      <c r="Y173" s="236">
        <f>Y151+Y161</f>
        <v>0</v>
      </c>
    </row>
    <row r="174" spans="3:44" ht="17.45" customHeight="1">
      <c r="C174" s="139" t="s">
        <v>82</v>
      </c>
      <c r="D174" s="111">
        <f>SUMIF($S$12:$S$109,C174,$M$12:$M$109)</f>
        <v>0</v>
      </c>
      <c r="E174" s="111">
        <f>SUMIF($S$12:$S$109,C174,$N$12:$N$109)</f>
        <v>46000</v>
      </c>
      <c r="F174" s="111">
        <f>D174+E174</f>
        <v>46000</v>
      </c>
      <c r="G174" s="111">
        <f>SUMIF($S$12:$S$109,C174,$BA$12:$BA$109)</f>
        <v>1</v>
      </c>
      <c r="H174" s="111">
        <f t="shared" si="105"/>
        <v>46</v>
      </c>
      <c r="I174" s="111"/>
      <c r="J174" s="119"/>
      <c r="K174" s="139" t="s">
        <v>118</v>
      </c>
      <c r="L174" s="202">
        <f>SUMIF($R$12:$R$109,K174,$M$12:$M$109)</f>
        <v>0</v>
      </c>
      <c r="M174" s="202">
        <f>SUMIF($R$12:$R$109,K174,$N$12:$N$109)</f>
        <v>0</v>
      </c>
      <c r="N174" s="202">
        <f t="shared" ref="N174:N178" si="106">L174+M174</f>
        <v>0</v>
      </c>
      <c r="O174" s="202">
        <f t="shared" ref="O174:P180" si="107">L174/1000</f>
        <v>0</v>
      </c>
      <c r="P174" s="202">
        <f t="shared" si="107"/>
        <v>0</v>
      </c>
      <c r="Q174" s="202">
        <f t="shared" ref="Q174:Q180" si="108">O174+P174</f>
        <v>0</v>
      </c>
      <c r="R174" s="358">
        <f>SUMIF($R$12:$R$109,K174,$J$12:$J$109)</f>
        <v>0</v>
      </c>
      <c r="S174" s="111">
        <f>SUMIF($R$12:$R$109,K174,$BA$12:$BA$109)</f>
        <v>0</v>
      </c>
      <c r="T174" s="126" t="str">
        <f t="shared" ref="T174:T179" si="109">IFERROR(R174/S174,"")</f>
        <v/>
      </c>
    </row>
    <row r="175" spans="3:44" ht="17.45" customHeight="1">
      <c r="C175" s="139" t="s">
        <v>83</v>
      </c>
      <c r="D175" s="111">
        <f>SUMIF($S$12:$S$109,C175,$M$12:$M$109)</f>
        <v>0</v>
      </c>
      <c r="E175" s="111">
        <f>SUMIF($S$12:$S$109,C175,$N$12:$N$109)</f>
        <v>157722</v>
      </c>
      <c r="F175" s="111">
        <f t="shared" ref="F175:F183" si="110">D175+E175</f>
        <v>157722</v>
      </c>
      <c r="G175" s="111">
        <f>SUMIF($S$12:$S$109,C175,$BA$12:$BA$109)</f>
        <v>1</v>
      </c>
      <c r="H175" s="111">
        <f t="shared" si="105"/>
        <v>157.72200000000001</v>
      </c>
      <c r="I175" s="111"/>
      <c r="J175" s="119"/>
      <c r="K175" s="139" t="s">
        <v>119</v>
      </c>
      <c r="L175" s="202">
        <f>SUMIF($R$12:$R$109,K175,$M$12:$M$109)</f>
        <v>0</v>
      </c>
      <c r="M175" s="202">
        <f>SUMIF($R$12:$R$109,K175,$N$12:$N$109)</f>
        <v>0</v>
      </c>
      <c r="N175" s="202">
        <f t="shared" si="106"/>
        <v>0</v>
      </c>
      <c r="O175" s="202">
        <f t="shared" si="107"/>
        <v>0</v>
      </c>
      <c r="P175" s="202">
        <f t="shared" si="107"/>
        <v>0</v>
      </c>
      <c r="Q175" s="202">
        <f t="shared" si="108"/>
        <v>0</v>
      </c>
      <c r="R175" s="358">
        <f>SUMIF($R$12:$R$109,K175,$J$12:$J$109)</f>
        <v>0</v>
      </c>
      <c r="S175" s="111">
        <f>SUMIF($R$12:$R$109,K175,$BA$12:$BA$109)</f>
        <v>0</v>
      </c>
      <c r="T175" s="126" t="str">
        <f t="shared" si="109"/>
        <v/>
      </c>
    </row>
    <row r="176" spans="3:44" ht="17.45" customHeight="1">
      <c r="C176" s="139" t="s">
        <v>84</v>
      </c>
      <c r="D176" s="111">
        <f>SUMIF($S$12:$S$109,C176,$M$12:$M$109)</f>
        <v>0</v>
      </c>
      <c r="E176" s="111">
        <f>SUMIF($S$12:$S$109,C176,$N$12:$N$109)</f>
        <v>0</v>
      </c>
      <c r="F176" s="111">
        <f t="shared" si="110"/>
        <v>0</v>
      </c>
      <c r="G176" s="111">
        <f>SUMIF($S$12:$S$109,C176,$BA$12:$BA$109)</f>
        <v>0</v>
      </c>
      <c r="H176" s="111">
        <f t="shared" si="105"/>
        <v>0</v>
      </c>
      <c r="I176" s="111"/>
      <c r="J176" s="119"/>
      <c r="K176" s="139" t="s">
        <v>113</v>
      </c>
      <c r="L176" s="202">
        <f>SUMIF($R$12:$R$109,K176,$M$12:$M$109)</f>
        <v>0</v>
      </c>
      <c r="M176" s="202">
        <f>SUMIF($R$12:$R$109,K176,$N$12:$N$109)</f>
        <v>0</v>
      </c>
      <c r="N176" s="202">
        <f t="shared" si="106"/>
        <v>0</v>
      </c>
      <c r="O176" s="202">
        <f t="shared" si="107"/>
        <v>0</v>
      </c>
      <c r="P176" s="202">
        <f t="shared" si="107"/>
        <v>0</v>
      </c>
      <c r="Q176" s="202">
        <f t="shared" si="108"/>
        <v>0</v>
      </c>
      <c r="R176" s="358">
        <f>SUMIF($R$12:$R$109,K176,$J$12:$J$109)</f>
        <v>0</v>
      </c>
      <c r="S176" s="111">
        <f>SUMIF($R$12:$R$109,K176,$BA$12:$BA$109)</f>
        <v>0</v>
      </c>
      <c r="T176" s="126" t="str">
        <f t="shared" si="109"/>
        <v/>
      </c>
    </row>
    <row r="177" spans="3:44" ht="17.45" customHeight="1">
      <c r="C177" s="139" t="s">
        <v>223</v>
      </c>
      <c r="D177" s="111">
        <f>SUMIF($S$12:$S$109,C177,$M$12:$M$109)</f>
        <v>0</v>
      </c>
      <c r="E177" s="111">
        <f>SUMIF($S$12:$S$109,C177,$N$12:$N$109)</f>
        <v>100147</v>
      </c>
      <c r="F177" s="111">
        <f t="shared" si="110"/>
        <v>100147</v>
      </c>
      <c r="G177" s="111">
        <f>SUMIF($S$12:$S$109,C177,$BA$12:$BA$109)</f>
        <v>0</v>
      </c>
      <c r="H177" s="111">
        <f t="shared" si="105"/>
        <v>100.14700000000001</v>
      </c>
      <c r="I177" s="111"/>
      <c r="J177" s="119"/>
      <c r="K177" s="139" t="s">
        <v>120</v>
      </c>
      <c r="L177" s="202">
        <f>SUMIF($R$12:$R$109,K177,$M$12:$M$109)</f>
        <v>0</v>
      </c>
      <c r="M177" s="202">
        <f>SUMIF($R$12:$R$109,K177,$N$12:$N$109)</f>
        <v>0</v>
      </c>
      <c r="N177" s="202">
        <f t="shared" si="106"/>
        <v>0</v>
      </c>
      <c r="O177" s="202">
        <f t="shared" si="107"/>
        <v>0</v>
      </c>
      <c r="P177" s="202">
        <f t="shared" si="107"/>
        <v>0</v>
      </c>
      <c r="Q177" s="202">
        <f t="shared" si="108"/>
        <v>0</v>
      </c>
      <c r="R177" s="358">
        <f>SUMIF($R$12:$R$109,K177,$J$12:$J$109)</f>
        <v>0</v>
      </c>
      <c r="S177" s="111">
        <f>SUMIF($R$12:$R$109,K177,$BA$12:$BA$109)</f>
        <v>0</v>
      </c>
      <c r="T177" s="126" t="str">
        <f t="shared" si="109"/>
        <v/>
      </c>
      <c r="U177" s="57"/>
      <c r="V177" s="57"/>
      <c r="W177" s="57"/>
      <c r="X177" s="57"/>
      <c r="Y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</row>
    <row r="178" spans="3:44" ht="17.45" customHeight="1">
      <c r="C178" s="139" t="s">
        <v>158</v>
      </c>
      <c r="D178" s="111">
        <f>SUMIF($S$12:$S$109,C178,$M$12:$M$109)</f>
        <v>0</v>
      </c>
      <c r="E178" s="111">
        <f>SUMIF($S$12:$S$109,C178,$N$12:$N$109)</f>
        <v>0</v>
      </c>
      <c r="F178" s="111">
        <f t="shared" si="110"/>
        <v>0</v>
      </c>
      <c r="G178" s="111">
        <f>SUMIF($S$12:$S$109,C178,$BA$12:$BA$109)</f>
        <v>0</v>
      </c>
      <c r="H178" s="111">
        <f t="shared" si="105"/>
        <v>0</v>
      </c>
      <c r="I178" s="111"/>
      <c r="J178" s="119"/>
      <c r="K178" s="139" t="s">
        <v>121</v>
      </c>
      <c r="L178" s="202">
        <f>SUMIF($R$12:$R$109,K178,$M$12:$M$109)</f>
        <v>0</v>
      </c>
      <c r="M178" s="202">
        <f>SUMIF($R$12:$R$109,K178,$N$12:$N$109)</f>
        <v>0</v>
      </c>
      <c r="N178" s="202">
        <f t="shared" si="106"/>
        <v>0</v>
      </c>
      <c r="O178" s="202">
        <f t="shared" si="107"/>
        <v>0</v>
      </c>
      <c r="P178" s="202">
        <f t="shared" si="107"/>
        <v>0</v>
      </c>
      <c r="Q178" s="202">
        <f t="shared" si="108"/>
        <v>0</v>
      </c>
      <c r="R178" s="358">
        <f>SUMIF($R$12:$R$109,K178,$J$12:$J$109)</f>
        <v>0</v>
      </c>
      <c r="S178" s="111">
        <f>SUMIF($R$12:$R$109,K178,$BA$12:$BA$109)</f>
        <v>0</v>
      </c>
      <c r="T178" s="126" t="str">
        <f>IFERROR(R178/S178,"")</f>
        <v/>
      </c>
      <c r="U178" s="57"/>
      <c r="V178" s="57"/>
      <c r="W178" s="57"/>
      <c r="X178" s="57"/>
      <c r="Y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</row>
    <row r="179" spans="3:44" ht="17.45" customHeight="1">
      <c r="C179" s="139" t="s">
        <v>518</v>
      </c>
      <c r="D179" s="111">
        <f>SUMIF($S$12:$S$109,C179,$M$12:$M$109)</f>
        <v>0</v>
      </c>
      <c r="E179" s="111">
        <f>SUMIF($S$12:$S$109,C179,$N$12:$N$109)</f>
        <v>54970</v>
      </c>
      <c r="F179" s="111">
        <f t="shared" si="110"/>
        <v>54970</v>
      </c>
      <c r="G179" s="111">
        <f>SUMIF($S$12:$S$109,C179,$BA$12:$BA$109)</f>
        <v>0</v>
      </c>
      <c r="H179" s="111">
        <f t="shared" si="105"/>
        <v>54.97</v>
      </c>
      <c r="I179" s="111"/>
      <c r="J179" s="119"/>
      <c r="K179" s="139" t="s">
        <v>122</v>
      </c>
      <c r="L179" s="202">
        <f>SUMIF($R$12:$R$109,K179,$M$12:$M$109)</f>
        <v>0</v>
      </c>
      <c r="M179" s="202">
        <f>SUMIF($R$12:$R$109,K179,$N$12:$N$109)</f>
        <v>762941</v>
      </c>
      <c r="N179" s="202">
        <f>L179+M179</f>
        <v>762941</v>
      </c>
      <c r="O179" s="202">
        <f t="shared" si="107"/>
        <v>0</v>
      </c>
      <c r="P179" s="202">
        <f t="shared" si="107"/>
        <v>762.94100000000003</v>
      </c>
      <c r="Q179" s="202">
        <f t="shared" si="108"/>
        <v>762.94100000000003</v>
      </c>
      <c r="R179" s="358">
        <f>SUMIF($R$12:$R$109,K179,$J$12:$J$109)</f>
        <v>90.124999999992724</v>
      </c>
      <c r="S179" s="111">
        <f>SUMIF($R$12:$R$109,K179,$BA$12:$BA$109)</f>
        <v>9</v>
      </c>
      <c r="T179" s="126">
        <f t="shared" si="109"/>
        <v>10.013888888888081</v>
      </c>
      <c r="U179" s="57"/>
      <c r="V179" s="57"/>
      <c r="W179" s="57"/>
      <c r="X179" s="57"/>
      <c r="Y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</row>
    <row r="180" spans="3:44" ht="17.45" customHeight="1">
      <c r="C180" s="139" t="s">
        <v>96</v>
      </c>
      <c r="D180" s="111">
        <f>SUMIF($S$12:$S$109,C180,$M$12:$M$109)</f>
        <v>0</v>
      </c>
      <c r="E180" s="111">
        <f>SUMIF($S$12:$S$109,C180,$N$12:$N$109)</f>
        <v>0</v>
      </c>
      <c r="F180" s="111">
        <f t="shared" si="110"/>
        <v>0</v>
      </c>
      <c r="G180" s="111">
        <f>SUMIF($S$12:$S$109,C180,$BA$12:$BA$109)</f>
        <v>0</v>
      </c>
      <c r="H180" s="111">
        <f t="shared" si="105"/>
        <v>0</v>
      </c>
      <c r="I180" s="142" t="s">
        <v>30</v>
      </c>
      <c r="J180" s="119"/>
      <c r="K180" s="139" t="s">
        <v>162</v>
      </c>
      <c r="L180" s="202">
        <f>SUMIF($R$12:$R$109,K180,$M$12:$M$109)</f>
        <v>0</v>
      </c>
      <c r="M180" s="202">
        <f>SUMIF($R$12:$R$109,K180,$N$12:$N$109)</f>
        <v>0</v>
      </c>
      <c r="N180" s="202">
        <f>L180+M180</f>
        <v>0</v>
      </c>
      <c r="O180" s="202">
        <f t="shared" si="107"/>
        <v>0</v>
      </c>
      <c r="P180" s="202">
        <f t="shared" si="107"/>
        <v>0</v>
      </c>
      <c r="Q180" s="202">
        <f t="shared" si="108"/>
        <v>0</v>
      </c>
      <c r="R180" s="358">
        <f>SUMIF($R$12:$R$109,K180,$J$12:$J$109)</f>
        <v>0</v>
      </c>
      <c r="S180" s="111">
        <f>SUMIF($R$12:$R$109,K180,$BA$12:$BA$109)</f>
        <v>0</v>
      </c>
      <c r="T180" s="126" t="str">
        <f>IFERROR(R180/S180,"")</f>
        <v/>
      </c>
      <c r="U180" s="57"/>
      <c r="V180" s="57"/>
      <c r="W180" s="57"/>
      <c r="X180" s="57"/>
      <c r="Y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</row>
    <row r="181" spans="3:44" ht="17.45" customHeight="1">
      <c r="C181" s="139" t="s">
        <v>86</v>
      </c>
      <c r="D181" s="111">
        <f>SUMIF($S$12:$S$109,C181,$M$12:$M$109)</f>
        <v>0</v>
      </c>
      <c r="E181" s="111">
        <f>SUMIF($S$12:$S$109,C181,$N$12:$N$109)</f>
        <v>0</v>
      </c>
      <c r="F181" s="111">
        <f t="shared" si="110"/>
        <v>0</v>
      </c>
      <c r="G181" s="111">
        <f>SUMIF($S$12:$S$109,C181,$BA$12:$BA$109)</f>
        <v>0</v>
      </c>
      <c r="H181" s="111">
        <f t="shared" si="105"/>
        <v>0</v>
      </c>
      <c r="I181" s="111"/>
      <c r="J181" s="119"/>
      <c r="K181" s="232" t="s">
        <v>123</v>
      </c>
      <c r="L181" s="203">
        <f>SUM(L173:L180)</f>
        <v>0</v>
      </c>
      <c r="M181" s="203">
        <f t="shared" ref="M181:Q181" si="111">SUM(M173:M180)</f>
        <v>762941</v>
      </c>
      <c r="N181" s="203">
        <f t="shared" si="111"/>
        <v>762941</v>
      </c>
      <c r="O181" s="203">
        <f t="shared" si="111"/>
        <v>0</v>
      </c>
      <c r="P181" s="203">
        <f t="shared" si="111"/>
        <v>762.94100000000003</v>
      </c>
      <c r="Q181" s="203">
        <f t="shared" si="111"/>
        <v>762.94100000000003</v>
      </c>
      <c r="R181" s="359">
        <f>SUM(R173:R180)</f>
        <v>90.124999999992724</v>
      </c>
      <c r="S181" s="359">
        <f>SUM(S173:S180)</f>
        <v>9</v>
      </c>
      <c r="T181" s="359">
        <f>IFERROR(R181/S181,"")</f>
        <v>10.013888888888081</v>
      </c>
      <c r="U181" s="57"/>
      <c r="V181" s="57"/>
      <c r="W181" s="57"/>
      <c r="X181" s="57"/>
      <c r="Y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</row>
    <row r="182" spans="3:44" ht="17.45" customHeight="1">
      <c r="C182" s="139" t="s">
        <v>169</v>
      </c>
      <c r="D182" s="111">
        <f>SUMIF($S$12:$S$109,C182,$M$12:$M$109)</f>
        <v>0</v>
      </c>
      <c r="E182" s="111">
        <f>SUMIF($S$12:$S$109,C182,$N$12:$N$109)</f>
        <v>0</v>
      </c>
      <c r="F182" s="111">
        <f t="shared" si="110"/>
        <v>0</v>
      </c>
      <c r="G182" s="111">
        <f>SUMIF($S$12:$S$109,C182,$BA$12:$BA$109)</f>
        <v>0</v>
      </c>
      <c r="H182" s="111">
        <f t="shared" si="105"/>
        <v>0</v>
      </c>
      <c r="I182" s="111"/>
      <c r="J182" s="119"/>
      <c r="L182" s="343" t="str">
        <f>IF(L181=E168,"","CHECK")</f>
        <v/>
      </c>
      <c r="M182" s="343" t="str">
        <f>IF(M181=F168,"","CHECK")</f>
        <v/>
      </c>
      <c r="N182" s="343" t="str">
        <f>IF(N181=G168,"","CHECK")</f>
        <v/>
      </c>
      <c r="T182" s="343" t="str">
        <f>IF(T181=J194,"","CHECK")</f>
        <v>CHECK</v>
      </c>
      <c r="U182" s="57"/>
      <c r="V182" s="57"/>
      <c r="W182" s="57"/>
      <c r="X182" s="57"/>
      <c r="Y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</row>
    <row r="183" spans="3:44" ht="17.45" customHeight="1">
      <c r="C183" s="139" t="s">
        <v>155</v>
      </c>
      <c r="D183" s="111">
        <f>SUMIF($S$12:$S$109,C183,$M$12:$M$109)</f>
        <v>0</v>
      </c>
      <c r="E183" s="111">
        <f>SUMIF($S$12:$S$109,C183,$N$12:$N$109)</f>
        <v>0</v>
      </c>
      <c r="F183" s="111">
        <f t="shared" si="110"/>
        <v>0</v>
      </c>
      <c r="G183" s="111">
        <f>SUMIF($S$12:$S$109,C183,$BA$12:$BA$109)</f>
        <v>0</v>
      </c>
      <c r="H183" s="111">
        <f t="shared" si="105"/>
        <v>0</v>
      </c>
      <c r="I183" s="111"/>
      <c r="J183" s="119"/>
      <c r="L183" s="239" t="s">
        <v>754</v>
      </c>
      <c r="M183" s="283" t="s">
        <v>755</v>
      </c>
      <c r="N183" s="384">
        <f>1550000-N179</f>
        <v>787059</v>
      </c>
      <c r="Q183" s="360" t="s">
        <v>161</v>
      </c>
      <c r="R183" s="359">
        <f>SUM(R173:R178)</f>
        <v>0</v>
      </c>
      <c r="S183" s="359">
        <f>SUM(S173:S178)</f>
        <v>0</v>
      </c>
      <c r="T183" s="359" t="str">
        <f>IFERROR(R183/S183,"")</f>
        <v/>
      </c>
      <c r="U183" s="57"/>
      <c r="V183" s="57"/>
      <c r="W183" s="57"/>
      <c r="X183" s="57"/>
      <c r="Y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</row>
    <row r="184" spans="3:44" ht="17.45" customHeight="1">
      <c r="C184" s="113" t="s">
        <v>61</v>
      </c>
      <c r="D184" s="114">
        <f>SUM(D171:D183)</f>
        <v>0</v>
      </c>
      <c r="E184" s="114">
        <f>SUM(E173:E183)</f>
        <v>667926</v>
      </c>
      <c r="F184" s="114">
        <f>SUM(F173:F183)</f>
        <v>667926</v>
      </c>
      <c r="G184" s="114">
        <f>SUM(G173:G183)</f>
        <v>7</v>
      </c>
      <c r="H184" s="114">
        <f>SUM(H173:H183)</f>
        <v>667.92600000000004</v>
      </c>
      <c r="I184" s="114"/>
      <c r="J184" s="119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</row>
    <row r="185" spans="3:44" ht="17.45" customHeight="1" thickBot="1">
      <c r="C185" s="151" t="s">
        <v>87</v>
      </c>
      <c r="D185" s="152"/>
      <c r="E185" s="152"/>
      <c r="F185" s="153"/>
      <c r="G185" s="143"/>
      <c r="H185" s="144">
        <f>F185/1000</f>
        <v>0</v>
      </c>
      <c r="I185" s="145"/>
      <c r="J185" s="119"/>
      <c r="U185" s="57"/>
      <c r="V185" s="57"/>
      <c r="W185" s="57"/>
      <c r="X185" s="57"/>
      <c r="Y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</row>
    <row r="186" spans="3:44" ht="17.45" customHeight="1" thickTop="1" thickBot="1">
      <c r="C186" s="151" t="s">
        <v>57</v>
      </c>
      <c r="D186" s="122"/>
      <c r="E186" s="122"/>
      <c r="F186" s="140">
        <f>SUM(F184:F185)</f>
        <v>667926</v>
      </c>
      <c r="G186" s="122"/>
      <c r="H186" s="199">
        <f>SUM(H184:H185)</f>
        <v>667.92600000000004</v>
      </c>
      <c r="I186" s="344" t="str">
        <f>IF(H186=Y171,"","CHECK")</f>
        <v>CHECK</v>
      </c>
      <c r="J186" s="119"/>
      <c r="L186" s="221"/>
      <c r="U186" s="57"/>
      <c r="V186" s="57"/>
      <c r="W186" s="57"/>
      <c r="X186" s="57"/>
      <c r="Y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</row>
    <row r="187" spans="3:44" ht="17.45" customHeight="1" thickTop="1">
      <c r="C187" s="137"/>
      <c r="D187" s="122"/>
      <c r="E187" s="122"/>
      <c r="F187" s="154"/>
      <c r="G187" s="122"/>
      <c r="H187" s="122"/>
      <c r="I187" s="137"/>
      <c r="J187" s="119"/>
      <c r="U187" s="57"/>
      <c r="V187" s="57"/>
      <c r="W187" s="57"/>
      <c r="X187" s="57"/>
      <c r="Y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</row>
    <row r="188" spans="3:44" ht="17.45" customHeight="1">
      <c r="C188" s="1099" t="s">
        <v>174</v>
      </c>
      <c r="D188" s="1100" t="s">
        <v>52</v>
      </c>
      <c r="E188" s="1100"/>
      <c r="F188" s="1100"/>
      <c r="G188" s="1100" t="s">
        <v>73</v>
      </c>
      <c r="H188" s="1100" t="s">
        <v>75</v>
      </c>
      <c r="I188" s="1101" t="s">
        <v>72</v>
      </c>
      <c r="J188" s="1101"/>
      <c r="U188" s="57"/>
      <c r="V188" s="57"/>
      <c r="W188" s="57"/>
      <c r="X188" s="57"/>
      <c r="Y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</row>
    <row r="189" spans="3:44" ht="17.45" customHeight="1">
      <c r="C189" s="1099"/>
      <c r="D189" s="233" t="s">
        <v>55</v>
      </c>
      <c r="E189" s="233" t="s">
        <v>56</v>
      </c>
      <c r="F189" s="233" t="s">
        <v>57</v>
      </c>
      <c r="G189" s="1100"/>
      <c r="H189" s="1100"/>
      <c r="I189" s="234" t="s">
        <v>89</v>
      </c>
      <c r="J189" s="234" t="s">
        <v>90</v>
      </c>
      <c r="U189" s="57"/>
      <c r="V189" s="57"/>
      <c r="W189" s="57"/>
      <c r="X189" s="57"/>
      <c r="Y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</row>
    <row r="190" spans="3:44" ht="17.45" customHeight="1">
      <c r="C190" s="138" t="s">
        <v>91</v>
      </c>
      <c r="D190" s="111">
        <f>SUMIF($W$12:$W$109,C190,$M$12:$M$109)</f>
        <v>0</v>
      </c>
      <c r="E190" s="111">
        <f>SUMIF($W$12:$W$109,C190,$N$12:$N$109)</f>
        <v>0</v>
      </c>
      <c r="F190" s="111">
        <f>D190+E190</f>
        <v>0</v>
      </c>
      <c r="G190" s="111">
        <f>SUMIF($W$12:$W$109,C190,$BA$12:$BA$109)</f>
        <v>0</v>
      </c>
      <c r="H190" s="111">
        <f>F190/1000</f>
        <v>0</v>
      </c>
      <c r="I190" s="126">
        <f>SUMIF($W$12:$W$109,C190,$J$12:$J$109)</f>
        <v>0</v>
      </c>
      <c r="J190" s="141" t="str">
        <f>IFERROR(I190/G190,"")</f>
        <v/>
      </c>
      <c r="U190" s="57"/>
      <c r="V190" s="57"/>
      <c r="W190" s="57"/>
      <c r="X190" s="57"/>
      <c r="Y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</row>
    <row r="191" spans="3:44" ht="17.45" customHeight="1">
      <c r="C191" s="138" t="s">
        <v>92</v>
      </c>
      <c r="D191" s="111">
        <f>SUMIF($W$12:$W$109,C191,$M$12:$M$109)</f>
        <v>0</v>
      </c>
      <c r="E191" s="111">
        <f>SUMIF($W$12:$W$109,C191,$N$12:$N$109)</f>
        <v>599216</v>
      </c>
      <c r="F191" s="111">
        <f t="shared" ref="F191:F193" si="112">D191+E191</f>
        <v>599216</v>
      </c>
      <c r="G191" s="111">
        <f>SUMIF($W$12:$W$109,C191,$BA$12:$BA$109)</f>
        <v>6</v>
      </c>
      <c r="H191" s="111">
        <f>F191/1000</f>
        <v>599.21600000000001</v>
      </c>
      <c r="I191" s="126">
        <f>SUMIF($W$12:$W$109,C191,$J$12:$J$109)</f>
        <v>62.545138888875954</v>
      </c>
      <c r="J191" s="141">
        <f>IFERROR(I191/G191,"")</f>
        <v>10.424189814812658</v>
      </c>
      <c r="U191" s="57"/>
      <c r="V191" s="57"/>
      <c r="W191" s="57"/>
      <c r="X191" s="57"/>
      <c r="Y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</row>
    <row r="192" spans="3:44" ht="17.45" customHeight="1">
      <c r="C192" s="138" t="s">
        <v>93</v>
      </c>
      <c r="D192" s="111">
        <f>SUMIF($W$12:$W$109,C192,$M$12:$M$109)</f>
        <v>0</v>
      </c>
      <c r="E192" s="111">
        <f>SUMIF($W$12:$W$109,C192,$N$12:$N$109)</f>
        <v>0</v>
      </c>
      <c r="F192" s="111">
        <f t="shared" si="112"/>
        <v>0</v>
      </c>
      <c r="G192" s="111">
        <f>SUMIF($W$12:$W$109,C192,$BA$12:$BA$109)</f>
        <v>0</v>
      </c>
      <c r="H192" s="111">
        <f>F192/1000</f>
        <v>0</v>
      </c>
      <c r="I192" s="126">
        <f>SUMIF($W$12:$W$109,C192,$J$12:$J$109)</f>
        <v>0</v>
      </c>
      <c r="J192" s="141" t="str">
        <f>IFERROR(I192/G192,"")</f>
        <v/>
      </c>
      <c r="U192" s="57"/>
      <c r="V192" s="57"/>
      <c r="W192" s="57"/>
      <c r="X192" s="57"/>
      <c r="Y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</row>
    <row r="193" spans="3:44" ht="17.45" customHeight="1" thickBot="1">
      <c r="C193" s="138" t="s">
        <v>94</v>
      </c>
      <c r="D193" s="111">
        <f>SUMIF($W$12:$W$109,C193,$M$12:$M$109)</f>
        <v>0</v>
      </c>
      <c r="E193" s="111">
        <f>SUMIF($W$12:$W$109,C193,$N$12:$N$109)</f>
        <v>117725</v>
      </c>
      <c r="F193" s="111">
        <f t="shared" si="112"/>
        <v>117725</v>
      </c>
      <c r="G193" s="111">
        <f>SUMIF($W$12:$W$109,C193,$BA$12:$BA$109)</f>
        <v>2</v>
      </c>
      <c r="H193" s="111">
        <f>F193/1000</f>
        <v>117.72499999999999</v>
      </c>
      <c r="I193" s="126">
        <f>SUMIF($W$12:$W$109,C193,$J$12:$J$109)</f>
        <v>10.21736111111386</v>
      </c>
      <c r="J193" s="190">
        <f>IFERROR(I193/G193,"")</f>
        <v>5.1086805555569299</v>
      </c>
      <c r="U193" s="57"/>
      <c r="V193" s="57"/>
      <c r="W193" s="57"/>
      <c r="X193" s="57"/>
      <c r="Y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</row>
    <row r="194" spans="3:44" ht="17.45" customHeight="1" thickBot="1">
      <c r="C194" s="113" t="s">
        <v>61</v>
      </c>
      <c r="D194" s="114">
        <f t="shared" ref="D194:I194" si="113">SUM(D190:D193)</f>
        <v>0</v>
      </c>
      <c r="E194" s="114">
        <f t="shared" si="113"/>
        <v>716941</v>
      </c>
      <c r="F194" s="114">
        <f t="shared" si="113"/>
        <v>716941</v>
      </c>
      <c r="G194" s="114">
        <f t="shared" si="113"/>
        <v>8</v>
      </c>
      <c r="H194" s="114">
        <f t="shared" si="113"/>
        <v>716.94100000000003</v>
      </c>
      <c r="I194" s="189">
        <f t="shared" si="113"/>
        <v>72.762499999989814</v>
      </c>
      <c r="J194" s="191">
        <f>IFERROR(I194/G194,"")</f>
        <v>9.0953124999987267</v>
      </c>
    </row>
  </sheetData>
  <mergeCells count="73">
    <mergeCell ref="I29:I30"/>
    <mergeCell ref="V29:V30"/>
    <mergeCell ref="W29:W30"/>
    <mergeCell ref="D60:D61"/>
    <mergeCell ref="C140:D141"/>
    <mergeCell ref="E140:G140"/>
    <mergeCell ref="H140:J140"/>
    <mergeCell ref="K140:M140"/>
    <mergeCell ref="C29:C30"/>
    <mergeCell ref="D29:D30"/>
    <mergeCell ref="E29:E30"/>
    <mergeCell ref="F29:F30"/>
    <mergeCell ref="G29:G30"/>
    <mergeCell ref="U29:U30"/>
    <mergeCell ref="H29:H30"/>
    <mergeCell ref="J29:J30"/>
    <mergeCell ref="K29:K30"/>
    <mergeCell ref="C2:AR2"/>
    <mergeCell ref="C12:C13"/>
    <mergeCell ref="D12:D13"/>
    <mergeCell ref="E12:E13"/>
    <mergeCell ref="F12:F13"/>
    <mergeCell ref="G12:G13"/>
    <mergeCell ref="H12:H13"/>
    <mergeCell ref="J12:J13"/>
    <mergeCell ref="K12:K13"/>
    <mergeCell ref="R12:R13"/>
    <mergeCell ref="S12:S13"/>
    <mergeCell ref="I12:I13"/>
    <mergeCell ref="N12:N13"/>
    <mergeCell ref="O12:O13"/>
    <mergeCell ref="U12:U13"/>
    <mergeCell ref="V12:V13"/>
    <mergeCell ref="AN12:AN13"/>
    <mergeCell ref="AO12:AO13"/>
    <mergeCell ref="AR12:AR13"/>
    <mergeCell ref="W12:W13"/>
    <mergeCell ref="X12:X13"/>
    <mergeCell ref="Y12:Y13"/>
    <mergeCell ref="Z12:Z13"/>
    <mergeCell ref="AA12:AA13"/>
    <mergeCell ref="X140:X141"/>
    <mergeCell ref="Y140:Y141"/>
    <mergeCell ref="Z140:Z141"/>
    <mergeCell ref="AA140:AA141"/>
    <mergeCell ref="C142:C149"/>
    <mergeCell ref="P140:P141"/>
    <mergeCell ref="Q140:Q141"/>
    <mergeCell ref="R140:R141"/>
    <mergeCell ref="S140:S141"/>
    <mergeCell ref="U140:U141"/>
    <mergeCell ref="V140:V141"/>
    <mergeCell ref="W140:W141"/>
    <mergeCell ref="C150:C167"/>
    <mergeCell ref="C168:D168"/>
    <mergeCell ref="C171:C172"/>
    <mergeCell ref="D171:F171"/>
    <mergeCell ref="G171:G172"/>
    <mergeCell ref="H171:H172"/>
    <mergeCell ref="I171:I172"/>
    <mergeCell ref="K171:K172"/>
    <mergeCell ref="L171:N171"/>
    <mergeCell ref="O171:Q171"/>
    <mergeCell ref="C188:C189"/>
    <mergeCell ref="D188:F188"/>
    <mergeCell ref="G188:G189"/>
    <mergeCell ref="H188:H189"/>
    <mergeCell ref="I188:J188"/>
    <mergeCell ref="R29:R30"/>
    <mergeCell ref="S29:S30"/>
    <mergeCell ref="R171:R172"/>
    <mergeCell ref="S171:S172"/>
    <mergeCell ref="T171:T172"/>
  </mergeCells>
  <phoneticPr fontId="10" type="noConversion"/>
  <conditionalFormatting sqref="R58:R59">
    <cfRule type="uniqueValues" dxfId="6" priority="3"/>
  </conditionalFormatting>
  <conditionalFormatting sqref="R60:R62">
    <cfRule type="uniqueValues" dxfId="5" priority="2"/>
  </conditionalFormatting>
  <conditionalFormatting sqref="R67:R68">
    <cfRule type="uniqueValues" dxfId="4" priority="1"/>
  </conditionalFormatting>
  <printOptions horizontalCentered="1"/>
  <pageMargins left="0.39370078740157483" right="0.39370078740157483" top="0.39370078740157483" bottom="0.39370078740157483" header="0.31496062992125984" footer="0.31496062992125984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X129"/>
  <sheetViews>
    <sheetView showGridLines="0" zoomScale="90" zoomScaleNormal="90" workbookViewId="0">
      <pane ySplit="3" topLeftCell="A24" activePane="bottomLeft" state="frozen"/>
      <selection activeCell="G166" sqref="G166"/>
      <selection pane="bottomLeft" activeCell="C151" sqref="C151:C152"/>
    </sheetView>
  </sheetViews>
  <sheetFormatPr defaultColWidth="8" defaultRowHeight="12" outlineLevelRow="1"/>
  <cols>
    <col min="1" max="1" width="1.75" style="1" customWidth="1"/>
    <col min="2" max="2" width="10.625" style="1" customWidth="1"/>
    <col min="3" max="3" width="16.625" style="1" customWidth="1"/>
    <col min="4" max="4" width="12.75" style="10" customWidth="1"/>
    <col min="5" max="8" width="11.125" style="10" customWidth="1"/>
    <col min="9" max="10" width="11.375" style="10" customWidth="1"/>
    <col min="11" max="12" width="9.375" style="11" customWidth="1"/>
    <col min="13" max="13" width="17.625" style="12" customWidth="1"/>
    <col min="14" max="14" width="8" style="13" bestFit="1" customWidth="1"/>
    <col min="15" max="15" width="7.375" style="14" bestFit="1" customWidth="1"/>
    <col min="16" max="17" width="8.75" style="15" customWidth="1"/>
    <col min="18" max="18" width="4.75" style="1" bestFit="1" customWidth="1"/>
    <col min="19" max="19" width="7.625" style="16" hidden="1" customWidth="1"/>
    <col min="20" max="20" width="9.75" style="16" customWidth="1"/>
    <col min="21" max="21" width="31.75" style="12" customWidth="1"/>
    <col min="22" max="22" width="8.875" style="1" bestFit="1" customWidth="1"/>
    <col min="23" max="23" width="8.75" style="1" bestFit="1" customWidth="1"/>
    <col min="24" max="24" width="10.375" style="1" bestFit="1" customWidth="1"/>
    <col min="25" max="16384" width="8" style="1"/>
  </cols>
  <sheetData>
    <row r="1" spans="1:24" ht="14.25" customHeight="1">
      <c r="A1" s="1" t="s">
        <v>171</v>
      </c>
    </row>
    <row r="2" spans="1:24" ht="26.25" customHeight="1">
      <c r="B2" s="1154" t="s">
        <v>177</v>
      </c>
      <c r="C2" s="1155"/>
      <c r="D2" s="1155"/>
      <c r="E2" s="1155"/>
      <c r="F2" s="1155"/>
      <c r="G2" s="1155"/>
      <c r="H2" s="1155"/>
      <c r="I2" s="1155"/>
      <c r="J2" s="1155"/>
      <c r="K2" s="1155"/>
      <c r="L2" s="1155"/>
      <c r="M2" s="1155"/>
      <c r="N2" s="1155"/>
      <c r="O2" s="1155"/>
      <c r="P2" s="1155"/>
      <c r="Q2" s="1155"/>
      <c r="R2" s="1155"/>
      <c r="S2" s="1155"/>
      <c r="T2" s="1155"/>
      <c r="U2" s="1156"/>
    </row>
    <row r="3" spans="1:24" s="5" customFormat="1" ht="27.75" thickBot="1">
      <c r="B3" s="17" t="s">
        <v>625</v>
      </c>
      <c r="C3" s="18" t="s">
        <v>1</v>
      </c>
      <c r="D3" s="19" t="s">
        <v>2</v>
      </c>
      <c r="E3" s="19" t="s">
        <v>3</v>
      </c>
      <c r="F3" s="19" t="s">
        <v>100</v>
      </c>
      <c r="G3" s="19" t="s">
        <v>4</v>
      </c>
      <c r="H3" s="19" t="s">
        <v>101</v>
      </c>
      <c r="I3" s="19" t="s">
        <v>5</v>
      </c>
      <c r="J3" s="19" t="s">
        <v>757</v>
      </c>
      <c r="K3" s="20" t="s">
        <v>6</v>
      </c>
      <c r="L3" s="20" t="s">
        <v>35</v>
      </c>
      <c r="M3" s="21" t="s">
        <v>7</v>
      </c>
      <c r="N3" s="21" t="s">
        <v>8</v>
      </c>
      <c r="O3" s="18" t="s">
        <v>9</v>
      </c>
      <c r="P3" s="22" t="s">
        <v>10</v>
      </c>
      <c r="Q3" s="22" t="s">
        <v>11</v>
      </c>
      <c r="R3" s="18" t="s">
        <v>12</v>
      </c>
      <c r="S3" s="23" t="s">
        <v>600</v>
      </c>
      <c r="T3" s="23" t="s">
        <v>435</v>
      </c>
      <c r="U3" s="24" t="s">
        <v>14</v>
      </c>
    </row>
    <row r="4" spans="1:24" ht="24.95" hidden="1" customHeight="1" thickBot="1">
      <c r="B4" s="197" t="s">
        <v>830</v>
      </c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6"/>
      <c r="X4" s="702"/>
    </row>
    <row r="5" spans="1:24" ht="15" hidden="1" customHeight="1">
      <c r="B5" s="649" t="s">
        <v>626</v>
      </c>
      <c r="C5" s="788" t="s">
        <v>607</v>
      </c>
      <c r="D5" s="789">
        <v>45984</v>
      </c>
      <c r="E5" s="789">
        <v>45989.555555555555</v>
      </c>
      <c r="F5" s="789">
        <v>45989.725694444445</v>
      </c>
      <c r="G5" s="789">
        <v>45993.013888888891</v>
      </c>
      <c r="H5" s="789">
        <v>45993.079861111109</v>
      </c>
      <c r="I5" s="700">
        <f>E5-D5</f>
        <v>5.5555555555547471</v>
      </c>
      <c r="J5" s="700">
        <f>G5-F5</f>
        <v>3.2881944444452529</v>
      </c>
      <c r="K5" s="791">
        <v>65455</v>
      </c>
      <c r="L5" s="791">
        <v>65455</v>
      </c>
      <c r="M5" s="792" t="s">
        <v>608</v>
      </c>
      <c r="N5" s="786"/>
      <c r="O5" s="796"/>
      <c r="P5" s="797"/>
      <c r="Q5" s="797"/>
      <c r="R5" s="796"/>
      <c r="S5" s="798"/>
      <c r="T5" s="798"/>
      <c r="U5" s="795"/>
    </row>
    <row r="6" spans="1:24" ht="15" hidden="1" customHeight="1">
      <c r="B6" s="649" t="s">
        <v>626</v>
      </c>
      <c r="C6" s="650" t="s">
        <v>763</v>
      </c>
      <c r="D6" s="651">
        <v>45991.337500000001</v>
      </c>
      <c r="E6" s="651">
        <v>45993.14166666667</v>
      </c>
      <c r="F6" s="651">
        <v>45993.208333333336</v>
      </c>
      <c r="G6" s="651">
        <v>45996.076388888891</v>
      </c>
      <c r="H6" s="651">
        <v>45996.211805555555</v>
      </c>
      <c r="I6" s="700">
        <f>E6-D6</f>
        <v>1.8041666666686069</v>
      </c>
      <c r="J6" s="700">
        <f>G6-F6</f>
        <v>2.8680555555547471</v>
      </c>
      <c r="K6" s="652">
        <v>55002</v>
      </c>
      <c r="L6" s="652">
        <v>55002</v>
      </c>
      <c r="M6" s="653" t="s">
        <v>555</v>
      </c>
      <c r="N6" s="654"/>
      <c r="O6" s="650"/>
      <c r="P6" s="655"/>
      <c r="Q6" s="655"/>
      <c r="R6" s="650"/>
      <c r="S6" s="656"/>
      <c r="T6" s="656"/>
      <c r="U6" s="657" t="s">
        <v>803</v>
      </c>
    </row>
    <row r="7" spans="1:24" ht="14.25" hidden="1" customHeight="1">
      <c r="B7" s="649" t="s">
        <v>626</v>
      </c>
      <c r="C7" s="788" t="s">
        <v>541</v>
      </c>
      <c r="D7" s="789">
        <v>45990.824999999997</v>
      </c>
      <c r="E7" s="789">
        <v>45996.320833333331</v>
      </c>
      <c r="F7" s="789">
        <v>45996.489583333336</v>
      </c>
      <c r="G7" s="789">
        <v>45999.840277777781</v>
      </c>
      <c r="H7" s="789">
        <v>45999.909722222219</v>
      </c>
      <c r="I7" s="700">
        <f>E7-D7</f>
        <v>5.4958333333343035</v>
      </c>
      <c r="J7" s="700">
        <f>G7-F7</f>
        <v>3.3506944444452529</v>
      </c>
      <c r="K7" s="791">
        <v>65560</v>
      </c>
      <c r="L7" s="791">
        <v>65560</v>
      </c>
      <c r="M7" s="792" t="s">
        <v>546</v>
      </c>
      <c r="N7" s="792"/>
      <c r="O7" s="788"/>
      <c r="P7" s="793"/>
      <c r="Q7" s="793"/>
      <c r="R7" s="788"/>
      <c r="S7" s="794"/>
      <c r="T7" s="794"/>
      <c r="U7" s="795"/>
    </row>
    <row r="8" spans="1:24" ht="15" hidden="1" customHeight="1">
      <c r="B8" s="649" t="s">
        <v>626</v>
      </c>
      <c r="C8" s="650" t="s">
        <v>785</v>
      </c>
      <c r="D8" s="651">
        <v>46003.572916666664</v>
      </c>
      <c r="E8" s="651">
        <v>46003.633333333331</v>
      </c>
      <c r="F8" s="651">
        <v>46003.819444444445</v>
      </c>
      <c r="G8" s="651">
        <v>46006.388888888891</v>
      </c>
      <c r="H8" s="651">
        <v>46006.465277777781</v>
      </c>
      <c r="I8" s="700">
        <f>E8-D8</f>
        <v>6.0416666667151731E-2</v>
      </c>
      <c r="J8" s="700">
        <f>G8-F8</f>
        <v>2.5694444444452529</v>
      </c>
      <c r="K8" s="652">
        <v>55007</v>
      </c>
      <c r="L8" s="652">
        <v>55007</v>
      </c>
      <c r="M8" s="653" t="s">
        <v>546</v>
      </c>
      <c r="N8" s="654"/>
      <c r="O8" s="650"/>
      <c r="P8" s="655"/>
      <c r="Q8" s="655"/>
      <c r="R8" s="650"/>
      <c r="S8" s="656"/>
      <c r="T8" s="656"/>
      <c r="U8" s="657"/>
    </row>
    <row r="9" spans="1:24" ht="15" hidden="1" customHeight="1">
      <c r="B9" s="1159" t="s">
        <v>626</v>
      </c>
      <c r="C9" s="1160" t="s">
        <v>216</v>
      </c>
      <c r="D9" s="1148">
        <v>46004.75</v>
      </c>
      <c r="E9" s="1148">
        <v>46006.512499999997</v>
      </c>
      <c r="F9" s="1148">
        <v>46006.690972222219</v>
      </c>
      <c r="G9" s="1148">
        <v>46012.451388888891</v>
      </c>
      <c r="H9" s="1148">
        <v>46012.503472222219</v>
      </c>
      <c r="I9" s="1151">
        <f>+E9-D9</f>
        <v>1.7624999999970896</v>
      </c>
      <c r="J9" s="1152">
        <f>+G9-F9</f>
        <v>5.7604166666715173</v>
      </c>
      <c r="K9" s="652">
        <v>43677</v>
      </c>
      <c r="L9" s="975">
        <v>43677</v>
      </c>
      <c r="M9" s="653" t="s">
        <v>783</v>
      </c>
      <c r="N9" s="654"/>
      <c r="O9" s="650"/>
      <c r="P9" s="655"/>
      <c r="Q9" s="655"/>
      <c r="R9" s="650"/>
      <c r="S9" s="656"/>
      <c r="T9" s="656"/>
      <c r="U9" s="657"/>
    </row>
    <row r="10" spans="1:24" ht="15" hidden="1" customHeight="1">
      <c r="B10" s="1159"/>
      <c r="C10" s="1160"/>
      <c r="D10" s="1148"/>
      <c r="E10" s="1148"/>
      <c r="F10" s="1148"/>
      <c r="G10" s="1148"/>
      <c r="H10" s="1148"/>
      <c r="I10" s="1151"/>
      <c r="J10" s="1152"/>
      <c r="K10" s="652">
        <v>18744</v>
      </c>
      <c r="L10" s="975">
        <v>18744</v>
      </c>
      <c r="M10" s="653" t="s">
        <v>784</v>
      </c>
      <c r="N10" s="654"/>
      <c r="O10" s="650"/>
      <c r="P10" s="655"/>
      <c r="Q10" s="655"/>
      <c r="R10" s="650"/>
      <c r="S10" s="656"/>
      <c r="T10" s="656"/>
      <c r="U10" s="657"/>
    </row>
    <row r="11" spans="1:24" ht="17.45" hidden="1" customHeight="1" thickBot="1">
      <c r="B11" s="36"/>
      <c r="C11" s="37"/>
      <c r="D11" s="38"/>
      <c r="E11" s="38"/>
      <c r="F11" s="38"/>
      <c r="G11" s="38"/>
      <c r="H11" s="38"/>
      <c r="I11" s="39">
        <f>IFERROR(AVERAGE(I5:I10),0)</f>
        <v>2.9356944444443798</v>
      </c>
      <c r="J11" s="39">
        <f>IFERROR(AVERAGE(J5:J10),0)</f>
        <v>3.5673611111124046</v>
      </c>
      <c r="K11" s="28">
        <f>SUM(K5:K10)</f>
        <v>303445</v>
      </c>
      <c r="L11" s="28">
        <f>SUM(L5:L10)</f>
        <v>303445</v>
      </c>
      <c r="M11" s="45"/>
      <c r="N11" s="45"/>
      <c r="O11" s="45"/>
      <c r="P11" s="45"/>
      <c r="Q11" s="45"/>
      <c r="R11" s="45"/>
      <c r="S11" s="45"/>
      <c r="T11" s="45"/>
      <c r="U11" s="40"/>
    </row>
    <row r="12" spans="1:24" ht="24.75" hidden="1" customHeight="1" outlineLevel="1" collapsed="1" thickBot="1">
      <c r="B12" s="197" t="s">
        <v>758</v>
      </c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6"/>
    </row>
    <row r="13" spans="1:24" ht="13.5" hidden="1" outlineLevel="1">
      <c r="B13" s="649" t="s">
        <v>626</v>
      </c>
      <c r="C13" s="650" t="s">
        <v>846</v>
      </c>
      <c r="D13" s="651">
        <v>46013.445833333331</v>
      </c>
      <c r="E13" s="651">
        <v>46021.508333333331</v>
      </c>
      <c r="F13" s="651">
        <v>46021.611111111109</v>
      </c>
      <c r="G13" s="651">
        <v>46026.090277777781</v>
      </c>
      <c r="H13" s="651">
        <v>46029.137499999997</v>
      </c>
      <c r="I13" s="700">
        <f>E13-D13</f>
        <v>8.0625</v>
      </c>
      <c r="J13" s="700">
        <f>G13-F13</f>
        <v>4.4791666666715173</v>
      </c>
      <c r="K13" s="652">
        <v>54786</v>
      </c>
      <c r="L13" s="652">
        <v>54786</v>
      </c>
      <c r="M13" s="653" t="s">
        <v>555</v>
      </c>
      <c r="N13" s="654"/>
      <c r="O13" s="650"/>
      <c r="P13" s="655"/>
      <c r="Q13" s="655"/>
      <c r="R13" s="650"/>
      <c r="S13" s="656"/>
      <c r="T13" s="656"/>
      <c r="U13" s="657"/>
    </row>
    <row r="14" spans="1:24" ht="13.5" hidden="1" outlineLevel="1">
      <c r="B14" s="649" t="s">
        <v>626</v>
      </c>
      <c r="C14" s="650" t="s">
        <v>606</v>
      </c>
      <c r="D14" s="651">
        <v>46020.75</v>
      </c>
      <c r="E14" s="651">
        <v>46032.3</v>
      </c>
      <c r="F14" s="651">
        <v>46032.361111111109</v>
      </c>
      <c r="G14" s="651">
        <v>46036.503472222219</v>
      </c>
      <c r="H14" s="651">
        <v>46036.597222222219</v>
      </c>
      <c r="I14" s="700">
        <f>E14-D14</f>
        <v>11.55000000000291</v>
      </c>
      <c r="J14" s="700">
        <f>G14-F14</f>
        <v>4.1423611111094942</v>
      </c>
      <c r="K14" s="652">
        <v>48505</v>
      </c>
      <c r="L14" s="652">
        <v>48505</v>
      </c>
      <c r="M14" s="653" t="s">
        <v>546</v>
      </c>
      <c r="N14" s="654"/>
      <c r="O14" s="650"/>
      <c r="P14" s="655"/>
      <c r="Q14" s="655"/>
      <c r="R14" s="650"/>
      <c r="S14" s="656"/>
      <c r="T14" s="656"/>
      <c r="U14" s="657"/>
    </row>
    <row r="15" spans="1:24" ht="15" hidden="1" customHeight="1" outlineLevel="1">
      <c r="B15" s="649" t="s">
        <v>626</v>
      </c>
      <c r="C15" s="650" t="s">
        <v>619</v>
      </c>
      <c r="D15" s="651">
        <v>46027.416666666664</v>
      </c>
      <c r="E15" s="651">
        <v>46036.652777777781</v>
      </c>
      <c r="F15" s="651">
        <v>46036.711805555555</v>
      </c>
      <c r="G15" s="651">
        <v>46039.354166666664</v>
      </c>
      <c r="H15" s="651">
        <v>46039.430555555555</v>
      </c>
      <c r="I15" s="700">
        <f>E15-D15</f>
        <v>9.2361111111167702</v>
      </c>
      <c r="J15" s="700">
        <f>G15-F15</f>
        <v>2.6423611111094942</v>
      </c>
      <c r="K15" s="652">
        <v>55000</v>
      </c>
      <c r="L15" s="652">
        <v>55000</v>
      </c>
      <c r="M15" s="653" t="s">
        <v>596</v>
      </c>
      <c r="N15" s="654"/>
      <c r="O15" s="650"/>
      <c r="P15" s="655"/>
      <c r="Q15" s="655"/>
      <c r="R15" s="650"/>
      <c r="S15" s="656"/>
      <c r="T15" s="656"/>
      <c r="U15" s="657"/>
    </row>
    <row r="16" spans="1:24" ht="15" hidden="1" customHeight="1" outlineLevel="1">
      <c r="B16" s="649" t="s">
        <v>626</v>
      </c>
      <c r="C16" s="650" t="s">
        <v>847</v>
      </c>
      <c r="D16" s="651">
        <v>46028.833333333336</v>
      </c>
      <c r="E16" s="651">
        <v>46039.48333333333</v>
      </c>
      <c r="F16" s="651">
        <v>46039.555555555555</v>
      </c>
      <c r="G16" s="651">
        <v>46043.388888888891</v>
      </c>
      <c r="H16" s="651">
        <v>46043.465277777781</v>
      </c>
      <c r="I16" s="700">
        <f>E16-D16</f>
        <v>10.649999999994179</v>
      </c>
      <c r="J16" s="700">
        <f>G16-F16</f>
        <v>3.8333333333357587</v>
      </c>
      <c r="K16" s="652">
        <v>55005</v>
      </c>
      <c r="L16" s="652">
        <v>55005</v>
      </c>
      <c r="M16" s="653" t="s">
        <v>555</v>
      </c>
      <c r="N16" s="654"/>
      <c r="O16" s="650"/>
      <c r="P16" s="655"/>
      <c r="Q16" s="655"/>
      <c r="R16" s="650"/>
      <c r="S16" s="656"/>
      <c r="T16" s="656"/>
      <c r="U16" s="657"/>
    </row>
    <row r="17" spans="2:22" ht="15" hidden="1" customHeight="1" outlineLevel="1">
      <c r="B17" s="649" t="s">
        <v>626</v>
      </c>
      <c r="C17" s="650" t="s">
        <v>848</v>
      </c>
      <c r="D17" s="651">
        <v>46029</v>
      </c>
      <c r="E17" s="651">
        <v>46043.51666666667</v>
      </c>
      <c r="F17" s="651">
        <v>46045.864583333336</v>
      </c>
      <c r="G17" s="651">
        <v>46048.819444444445</v>
      </c>
      <c r="H17" s="651">
        <v>46049.161805555559</v>
      </c>
      <c r="I17" s="700">
        <f>E17-D17</f>
        <v>14.516666666670062</v>
      </c>
      <c r="J17" s="979">
        <f>G17-F17</f>
        <v>2.9548611111094942</v>
      </c>
      <c r="K17" s="652">
        <v>55000</v>
      </c>
      <c r="L17" s="652">
        <v>55000</v>
      </c>
      <c r="M17" s="653" t="s">
        <v>546</v>
      </c>
      <c r="N17" s="654"/>
      <c r="O17" s="650"/>
      <c r="P17" s="655"/>
      <c r="Q17" s="655"/>
      <c r="R17" s="650"/>
      <c r="S17" s="656"/>
      <c r="T17" s="656"/>
      <c r="U17" s="657"/>
    </row>
    <row r="18" spans="2:22" ht="13.5" hidden="1" outlineLevel="1">
      <c r="B18" s="29"/>
      <c r="C18" s="30"/>
      <c r="D18" s="31"/>
      <c r="E18" s="31"/>
      <c r="F18" s="31"/>
      <c r="G18" s="31"/>
      <c r="H18" s="31"/>
      <c r="I18" s="25" t="s">
        <v>15</v>
      </c>
      <c r="J18" s="26" t="s">
        <v>18</v>
      </c>
      <c r="K18" s="27" t="s">
        <v>19</v>
      </c>
      <c r="L18" s="27"/>
      <c r="M18" s="32"/>
      <c r="N18" s="32"/>
      <c r="O18" s="30"/>
      <c r="P18" s="33"/>
      <c r="Q18" s="33"/>
      <c r="R18" s="30"/>
      <c r="S18" s="34"/>
      <c r="T18" s="34"/>
      <c r="U18" s="35"/>
    </row>
    <row r="19" spans="2:22" ht="14.25" hidden="1" outlineLevel="1" thickBot="1">
      <c r="B19" s="36"/>
      <c r="C19" s="37"/>
      <c r="D19" s="38"/>
      <c r="E19" s="38"/>
      <c r="F19" s="38"/>
      <c r="G19" s="38"/>
      <c r="H19" s="38"/>
      <c r="I19" s="39">
        <f>IFERROR(AVERAGE(I13:I17),0)</f>
        <v>10.803055555556785</v>
      </c>
      <c r="J19" s="39">
        <f>IFERROR(AVERAGE(J13:J17),0)</f>
        <v>3.6104166666671516</v>
      </c>
      <c r="K19" s="28">
        <f>SUM(K13:K17)</f>
        <v>268296</v>
      </c>
      <c r="L19" s="28">
        <f>SUM(L13:L17)</f>
        <v>268296</v>
      </c>
      <c r="M19" s="45"/>
      <c r="N19" s="45"/>
      <c r="O19" s="45"/>
      <c r="P19" s="45"/>
      <c r="Q19" s="45"/>
      <c r="R19" s="45"/>
      <c r="S19" s="45"/>
      <c r="T19" s="45"/>
      <c r="U19" s="40"/>
    </row>
    <row r="20" spans="2:22" s="461" customFormat="1" ht="24.75" hidden="1" customHeight="1" outlineLevel="1" thickBot="1">
      <c r="B20" s="197" t="s">
        <v>845</v>
      </c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6"/>
    </row>
    <row r="21" spans="2:22" s="461" customFormat="1" ht="24.75" hidden="1" customHeight="1" outlineLevel="1">
      <c r="B21" s="649" t="s">
        <v>626</v>
      </c>
      <c r="C21" s="650" t="s">
        <v>606</v>
      </c>
      <c r="D21" s="651">
        <v>46077.909722222219</v>
      </c>
      <c r="E21" s="651">
        <v>46077.974999999999</v>
      </c>
      <c r="F21" s="651">
        <v>46078.038194444445</v>
      </c>
      <c r="G21" s="651">
        <v>46081.142361111109</v>
      </c>
      <c r="H21" s="651">
        <v>46081.267361111109</v>
      </c>
      <c r="I21" s="700">
        <f>E21-D21</f>
        <v>6.5277777779556345E-2</v>
      </c>
      <c r="J21" s="979"/>
      <c r="K21" s="652">
        <v>62292</v>
      </c>
      <c r="L21" s="652">
        <v>62292</v>
      </c>
      <c r="M21" s="653" t="s">
        <v>546</v>
      </c>
      <c r="N21" s="654"/>
      <c r="O21" s="650"/>
      <c r="P21" s="655"/>
      <c r="Q21" s="655"/>
      <c r="R21" s="650"/>
      <c r="S21" s="656"/>
      <c r="T21" s="656"/>
      <c r="U21" s="657"/>
    </row>
    <row r="22" spans="2:22" ht="13.5" hidden="1" outlineLevel="1">
      <c r="B22" s="29"/>
      <c r="C22" s="30"/>
      <c r="D22" s="31"/>
      <c r="E22" s="31"/>
      <c r="F22" s="31"/>
      <c r="G22" s="31"/>
      <c r="H22" s="31"/>
      <c r="I22" s="25" t="s">
        <v>15</v>
      </c>
      <c r="J22" s="26" t="s">
        <v>18</v>
      </c>
      <c r="K22" s="27" t="s">
        <v>19</v>
      </c>
      <c r="L22" s="27"/>
      <c r="M22" s="32"/>
      <c r="N22" s="32"/>
      <c r="O22" s="30"/>
      <c r="P22" s="33"/>
      <c r="Q22" s="33"/>
      <c r="R22" s="30"/>
      <c r="S22" s="34"/>
      <c r="T22" s="34"/>
      <c r="U22" s="35"/>
    </row>
    <row r="23" spans="2:22" ht="14.25" hidden="1" outlineLevel="1" thickBot="1">
      <c r="B23" s="36"/>
      <c r="C23" s="37"/>
      <c r="D23" s="38"/>
      <c r="E23" s="38"/>
      <c r="F23" s="38"/>
      <c r="G23" s="38"/>
      <c r="H23" s="38"/>
      <c r="I23" s="39">
        <f>IFERROR(AVERAGE(I21:I21),0)</f>
        <v>6.5277777779556345E-2</v>
      </c>
      <c r="J23" s="39">
        <f>IFERROR(AVERAGE(J21:J21),0)</f>
        <v>0</v>
      </c>
      <c r="K23" s="28">
        <f>SUM(K21:K21)</f>
        <v>62292</v>
      </c>
      <c r="L23" s="28">
        <f>SUM(L21:L21)</f>
        <v>62292</v>
      </c>
      <c r="M23" s="45"/>
      <c r="N23" s="45"/>
      <c r="O23" s="45"/>
      <c r="P23" s="45"/>
      <c r="Q23" s="45"/>
      <c r="R23" s="45"/>
      <c r="S23" s="45"/>
      <c r="T23" s="45"/>
      <c r="U23" s="40"/>
    </row>
    <row r="24" spans="2:22" s="461" customFormat="1" ht="24.75" customHeight="1" collapsed="1" thickBot="1">
      <c r="B24" s="197" t="s">
        <v>844</v>
      </c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6"/>
    </row>
    <row r="25" spans="2:22" ht="24.75" customHeight="1">
      <c r="B25" s="8" t="s">
        <v>626</v>
      </c>
      <c r="C25" s="47" t="s">
        <v>607</v>
      </c>
      <c r="D25" s="46">
        <v>46105</v>
      </c>
      <c r="E25" s="46"/>
      <c r="F25" s="46"/>
      <c r="G25" s="46"/>
      <c r="H25" s="46"/>
      <c r="I25" s="885"/>
      <c r="J25" s="885"/>
      <c r="K25" s="960">
        <v>44750</v>
      </c>
      <c r="L25" s="960"/>
      <c r="M25" s="961" t="s">
        <v>555</v>
      </c>
      <c r="N25" s="962"/>
      <c r="O25" s="47"/>
      <c r="P25" s="963"/>
      <c r="Q25" s="963"/>
      <c r="R25" s="47"/>
      <c r="S25" s="9"/>
      <c r="T25" s="9"/>
      <c r="U25" s="974"/>
      <c r="V25" s="702"/>
    </row>
    <row r="26" spans="2:22" ht="13.5">
      <c r="B26" s="29"/>
      <c r="C26" s="30"/>
      <c r="D26" s="31"/>
      <c r="E26" s="31"/>
      <c r="F26" s="31"/>
      <c r="G26" s="31"/>
      <c r="H26" s="31"/>
      <c r="I26" s="25" t="s">
        <v>15</v>
      </c>
      <c r="J26" s="26" t="s">
        <v>18</v>
      </c>
      <c r="K26" s="27" t="s">
        <v>19</v>
      </c>
      <c r="L26" s="27"/>
      <c r="M26" s="32"/>
      <c r="N26" s="32"/>
      <c r="O26" s="30"/>
      <c r="P26" s="33"/>
      <c r="Q26" s="33"/>
      <c r="R26" s="30"/>
      <c r="S26" s="34"/>
      <c r="T26" s="34"/>
      <c r="U26" s="35"/>
    </row>
    <row r="27" spans="2:22" ht="14.25" customHeight="1" thickBot="1">
      <c r="B27" s="36"/>
      <c r="C27" s="37"/>
      <c r="D27" s="38"/>
      <c r="E27" s="38"/>
      <c r="F27" s="38"/>
      <c r="G27" s="38"/>
      <c r="H27" s="38"/>
      <c r="I27" s="39">
        <f>IFERROR(AVERAGE(I25:I25),0)</f>
        <v>0</v>
      </c>
      <c r="J27" s="39">
        <f>IFERROR(AVERAGE(J25:J25),0)</f>
        <v>0</v>
      </c>
      <c r="K27" s="28">
        <f>SUM(K25:K25)</f>
        <v>44750</v>
      </c>
      <c r="L27" s="28">
        <f>SUM(L25:L25)</f>
        <v>0</v>
      </c>
      <c r="M27" s="45"/>
      <c r="N27" s="45"/>
      <c r="O27" s="45"/>
      <c r="P27" s="45"/>
      <c r="Q27" s="45"/>
      <c r="R27" s="45"/>
      <c r="S27" s="45"/>
      <c r="T27" s="45"/>
      <c r="U27" s="40"/>
    </row>
    <row r="28" spans="2:22" s="461" customFormat="1" ht="14.25" customHeight="1" thickBot="1">
      <c r="B28" s="197" t="s">
        <v>843</v>
      </c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6"/>
    </row>
    <row r="29" spans="2:22" ht="14.25" customHeight="1">
      <c r="B29" s="8" t="s">
        <v>626</v>
      </c>
      <c r="C29" s="47" t="s">
        <v>953</v>
      </c>
      <c r="D29" s="46">
        <v>46121</v>
      </c>
      <c r="E29" s="46"/>
      <c r="F29" s="46"/>
      <c r="G29" s="46"/>
      <c r="H29" s="46"/>
      <c r="I29" s="885"/>
      <c r="J29" s="885"/>
      <c r="K29" s="960">
        <v>55000</v>
      </c>
      <c r="L29" s="960"/>
      <c r="M29" s="961" t="s">
        <v>546</v>
      </c>
      <c r="N29" s="962"/>
      <c r="O29" s="47"/>
      <c r="P29" s="963"/>
      <c r="Q29" s="963"/>
      <c r="R29" s="47"/>
      <c r="S29" s="9"/>
      <c r="T29" s="9"/>
      <c r="U29" s="964"/>
    </row>
    <row r="30" spans="2:22" ht="27">
      <c r="B30" s="8" t="s">
        <v>598</v>
      </c>
      <c r="C30" s="47" t="s">
        <v>928</v>
      </c>
      <c r="D30" s="46">
        <v>46120</v>
      </c>
      <c r="E30" s="46"/>
      <c r="F30" s="46"/>
      <c r="G30" s="46"/>
      <c r="H30" s="46"/>
      <c r="I30" s="885"/>
      <c r="J30" s="885"/>
      <c r="K30" s="960">
        <v>35000</v>
      </c>
      <c r="L30" s="960"/>
      <c r="M30" s="961" t="s">
        <v>929</v>
      </c>
      <c r="N30" s="962"/>
      <c r="O30" s="47"/>
      <c r="P30" s="963"/>
      <c r="Q30" s="963"/>
      <c r="R30" s="47"/>
      <c r="S30" s="9"/>
      <c r="T30" s="9"/>
      <c r="U30" s="964" t="s">
        <v>960</v>
      </c>
    </row>
    <row r="31" spans="2:22" ht="14.25" customHeight="1">
      <c r="B31" s="8" t="s">
        <v>626</v>
      </c>
      <c r="C31" s="47" t="s">
        <v>927</v>
      </c>
      <c r="D31" s="46">
        <v>46127</v>
      </c>
      <c r="E31" s="46"/>
      <c r="F31" s="46"/>
      <c r="G31" s="46"/>
      <c r="H31" s="46"/>
      <c r="I31" s="885"/>
      <c r="J31" s="885"/>
      <c r="K31" s="960">
        <v>55000</v>
      </c>
      <c r="L31" s="960"/>
      <c r="M31" s="961" t="s">
        <v>555</v>
      </c>
      <c r="N31" s="962"/>
      <c r="O31" s="47"/>
      <c r="P31" s="963"/>
      <c r="Q31" s="963"/>
      <c r="R31" s="47"/>
      <c r="S31" s="9"/>
      <c r="T31" s="9"/>
      <c r="U31" s="964"/>
    </row>
    <row r="32" spans="2:22" ht="14.25" customHeight="1">
      <c r="B32" s="8" t="s">
        <v>626</v>
      </c>
      <c r="C32" s="47" t="s">
        <v>541</v>
      </c>
      <c r="D32" s="46">
        <v>46135</v>
      </c>
      <c r="E32" s="46"/>
      <c r="F32" s="46"/>
      <c r="G32" s="46"/>
      <c r="H32" s="46"/>
      <c r="I32" s="885"/>
      <c r="J32" s="885"/>
      <c r="K32" s="960">
        <v>65300</v>
      </c>
      <c r="L32" s="960"/>
      <c r="M32" s="961" t="s">
        <v>546</v>
      </c>
      <c r="N32" s="962"/>
      <c r="O32" s="47"/>
      <c r="P32" s="963"/>
      <c r="Q32" s="963"/>
      <c r="R32" s="47"/>
      <c r="S32" s="9"/>
      <c r="T32" s="9"/>
      <c r="U32" s="964"/>
      <c r="V32" s="702"/>
    </row>
    <row r="33" spans="2:23" ht="14.25" customHeight="1">
      <c r="B33" s="8" t="s">
        <v>598</v>
      </c>
      <c r="C33" s="47" t="s">
        <v>941</v>
      </c>
      <c r="D33" s="46">
        <v>46136</v>
      </c>
      <c r="E33" s="46"/>
      <c r="F33" s="46"/>
      <c r="G33" s="46"/>
      <c r="H33" s="46"/>
      <c r="I33" s="885"/>
      <c r="J33" s="885"/>
      <c r="K33" s="960">
        <v>51500</v>
      </c>
      <c r="L33" s="960"/>
      <c r="M33" s="961" t="s">
        <v>620</v>
      </c>
      <c r="N33" s="962"/>
      <c r="O33" s="47"/>
      <c r="P33" s="963"/>
      <c r="Q33" s="963"/>
      <c r="R33" s="47"/>
      <c r="S33" s="9"/>
      <c r="T33" s="9"/>
      <c r="U33" s="964"/>
    </row>
    <row r="34" spans="2:23" ht="14.25" customHeight="1">
      <c r="B34" s="1157" t="s">
        <v>626</v>
      </c>
      <c r="C34" s="1158" t="s">
        <v>216</v>
      </c>
      <c r="D34" s="1150">
        <v>46138</v>
      </c>
      <c r="E34" s="1150"/>
      <c r="F34" s="1150"/>
      <c r="G34" s="1150"/>
      <c r="H34" s="1150"/>
      <c r="I34" s="1147"/>
      <c r="J34" s="1147"/>
      <c r="K34" s="960">
        <v>36000</v>
      </c>
      <c r="L34" s="960"/>
      <c r="M34" s="961" t="s">
        <v>942</v>
      </c>
      <c r="N34" s="962"/>
      <c r="O34" s="47"/>
      <c r="P34" s="963"/>
      <c r="Q34" s="963"/>
      <c r="R34" s="47"/>
      <c r="S34" s="9"/>
      <c r="T34" s="9"/>
      <c r="U34" s="964"/>
    </row>
    <row r="35" spans="2:23" ht="14.25" customHeight="1">
      <c r="B35" s="1157"/>
      <c r="C35" s="1158"/>
      <c r="D35" s="1150"/>
      <c r="E35" s="1150"/>
      <c r="F35" s="1150"/>
      <c r="G35" s="1150"/>
      <c r="H35" s="1150"/>
      <c r="I35" s="1147"/>
      <c r="J35" s="1147"/>
      <c r="K35" s="960">
        <v>26400</v>
      </c>
      <c r="L35" s="960"/>
      <c r="M35" s="961" t="s">
        <v>943</v>
      </c>
      <c r="N35" s="962"/>
      <c r="O35" s="47"/>
      <c r="P35" s="963"/>
      <c r="Q35" s="963"/>
      <c r="R35" s="47"/>
      <c r="S35" s="9"/>
      <c r="T35" s="9"/>
      <c r="U35" s="964"/>
    </row>
    <row r="36" spans="2:23" ht="14.25" customHeight="1">
      <c r="B36" s="8"/>
      <c r="C36" s="47"/>
      <c r="D36" s="46"/>
      <c r="E36" s="46"/>
      <c r="F36" s="46"/>
      <c r="G36" s="46"/>
      <c r="H36" s="46"/>
      <c r="I36" s="885"/>
      <c r="J36" s="885"/>
      <c r="K36" s="960"/>
      <c r="L36" s="960"/>
      <c r="M36" s="961"/>
      <c r="N36" s="962"/>
      <c r="O36" s="47"/>
      <c r="P36" s="963"/>
      <c r="Q36" s="963"/>
      <c r="R36" s="47"/>
      <c r="S36" s="9"/>
      <c r="T36" s="9"/>
      <c r="U36" s="964"/>
    </row>
    <row r="37" spans="2:23" ht="14.25" customHeight="1">
      <c r="B37" s="29"/>
      <c r="C37" s="30"/>
      <c r="D37" s="31"/>
      <c r="E37" s="31"/>
      <c r="F37" s="31"/>
      <c r="G37" s="31"/>
      <c r="H37" s="31"/>
      <c r="I37" s="25" t="s">
        <v>15</v>
      </c>
      <c r="J37" s="26" t="s">
        <v>18</v>
      </c>
      <c r="K37" s="27" t="s">
        <v>19</v>
      </c>
      <c r="L37" s="27"/>
      <c r="M37" s="32"/>
      <c r="N37" s="32"/>
      <c r="O37" s="30"/>
      <c r="P37" s="33"/>
      <c r="Q37" s="33"/>
      <c r="R37" s="30"/>
      <c r="S37" s="34"/>
      <c r="T37" s="34"/>
      <c r="U37" s="35"/>
    </row>
    <row r="38" spans="2:23" ht="14.25" customHeight="1">
      <c r="B38" s="36"/>
      <c r="C38" s="37"/>
      <c r="D38" s="38"/>
      <c r="E38" s="38"/>
      <c r="F38" s="38"/>
      <c r="G38" s="38"/>
      <c r="H38" s="38"/>
      <c r="I38" s="39">
        <f>IFERROR(AVERAGE(I32:I33),0)</f>
        <v>0</v>
      </c>
      <c r="J38" s="39">
        <f>IFERROR(AVERAGE(J32:J33),0)</f>
        <v>0</v>
      </c>
      <c r="K38" s="28">
        <f>SUM(K29:K36)</f>
        <v>324200</v>
      </c>
      <c r="L38" s="28">
        <f>SUM(L29:L36)</f>
        <v>0</v>
      </c>
      <c r="M38" s="45"/>
      <c r="N38" s="45"/>
      <c r="O38" s="45"/>
      <c r="P38" s="45"/>
      <c r="Q38" s="45"/>
      <c r="R38" s="45"/>
      <c r="S38" s="45"/>
      <c r="T38" s="45"/>
      <c r="U38" s="40"/>
    </row>
    <row r="39" spans="2:23" s="461" customFormat="1" ht="14.25" hidden="1" customHeight="1" outlineLevel="1" thickBot="1">
      <c r="B39" s="197" t="s">
        <v>842</v>
      </c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6"/>
    </row>
    <row r="40" spans="2:23" ht="14.25" hidden="1" customHeight="1" outlineLevel="1">
      <c r="B40" s="8"/>
      <c r="C40" s="47"/>
      <c r="D40" s="46"/>
      <c r="E40" s="46"/>
      <c r="F40" s="46"/>
      <c r="G40" s="46"/>
      <c r="H40" s="46"/>
      <c r="I40" s="885"/>
      <c r="J40" s="885"/>
      <c r="K40" s="960"/>
      <c r="L40" s="960"/>
      <c r="M40" s="970"/>
      <c r="N40" s="959"/>
      <c r="O40" s="971"/>
      <c r="P40" s="972"/>
      <c r="Q40" s="972"/>
      <c r="R40" s="971"/>
      <c r="S40" s="973"/>
      <c r="T40" s="973"/>
      <c r="U40" s="964"/>
      <c r="V40" s="702"/>
    </row>
    <row r="41" spans="2:23" ht="14.25" hidden="1" customHeight="1" outlineLevel="1">
      <c r="B41" s="8"/>
      <c r="C41" s="2"/>
      <c r="D41" s="3"/>
      <c r="E41" s="3"/>
      <c r="F41" s="3"/>
      <c r="G41" s="3"/>
      <c r="H41" s="3"/>
      <c r="I41" s="885"/>
      <c r="J41" s="885"/>
      <c r="K41" s="4"/>
      <c r="L41" s="4"/>
      <c r="M41" s="958"/>
      <c r="N41" s="958"/>
      <c r="O41" s="2"/>
      <c r="P41" s="965"/>
      <c r="Q41" s="965"/>
      <c r="R41" s="2"/>
      <c r="S41" s="966"/>
      <c r="T41" s="966"/>
      <c r="U41" s="6"/>
    </row>
    <row r="42" spans="2:23" ht="14.25" hidden="1" customHeight="1" outlineLevel="1">
      <c r="B42" s="8"/>
      <c r="C42" s="47"/>
      <c r="D42" s="46"/>
      <c r="E42" s="46"/>
      <c r="F42" s="46"/>
      <c r="G42" s="46"/>
      <c r="H42" s="46"/>
      <c r="I42" s="885"/>
      <c r="J42" s="885"/>
      <c r="K42" s="960"/>
      <c r="L42" s="960"/>
      <c r="M42" s="961"/>
      <c r="N42" s="958"/>
      <c r="O42" s="2"/>
      <c r="P42" s="965"/>
      <c r="Q42" s="965"/>
      <c r="R42" s="2"/>
      <c r="S42" s="966"/>
      <c r="T42" s="966"/>
      <c r="U42" s="6"/>
      <c r="V42" s="702"/>
    </row>
    <row r="43" spans="2:23" ht="14.25" hidden="1" customHeight="1" outlineLevel="1">
      <c r="B43" s="787"/>
      <c r="C43" s="744"/>
      <c r="D43" s="745"/>
      <c r="E43" s="745"/>
      <c r="F43" s="745"/>
      <c r="G43" s="745"/>
      <c r="H43" s="745"/>
      <c r="I43" s="464"/>
      <c r="J43" s="464"/>
      <c r="K43" s="465"/>
      <c r="L43" s="747"/>
      <c r="M43" s="750"/>
      <c r="N43" s="467"/>
      <c r="O43" s="463"/>
      <c r="P43" s="468"/>
      <c r="Q43" s="468"/>
      <c r="R43" s="463"/>
      <c r="S43" s="469"/>
      <c r="T43" s="469"/>
      <c r="U43" s="470"/>
      <c r="W43" s="512"/>
    </row>
    <row r="44" spans="2:23" ht="14.25" hidden="1" customHeight="1" outlineLevel="1">
      <c r="B44" s="462"/>
      <c r="C44" s="463"/>
      <c r="D44" s="742"/>
      <c r="E44" s="742"/>
      <c r="F44" s="742"/>
      <c r="G44" s="742"/>
      <c r="H44" s="742"/>
      <c r="I44" s="464"/>
      <c r="J44" s="464"/>
      <c r="K44" s="465"/>
      <c r="L44" s="465"/>
      <c r="M44" s="466"/>
      <c r="N44" s="467"/>
      <c r="O44" s="463"/>
      <c r="P44" s="468"/>
      <c r="Q44" s="468"/>
      <c r="R44" s="463"/>
      <c r="S44" s="469"/>
      <c r="T44" s="469"/>
      <c r="U44" s="470"/>
    </row>
    <row r="45" spans="2:23" ht="14.25" hidden="1" customHeight="1" outlineLevel="1">
      <c r="B45" s="29"/>
      <c r="C45" s="30"/>
      <c r="D45" s="31"/>
      <c r="E45" s="31"/>
      <c r="F45" s="31"/>
      <c r="G45" s="31"/>
      <c r="H45" s="31"/>
      <c r="I45" s="25" t="s">
        <v>15</v>
      </c>
      <c r="J45" s="26" t="s">
        <v>18</v>
      </c>
      <c r="K45" s="27" t="s">
        <v>19</v>
      </c>
      <c r="L45" s="27"/>
      <c r="M45" s="32"/>
      <c r="N45" s="32"/>
      <c r="O45" s="30"/>
      <c r="P45" s="33"/>
      <c r="Q45" s="33"/>
      <c r="R45" s="30"/>
      <c r="S45" s="34"/>
      <c r="T45" s="34"/>
      <c r="U45" s="35"/>
    </row>
    <row r="46" spans="2:23" ht="14.25" hidden="1" customHeight="1" outlineLevel="1" thickBot="1">
      <c r="B46" s="36"/>
      <c r="C46" s="37"/>
      <c r="D46" s="38"/>
      <c r="E46" s="38"/>
      <c r="F46" s="38"/>
      <c r="G46" s="38"/>
      <c r="H46" s="38"/>
      <c r="I46" s="39">
        <f>IFERROR(AVERAGE(I40:I44),0)</f>
        <v>0</v>
      </c>
      <c r="J46" s="39">
        <f>IFERROR(AVERAGE(J40:J44),0)</f>
        <v>0</v>
      </c>
      <c r="K46" s="28">
        <f>SUM(K40:K44)</f>
        <v>0</v>
      </c>
      <c r="L46" s="28">
        <f>SUM(L40:L44)</f>
        <v>0</v>
      </c>
      <c r="M46" s="45"/>
      <c r="N46" s="45"/>
      <c r="O46" s="45"/>
      <c r="P46" s="45"/>
      <c r="Q46" s="45"/>
      <c r="R46" s="45"/>
      <c r="S46" s="45"/>
      <c r="T46" s="45"/>
      <c r="U46" s="40"/>
    </row>
    <row r="47" spans="2:23" ht="14.25" hidden="1" customHeight="1" outlineLevel="1" thickBot="1">
      <c r="B47" s="197" t="s">
        <v>841</v>
      </c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6"/>
    </row>
    <row r="48" spans="2:23" ht="14.25" hidden="1" customHeight="1" outlineLevel="1">
      <c r="B48" s="7"/>
      <c r="C48" s="2"/>
      <c r="D48" s="3"/>
      <c r="E48" s="3"/>
      <c r="F48" s="3"/>
      <c r="G48" s="3"/>
      <c r="H48" s="3"/>
      <c r="I48" s="885"/>
      <c r="J48" s="885"/>
      <c r="K48" s="4"/>
      <c r="L48" s="4"/>
      <c r="M48" s="958"/>
      <c r="N48" s="41"/>
      <c r="O48" s="971"/>
      <c r="P48" s="43"/>
      <c r="Q48" s="43"/>
      <c r="R48" s="42"/>
      <c r="S48" s="44"/>
      <c r="T48" s="973"/>
      <c r="U48" s="6"/>
      <c r="V48" s="702"/>
      <c r="W48" s="967"/>
    </row>
    <row r="49" spans="2:23" ht="14.25" hidden="1" customHeight="1" outlineLevel="1">
      <c r="B49" s="968"/>
      <c r="C49" s="2"/>
      <c r="D49" s="3"/>
      <c r="E49" s="3"/>
      <c r="F49" s="3"/>
      <c r="G49" s="3"/>
      <c r="H49" s="3"/>
      <c r="I49" s="885"/>
      <c r="J49" s="885"/>
      <c r="K49" s="960"/>
      <c r="L49" s="960"/>
      <c r="M49" s="958"/>
      <c r="N49" s="958"/>
      <c r="O49" s="2"/>
      <c r="P49" s="965"/>
      <c r="Q49" s="965"/>
      <c r="R49" s="2"/>
      <c r="S49" s="966"/>
      <c r="T49" s="966"/>
      <c r="U49" s="6"/>
    </row>
    <row r="50" spans="2:23" ht="14.25" hidden="1" customHeight="1" outlineLevel="1">
      <c r="B50" s="8"/>
      <c r="C50" s="2"/>
      <c r="D50" s="3"/>
      <c r="E50" s="3"/>
      <c r="F50" s="3"/>
      <c r="G50" s="3"/>
      <c r="H50" s="3"/>
      <c r="I50" s="885"/>
      <c r="J50" s="885"/>
      <c r="K50" s="960"/>
      <c r="L50" s="960"/>
      <c r="M50" s="958"/>
      <c r="N50" s="958"/>
      <c r="O50" s="47"/>
      <c r="P50" s="965"/>
      <c r="Q50" s="965"/>
      <c r="R50" s="2"/>
      <c r="S50" s="966"/>
      <c r="T50" s="966"/>
      <c r="U50" s="6"/>
    </row>
    <row r="51" spans="2:23" ht="14.25" hidden="1" customHeight="1" outlineLevel="1">
      <c r="B51" s="8"/>
      <c r="C51" s="47"/>
      <c r="D51" s="46"/>
      <c r="E51" s="46"/>
      <c r="F51" s="46"/>
      <c r="G51" s="46"/>
      <c r="H51" s="46"/>
      <c r="I51" s="885"/>
      <c r="J51" s="885"/>
      <c r="K51" s="960"/>
      <c r="L51" s="960"/>
      <c r="M51" s="961"/>
      <c r="N51" s="958"/>
      <c r="O51" s="2"/>
      <c r="P51" s="965"/>
      <c r="Q51" s="965"/>
      <c r="R51" s="2"/>
      <c r="S51" s="966"/>
      <c r="T51" s="966"/>
      <c r="U51" s="6"/>
      <c r="W51" s="11"/>
    </row>
    <row r="52" spans="2:23" ht="14.25" hidden="1" customHeight="1" outlineLevel="1">
      <c r="B52" s="8"/>
      <c r="C52" s="2"/>
      <c r="D52" s="3"/>
      <c r="E52" s="3"/>
      <c r="F52" s="3"/>
      <c r="G52" s="3"/>
      <c r="H52" s="3"/>
      <c r="I52" s="885"/>
      <c r="J52" s="885"/>
      <c r="K52" s="4"/>
      <c r="L52" s="960"/>
      <c r="M52" s="958"/>
      <c r="N52" s="958"/>
      <c r="O52" s="47"/>
      <c r="P52" s="965"/>
      <c r="Q52" s="965"/>
      <c r="R52" s="2"/>
      <c r="S52" s="966"/>
      <c r="T52" s="966"/>
      <c r="U52" s="6"/>
    </row>
    <row r="53" spans="2:23" ht="14.25" hidden="1" customHeight="1" outlineLevel="1">
      <c r="B53" s="8"/>
      <c r="C53" s="2"/>
      <c r="D53" s="3"/>
      <c r="E53" s="3"/>
      <c r="F53" s="3"/>
      <c r="G53" s="3"/>
      <c r="H53" s="3"/>
      <c r="I53" s="885"/>
      <c r="J53" s="885"/>
      <c r="K53" s="4"/>
      <c r="L53" s="960"/>
      <c r="M53" s="958"/>
      <c r="N53" s="958"/>
      <c r="O53" s="2"/>
      <c r="P53" s="965"/>
      <c r="Q53" s="965"/>
      <c r="R53" s="2"/>
      <c r="S53" s="966"/>
      <c r="T53" s="966"/>
      <c r="U53" s="969"/>
    </row>
    <row r="54" spans="2:23" ht="14.25" hidden="1" customHeight="1" outlineLevel="1">
      <c r="B54" s="462"/>
      <c r="C54" s="744"/>
      <c r="D54" s="745"/>
      <c r="E54" s="745"/>
      <c r="F54" s="745"/>
      <c r="G54" s="745"/>
      <c r="H54" s="745"/>
      <c r="I54" s="464"/>
      <c r="J54" s="464"/>
      <c r="K54" s="747"/>
      <c r="L54" s="747"/>
      <c r="M54" s="750"/>
      <c r="N54" s="750"/>
      <c r="O54" s="744"/>
      <c r="P54" s="751"/>
      <c r="Q54" s="751"/>
      <c r="R54" s="744"/>
      <c r="S54" s="752"/>
      <c r="T54" s="752"/>
      <c r="U54" s="748"/>
    </row>
    <row r="55" spans="2:23" ht="14.25" hidden="1" customHeight="1" outlineLevel="1">
      <c r="B55" s="29"/>
      <c r="C55" s="30"/>
      <c r="D55" s="31"/>
      <c r="E55" s="31"/>
      <c r="F55" s="31"/>
      <c r="G55" s="31"/>
      <c r="H55" s="31"/>
      <c r="I55" s="25" t="s">
        <v>15</v>
      </c>
      <c r="J55" s="26" t="s">
        <v>18</v>
      </c>
      <c r="K55" s="27" t="s">
        <v>19</v>
      </c>
      <c r="L55" s="27"/>
      <c r="M55" s="32"/>
      <c r="N55" s="32"/>
      <c r="O55" s="30"/>
      <c r="P55" s="33"/>
      <c r="Q55" s="33"/>
      <c r="R55" s="30"/>
      <c r="S55" s="34"/>
      <c r="T55" s="34"/>
      <c r="U55" s="35"/>
    </row>
    <row r="56" spans="2:23" ht="14.25" hidden="1" customHeight="1" outlineLevel="1" thickBot="1">
      <c r="B56" s="36"/>
      <c r="C56" s="37"/>
      <c r="D56" s="38"/>
      <c r="E56" s="38"/>
      <c r="F56" s="38"/>
      <c r="G56" s="38"/>
      <c r="H56" s="38"/>
      <c r="I56" s="39">
        <f>IFERROR(AVERAGE(I48:I54),0)</f>
        <v>0</v>
      </c>
      <c r="J56" s="39">
        <f>IFERROR(AVERAGE(J48:J54),0)</f>
        <v>0</v>
      </c>
      <c r="K56" s="28">
        <f>SUM(K48:K54)</f>
        <v>0</v>
      </c>
      <c r="L56" s="28">
        <f>SUM(L48:L54)</f>
        <v>0</v>
      </c>
      <c r="M56" s="45"/>
      <c r="N56" s="45"/>
      <c r="O56" s="45"/>
      <c r="P56" s="45"/>
      <c r="Q56" s="45"/>
      <c r="R56" s="45"/>
      <c r="S56" s="45"/>
      <c r="T56" s="45"/>
      <c r="U56" s="40"/>
    </row>
    <row r="57" spans="2:23" ht="14.25" hidden="1" customHeight="1" outlineLevel="1" thickBot="1">
      <c r="B57" s="197" t="s">
        <v>840</v>
      </c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6"/>
    </row>
    <row r="58" spans="2:23" ht="14.25" hidden="1" customHeight="1" outlineLevel="1">
      <c r="B58" s="7"/>
      <c r="C58" s="2"/>
      <c r="D58" s="3"/>
      <c r="E58" s="3"/>
      <c r="F58" s="3"/>
      <c r="G58" s="3"/>
      <c r="H58" s="3"/>
      <c r="I58" s="885"/>
      <c r="J58" s="885"/>
      <c r="K58" s="4"/>
      <c r="L58" s="960"/>
      <c r="M58" s="41"/>
      <c r="N58" s="41"/>
      <c r="O58" s="42"/>
      <c r="P58" s="43"/>
      <c r="Q58" s="43"/>
      <c r="R58" s="42"/>
      <c r="S58" s="44"/>
      <c r="T58" s="44"/>
      <c r="U58" s="6"/>
      <c r="V58" s="740"/>
    </row>
    <row r="59" spans="2:23" ht="14.25" hidden="1" customHeight="1" outlineLevel="1">
      <c r="B59" s="8"/>
      <c r="C59" s="2"/>
      <c r="D59" s="3"/>
      <c r="E59" s="3"/>
      <c r="F59" s="3"/>
      <c r="G59" s="3"/>
      <c r="H59" s="3"/>
      <c r="I59" s="885"/>
      <c r="J59" s="885"/>
      <c r="K59" s="4"/>
      <c r="L59" s="960"/>
      <c r="M59" s="958"/>
      <c r="N59" s="958"/>
      <c r="O59" s="47"/>
      <c r="P59" s="965"/>
      <c r="Q59" s="965"/>
      <c r="R59" s="2"/>
      <c r="S59" s="966"/>
      <c r="T59" s="966"/>
      <c r="U59" s="6"/>
      <c r="V59" s="740"/>
    </row>
    <row r="60" spans="2:23" ht="14.25" hidden="1" customHeight="1" outlineLevel="1">
      <c r="B60" s="8"/>
      <c r="C60" s="2"/>
      <c r="D60" s="3"/>
      <c r="E60" s="3"/>
      <c r="F60" s="3"/>
      <c r="G60" s="3"/>
      <c r="H60" s="3"/>
      <c r="I60" s="885"/>
      <c r="J60" s="885"/>
      <c r="K60" s="4"/>
      <c r="L60" s="960"/>
      <c r="M60" s="958"/>
      <c r="N60" s="958"/>
      <c r="O60" s="2"/>
      <c r="P60" s="965"/>
      <c r="Q60" s="965"/>
      <c r="R60" s="2"/>
      <c r="S60" s="966"/>
      <c r="T60" s="966"/>
      <c r="U60" s="6"/>
      <c r="V60" s="740"/>
    </row>
    <row r="61" spans="2:23" ht="14.25" hidden="1" customHeight="1" outlineLevel="1">
      <c r="B61" s="462"/>
      <c r="C61" s="744"/>
      <c r="D61" s="745"/>
      <c r="E61" s="745"/>
      <c r="F61" s="745"/>
      <c r="G61" s="745"/>
      <c r="H61" s="745"/>
      <c r="I61" s="464"/>
      <c r="J61" s="464"/>
      <c r="K61" s="747"/>
      <c r="L61" s="747"/>
      <c r="M61" s="750"/>
      <c r="N61" s="750"/>
      <c r="O61" s="744"/>
      <c r="P61" s="751"/>
      <c r="Q61" s="751"/>
      <c r="R61" s="744"/>
      <c r="S61" s="752"/>
      <c r="T61" s="752"/>
      <c r="U61" s="748"/>
      <c r="V61" s="740"/>
    </row>
    <row r="62" spans="2:23" ht="14.25" hidden="1" customHeight="1" outlineLevel="1">
      <c r="B62" s="462"/>
      <c r="C62" s="463"/>
      <c r="D62" s="742"/>
      <c r="E62" s="742"/>
      <c r="F62" s="742"/>
      <c r="G62" s="742"/>
      <c r="H62" s="742"/>
      <c r="I62" s="749"/>
      <c r="J62" s="749"/>
      <c r="K62" s="465"/>
      <c r="L62" s="465"/>
      <c r="M62" s="466"/>
      <c r="N62" s="467"/>
      <c r="O62" s="463"/>
      <c r="P62" s="468"/>
      <c r="Q62" s="468"/>
      <c r="R62" s="463"/>
      <c r="S62" s="469"/>
      <c r="T62" s="469"/>
      <c r="U62" s="470"/>
      <c r="V62" s="740"/>
    </row>
    <row r="63" spans="2:23" ht="14.25" hidden="1" customHeight="1" outlineLevel="1">
      <c r="B63" s="462"/>
      <c r="C63" s="463"/>
      <c r="D63" s="742"/>
      <c r="E63" s="742"/>
      <c r="F63" s="742"/>
      <c r="G63" s="742"/>
      <c r="H63" s="742"/>
      <c r="I63" s="464"/>
      <c r="J63" s="464"/>
      <c r="K63" s="465"/>
      <c r="L63" s="465"/>
      <c r="M63" s="466"/>
      <c r="N63" s="467"/>
      <c r="O63" s="463"/>
      <c r="P63" s="468"/>
      <c r="Q63" s="468"/>
      <c r="R63" s="463"/>
      <c r="S63" s="469"/>
      <c r="T63" s="469"/>
      <c r="U63" s="470"/>
      <c r="V63" s="740"/>
    </row>
    <row r="64" spans="2:23" ht="14.25" hidden="1" customHeight="1" outlineLevel="1">
      <c r="B64" s="462"/>
      <c r="C64" s="463"/>
      <c r="D64" s="742"/>
      <c r="E64" s="742"/>
      <c r="F64" s="742"/>
      <c r="G64" s="742"/>
      <c r="H64" s="742"/>
      <c r="I64" s="464"/>
      <c r="J64" s="464"/>
      <c r="K64" s="465"/>
      <c r="L64" s="465"/>
      <c r="M64" s="466"/>
      <c r="N64" s="467"/>
      <c r="O64" s="463"/>
      <c r="P64" s="468"/>
      <c r="Q64" s="468"/>
      <c r="R64" s="463"/>
      <c r="S64" s="469"/>
      <c r="T64" s="469"/>
      <c r="U64" s="470"/>
      <c r="V64" s="740"/>
    </row>
    <row r="65" spans="2:22" ht="14.25" hidden="1" customHeight="1" outlineLevel="1">
      <c r="B65" s="29"/>
      <c r="C65" s="30"/>
      <c r="D65" s="31"/>
      <c r="E65" s="31"/>
      <c r="F65" s="31"/>
      <c r="G65" s="31"/>
      <c r="H65" s="31"/>
      <c r="I65" s="25" t="s">
        <v>15</v>
      </c>
      <c r="J65" s="26" t="s">
        <v>18</v>
      </c>
      <c r="K65" s="27" t="s">
        <v>19</v>
      </c>
      <c r="L65" s="27"/>
      <c r="M65" s="32"/>
      <c r="N65" s="32"/>
      <c r="O65" s="30"/>
      <c r="P65" s="33"/>
      <c r="Q65" s="33"/>
      <c r="R65" s="30"/>
      <c r="S65" s="34"/>
      <c r="T65" s="34"/>
      <c r="U65" s="35"/>
      <c r="V65" s="740"/>
    </row>
    <row r="66" spans="2:22" ht="14.25" hidden="1" customHeight="1" outlineLevel="1" thickBot="1">
      <c r="B66" s="36"/>
      <c r="C66" s="37"/>
      <c r="D66" s="38"/>
      <c r="E66" s="38"/>
      <c r="F66" s="38"/>
      <c r="G66" s="38"/>
      <c r="H66" s="38"/>
      <c r="I66" s="39">
        <f>IFERROR(AVERAGE(I58:I64),0)</f>
        <v>0</v>
      </c>
      <c r="J66" s="39">
        <f>IFERROR(AVERAGE(J58:J64),0)</f>
        <v>0</v>
      </c>
      <c r="K66" s="28">
        <f>SUM(K58:K64)</f>
        <v>0</v>
      </c>
      <c r="L66" s="28">
        <f>SUM(L58:L64)</f>
        <v>0</v>
      </c>
      <c r="M66" s="45"/>
      <c r="N66" s="45"/>
      <c r="O66" s="45"/>
      <c r="P66" s="45"/>
      <c r="Q66" s="45"/>
      <c r="R66" s="45"/>
      <c r="S66" s="45"/>
      <c r="T66" s="45"/>
      <c r="U66" s="40"/>
      <c r="V66" s="740"/>
    </row>
    <row r="67" spans="2:22" ht="14.25" hidden="1" customHeight="1" outlineLevel="1" thickBot="1">
      <c r="B67" s="197" t="s">
        <v>839</v>
      </c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6"/>
    </row>
    <row r="68" spans="2:22" ht="14.25" hidden="1" customHeight="1" outlineLevel="1">
      <c r="B68" s="8"/>
      <c r="C68" s="2"/>
      <c r="D68" s="3"/>
      <c r="E68" s="3"/>
      <c r="F68" s="3"/>
      <c r="G68" s="3"/>
      <c r="H68" s="3"/>
      <c r="I68" s="885"/>
      <c r="J68" s="885"/>
      <c r="K68" s="4"/>
      <c r="L68" s="4"/>
      <c r="M68" s="958"/>
      <c r="N68" s="958"/>
      <c r="O68" s="2"/>
      <c r="P68" s="965"/>
      <c r="Q68" s="965"/>
      <c r="R68" s="2"/>
      <c r="S68" s="966"/>
      <c r="T68" s="966"/>
      <c r="U68" s="6"/>
      <c r="V68" s="740"/>
    </row>
    <row r="69" spans="2:22" ht="14.25" hidden="1" customHeight="1" outlineLevel="1">
      <c r="B69" s="8"/>
      <c r="C69" s="2"/>
      <c r="D69" s="3"/>
      <c r="E69" s="3"/>
      <c r="F69" s="3"/>
      <c r="G69" s="3"/>
      <c r="H69" s="3"/>
      <c r="I69" s="885"/>
      <c r="J69" s="885"/>
      <c r="K69" s="4"/>
      <c r="L69" s="4"/>
      <c r="M69" s="958"/>
      <c r="N69" s="958"/>
      <c r="O69" s="47"/>
      <c r="P69" s="965"/>
      <c r="Q69" s="965"/>
      <c r="R69" s="2"/>
      <c r="S69" s="966"/>
      <c r="T69" s="966"/>
      <c r="U69" s="6"/>
    </row>
    <row r="70" spans="2:22" ht="14.25" hidden="1" customHeight="1" outlineLevel="1">
      <c r="B70" s="8"/>
      <c r="C70" s="2"/>
      <c r="D70" s="3"/>
      <c r="E70" s="3"/>
      <c r="F70" s="3"/>
      <c r="G70" s="3"/>
      <c r="H70" s="3"/>
      <c r="I70" s="885"/>
      <c r="J70" s="885"/>
      <c r="K70" s="4"/>
      <c r="L70" s="4"/>
      <c r="M70" s="958"/>
      <c r="N70" s="958"/>
      <c r="O70" s="47"/>
      <c r="P70" s="965"/>
      <c r="Q70" s="965"/>
      <c r="R70" s="2"/>
      <c r="S70" s="966"/>
      <c r="T70" s="966"/>
      <c r="U70" s="6"/>
    </row>
    <row r="71" spans="2:22" ht="14.25" hidden="1" customHeight="1" outlineLevel="1">
      <c r="B71" s="8"/>
      <c r="C71" s="47"/>
      <c r="D71" s="46"/>
      <c r="E71" s="46"/>
      <c r="F71" s="46"/>
      <c r="G71" s="46"/>
      <c r="H71" s="46"/>
      <c r="I71" s="885"/>
      <c r="J71" s="885"/>
      <c r="K71" s="960"/>
      <c r="L71" s="960"/>
      <c r="M71" s="961"/>
      <c r="N71" s="962"/>
      <c r="O71" s="47"/>
      <c r="P71" s="963"/>
      <c r="Q71" s="963"/>
      <c r="R71" s="47"/>
      <c r="S71" s="9"/>
      <c r="T71" s="9"/>
      <c r="U71" s="964"/>
    </row>
    <row r="72" spans="2:22" ht="14.25" hidden="1" customHeight="1" outlineLevel="1">
      <c r="B72" s="8"/>
      <c r="C72" s="47"/>
      <c r="D72" s="46"/>
      <c r="E72" s="46"/>
      <c r="F72" s="46"/>
      <c r="G72" s="46"/>
      <c r="H72" s="46"/>
      <c r="I72" s="885"/>
      <c r="J72" s="885"/>
      <c r="K72" s="960"/>
      <c r="L72" s="960"/>
      <c r="M72" s="961"/>
      <c r="N72" s="962"/>
      <c r="O72" s="47"/>
      <c r="P72" s="963"/>
      <c r="Q72" s="963"/>
      <c r="R72" s="47"/>
      <c r="S72" s="9"/>
      <c r="T72" s="9"/>
      <c r="U72" s="964"/>
    </row>
    <row r="73" spans="2:22" ht="14.25" hidden="1" customHeight="1" outlineLevel="1">
      <c r="B73" s="462"/>
      <c r="C73" s="463"/>
      <c r="D73" s="742"/>
      <c r="E73" s="742"/>
      <c r="F73" s="742"/>
      <c r="G73" s="742"/>
      <c r="H73" s="742"/>
      <c r="I73" s="749"/>
      <c r="J73" s="749"/>
      <c r="K73" s="465"/>
      <c r="L73" s="465"/>
      <c r="M73" s="466"/>
      <c r="N73" s="467"/>
      <c r="O73" s="463"/>
      <c r="P73" s="468"/>
      <c r="Q73" s="468"/>
      <c r="R73" s="463"/>
      <c r="S73" s="469"/>
      <c r="T73" s="469"/>
      <c r="U73" s="470"/>
    </row>
    <row r="74" spans="2:22" ht="14.25" hidden="1" customHeight="1" outlineLevel="1">
      <c r="B74" s="462"/>
      <c r="C74" s="463"/>
      <c r="D74" s="742"/>
      <c r="E74" s="742"/>
      <c r="F74" s="742"/>
      <c r="G74" s="742"/>
      <c r="H74" s="742"/>
      <c r="I74" s="464"/>
      <c r="J74" s="464"/>
      <c r="K74" s="465"/>
      <c r="L74" s="465"/>
      <c r="M74" s="466"/>
      <c r="N74" s="467"/>
      <c r="O74" s="463"/>
      <c r="P74" s="468"/>
      <c r="Q74" s="468"/>
      <c r="R74" s="463"/>
      <c r="S74" s="469"/>
      <c r="T74" s="469"/>
      <c r="U74" s="470"/>
    </row>
    <row r="75" spans="2:22" ht="14.25" hidden="1" customHeight="1" outlineLevel="1">
      <c r="B75" s="462"/>
      <c r="C75" s="463"/>
      <c r="D75" s="742"/>
      <c r="E75" s="742"/>
      <c r="F75" s="742"/>
      <c r="G75" s="742"/>
      <c r="H75" s="742"/>
      <c r="I75" s="749"/>
      <c r="J75" s="749"/>
      <c r="K75" s="465"/>
      <c r="L75" s="465"/>
      <c r="M75" s="466"/>
      <c r="N75" s="467"/>
      <c r="O75" s="463"/>
      <c r="P75" s="468"/>
      <c r="Q75" s="468"/>
      <c r="R75" s="463"/>
      <c r="S75" s="469"/>
      <c r="T75" s="469"/>
      <c r="U75" s="470"/>
    </row>
    <row r="76" spans="2:22" ht="14.25" hidden="1" customHeight="1" outlineLevel="1">
      <c r="B76" s="462"/>
      <c r="C76" s="463"/>
      <c r="D76" s="742"/>
      <c r="E76" s="742"/>
      <c r="F76" s="742"/>
      <c r="G76" s="742"/>
      <c r="H76" s="742"/>
      <c r="I76" s="464"/>
      <c r="J76" s="464"/>
      <c r="K76" s="465"/>
      <c r="L76" s="465"/>
      <c r="M76" s="466"/>
      <c r="N76" s="467"/>
      <c r="O76" s="463"/>
      <c r="P76" s="468"/>
      <c r="Q76" s="468"/>
      <c r="R76" s="463"/>
      <c r="S76" s="469"/>
      <c r="T76" s="469"/>
      <c r="U76" s="470"/>
    </row>
    <row r="77" spans="2:22" ht="14.25" hidden="1" customHeight="1" outlineLevel="1">
      <c r="B77" s="29"/>
      <c r="C77" s="30"/>
      <c r="D77" s="31"/>
      <c r="E77" s="31"/>
      <c r="F77" s="31"/>
      <c r="G77" s="31"/>
      <c r="H77" s="31"/>
      <c r="I77" s="25" t="s">
        <v>15</v>
      </c>
      <c r="J77" s="26" t="s">
        <v>18</v>
      </c>
      <c r="K77" s="27" t="s">
        <v>19</v>
      </c>
      <c r="L77" s="27"/>
      <c r="M77" s="32"/>
      <c r="N77" s="32"/>
      <c r="O77" s="30"/>
      <c r="P77" s="33"/>
      <c r="Q77" s="33"/>
      <c r="R77" s="30"/>
      <c r="S77" s="34"/>
      <c r="T77" s="34"/>
      <c r="U77" s="35"/>
    </row>
    <row r="78" spans="2:22" ht="14.25" hidden="1" customHeight="1" outlineLevel="1" thickBot="1">
      <c r="B78" s="36"/>
      <c r="C78" s="37"/>
      <c r="D78" s="38"/>
      <c r="E78" s="38"/>
      <c r="F78" s="38"/>
      <c r="G78" s="38"/>
      <c r="H78" s="38"/>
      <c r="I78" s="39">
        <f>IFERROR(AVERAGE(I68:I76),0)</f>
        <v>0</v>
      </c>
      <c r="J78" s="39">
        <f>IFERROR(AVERAGE(J68:J76),0)</f>
        <v>0</v>
      </c>
      <c r="K78" s="28">
        <f>SUM(K68:K76)</f>
        <v>0</v>
      </c>
      <c r="L78" s="28">
        <f>SUM(L68:L76)</f>
        <v>0</v>
      </c>
      <c r="M78" s="45"/>
      <c r="N78" s="45"/>
      <c r="O78" s="45"/>
      <c r="P78" s="45"/>
      <c r="Q78" s="45"/>
      <c r="R78" s="45"/>
      <c r="S78" s="45"/>
      <c r="T78" s="45"/>
      <c r="U78" s="40"/>
    </row>
    <row r="79" spans="2:22" ht="14.25" hidden="1" customHeight="1" outlineLevel="1" collapsed="1" thickBot="1">
      <c r="B79" s="197" t="s">
        <v>838</v>
      </c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6"/>
    </row>
    <row r="80" spans="2:22" ht="14.25" hidden="1" customHeight="1" outlineLevel="1">
      <c r="B80" s="8"/>
      <c r="C80" s="47"/>
      <c r="D80" s="46"/>
      <c r="E80" s="46"/>
      <c r="F80" s="46"/>
      <c r="G80" s="46"/>
      <c r="H80" s="46"/>
      <c r="I80" s="885"/>
      <c r="J80" s="885"/>
      <c r="K80" s="960"/>
      <c r="L80" s="960"/>
      <c r="M80" s="961"/>
      <c r="N80" s="962"/>
      <c r="O80" s="47"/>
      <c r="P80" s="963"/>
      <c r="Q80" s="963"/>
      <c r="R80" s="47"/>
      <c r="S80" s="9"/>
      <c r="T80" s="9"/>
      <c r="U80" s="964"/>
    </row>
    <row r="81" spans="2:21" ht="14.25" hidden="1" customHeight="1" outlineLevel="1">
      <c r="B81" s="8"/>
      <c r="C81" s="47"/>
      <c r="D81" s="46"/>
      <c r="E81" s="46"/>
      <c r="F81" s="46"/>
      <c r="G81" s="46"/>
      <c r="H81" s="46"/>
      <c r="I81" s="885"/>
      <c r="J81" s="885"/>
      <c r="K81" s="960"/>
      <c r="L81" s="960"/>
      <c r="M81" s="961"/>
      <c r="N81" s="962"/>
      <c r="O81" s="47"/>
      <c r="P81" s="963"/>
      <c r="Q81" s="963"/>
      <c r="R81" s="47"/>
      <c r="S81" s="9"/>
      <c r="T81" s="9"/>
      <c r="U81" s="964"/>
    </row>
    <row r="82" spans="2:21" ht="14.25" hidden="1" customHeight="1" outlineLevel="1">
      <c r="B82" s="7"/>
      <c r="C82" s="2"/>
      <c r="D82" s="3"/>
      <c r="E82" s="3"/>
      <c r="F82" s="3"/>
      <c r="G82" s="3"/>
      <c r="H82" s="3"/>
      <c r="I82" s="885"/>
      <c r="J82" s="885"/>
      <c r="K82" s="4"/>
      <c r="L82" s="4"/>
      <c r="M82" s="958"/>
      <c r="N82" s="958"/>
      <c r="O82" s="2"/>
      <c r="P82" s="965"/>
      <c r="Q82" s="965"/>
      <c r="R82" s="2"/>
      <c r="S82" s="966"/>
      <c r="T82" s="966"/>
      <c r="U82" s="6"/>
    </row>
    <row r="83" spans="2:21" ht="14.25" hidden="1" customHeight="1" outlineLevel="1">
      <c r="B83" s="8"/>
      <c r="C83" s="47"/>
      <c r="D83" s="46"/>
      <c r="E83" s="46"/>
      <c r="F83" s="46"/>
      <c r="G83" s="46"/>
      <c r="H83" s="46"/>
      <c r="I83" s="885"/>
      <c r="J83" s="885"/>
      <c r="K83" s="960"/>
      <c r="L83" s="960"/>
      <c r="M83" s="961"/>
      <c r="N83" s="962"/>
      <c r="O83" s="47"/>
      <c r="P83" s="963"/>
      <c r="Q83" s="963"/>
      <c r="R83" s="47"/>
      <c r="S83" s="9"/>
      <c r="T83" s="9"/>
      <c r="U83" s="964"/>
    </row>
    <row r="84" spans="2:21" ht="14.25" hidden="1" customHeight="1" outlineLevel="1">
      <c r="B84" s="462"/>
      <c r="C84" s="463"/>
      <c r="D84" s="742"/>
      <c r="E84" s="742"/>
      <c r="F84" s="742"/>
      <c r="G84" s="742"/>
      <c r="H84" s="742"/>
      <c r="I84" s="464"/>
      <c r="J84" s="464"/>
      <c r="K84" s="465"/>
      <c r="L84" s="465"/>
      <c r="M84" s="466"/>
      <c r="N84" s="467"/>
      <c r="O84" s="463"/>
      <c r="P84" s="468"/>
      <c r="Q84" s="468"/>
      <c r="R84" s="463"/>
      <c r="S84" s="469"/>
      <c r="T84" s="469"/>
      <c r="U84" s="470"/>
    </row>
    <row r="85" spans="2:21" ht="14.25" hidden="1" customHeight="1" outlineLevel="1">
      <c r="B85" s="462"/>
      <c r="C85" s="463"/>
      <c r="D85" s="742"/>
      <c r="E85" s="742"/>
      <c r="F85" s="742"/>
      <c r="G85" s="742"/>
      <c r="H85" s="742"/>
      <c r="I85" s="749"/>
      <c r="J85" s="749"/>
      <c r="K85" s="465"/>
      <c r="L85" s="465"/>
      <c r="M85" s="466"/>
      <c r="N85" s="467"/>
      <c r="O85" s="463"/>
      <c r="P85" s="468"/>
      <c r="Q85" s="468"/>
      <c r="R85" s="463"/>
      <c r="S85" s="469"/>
      <c r="T85" s="469"/>
      <c r="U85" s="470"/>
    </row>
    <row r="86" spans="2:21" ht="14.25" hidden="1" customHeight="1" outlineLevel="1">
      <c r="B86" s="462"/>
      <c r="C86" s="463"/>
      <c r="D86" s="742"/>
      <c r="E86" s="742"/>
      <c r="F86" s="742"/>
      <c r="G86" s="742"/>
      <c r="H86" s="742"/>
      <c r="I86" s="464"/>
      <c r="J86" s="464"/>
      <c r="K86" s="465"/>
      <c r="L86" s="465"/>
      <c r="M86" s="466"/>
      <c r="N86" s="467"/>
      <c r="O86" s="463"/>
      <c r="P86" s="468"/>
      <c r="Q86" s="468"/>
      <c r="R86" s="463"/>
      <c r="S86" s="469"/>
      <c r="T86" s="469"/>
      <c r="U86" s="470"/>
    </row>
    <row r="87" spans="2:21" ht="14.25" hidden="1" customHeight="1" outlineLevel="1">
      <c r="B87" s="29"/>
      <c r="C87" s="30"/>
      <c r="D87" s="31"/>
      <c r="E87" s="31"/>
      <c r="F87" s="31"/>
      <c r="G87" s="31"/>
      <c r="H87" s="31"/>
      <c r="I87" s="25" t="s">
        <v>15</v>
      </c>
      <c r="J87" s="26" t="s">
        <v>18</v>
      </c>
      <c r="K87" s="27" t="s">
        <v>19</v>
      </c>
      <c r="L87" s="27"/>
      <c r="M87" s="32"/>
      <c r="N87" s="32"/>
      <c r="O87" s="30"/>
      <c r="P87" s="33"/>
      <c r="Q87" s="33"/>
      <c r="R87" s="30"/>
      <c r="S87" s="34"/>
      <c r="T87" s="34"/>
      <c r="U87" s="35"/>
    </row>
    <row r="88" spans="2:21" ht="14.25" hidden="1" customHeight="1" outlineLevel="1" thickBot="1">
      <c r="B88" s="36"/>
      <c r="C88" s="37"/>
      <c r="D88" s="38"/>
      <c r="E88" s="38"/>
      <c r="F88" s="38"/>
      <c r="G88" s="38"/>
      <c r="H88" s="38"/>
      <c r="I88" s="39">
        <f>IFERROR(AVERAGE(I80:I86),0)</f>
        <v>0</v>
      </c>
      <c r="J88" s="39">
        <f>IFERROR(AVERAGE(J80:J86),0)</f>
        <v>0</v>
      </c>
      <c r="K88" s="28">
        <f>SUM(K80:K86)</f>
        <v>0</v>
      </c>
      <c r="L88" s="28">
        <f>SUM(L80:L86)</f>
        <v>0</v>
      </c>
      <c r="M88" s="45"/>
      <c r="N88" s="45"/>
      <c r="O88" s="45"/>
      <c r="P88" s="45"/>
      <c r="Q88" s="45"/>
      <c r="R88" s="45"/>
      <c r="S88" s="45"/>
      <c r="T88" s="45"/>
      <c r="U88" s="40"/>
    </row>
    <row r="89" spans="2:21" ht="14.25" hidden="1" customHeight="1" outlineLevel="1" collapsed="1" thickBot="1">
      <c r="B89" s="197" t="s">
        <v>837</v>
      </c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6"/>
    </row>
    <row r="90" spans="2:21" ht="14.25" hidden="1" customHeight="1" outlineLevel="1">
      <c r="B90" s="7"/>
      <c r="C90" s="2"/>
      <c r="D90" s="3"/>
      <c r="E90" s="3"/>
      <c r="F90" s="3"/>
      <c r="G90" s="3"/>
      <c r="H90" s="3"/>
      <c r="I90" s="885"/>
      <c r="J90" s="885"/>
      <c r="K90" s="4"/>
      <c r="L90" s="4"/>
      <c r="M90" s="958"/>
      <c r="N90" s="958"/>
      <c r="O90" s="2"/>
      <c r="P90" s="965"/>
      <c r="Q90" s="965"/>
      <c r="R90" s="2"/>
      <c r="S90" s="966"/>
      <c r="T90" s="966"/>
      <c r="U90" s="6"/>
    </row>
    <row r="91" spans="2:21" ht="14.25" hidden="1" customHeight="1" outlineLevel="1">
      <c r="B91" s="7"/>
      <c r="C91" s="2"/>
      <c r="D91" s="3"/>
      <c r="E91" s="3"/>
      <c r="F91" s="3"/>
      <c r="G91" s="3"/>
      <c r="H91" s="3"/>
      <c r="I91" s="885"/>
      <c r="J91" s="885"/>
      <c r="K91" s="4"/>
      <c r="L91" s="4"/>
      <c r="M91" s="958"/>
      <c r="N91" s="958"/>
      <c r="O91" s="2"/>
      <c r="P91" s="965"/>
      <c r="Q91" s="965"/>
      <c r="R91" s="2"/>
      <c r="S91" s="966"/>
      <c r="T91" s="966"/>
      <c r="U91" s="6"/>
    </row>
    <row r="92" spans="2:21" ht="14.25" hidden="1" customHeight="1" outlineLevel="1">
      <c r="B92" s="8"/>
      <c r="C92" s="47"/>
      <c r="D92" s="46"/>
      <c r="E92" s="46"/>
      <c r="F92" s="46"/>
      <c r="G92" s="46"/>
      <c r="H92" s="46"/>
      <c r="I92" s="885"/>
      <c r="J92" s="885"/>
      <c r="K92" s="960"/>
      <c r="L92" s="960"/>
      <c r="M92" s="961"/>
      <c r="N92" s="958"/>
      <c r="O92" s="47"/>
      <c r="P92" s="963"/>
      <c r="Q92" s="963"/>
      <c r="R92" s="47"/>
      <c r="S92" s="9"/>
      <c r="T92" s="9"/>
      <c r="U92" s="964"/>
    </row>
    <row r="93" spans="2:21" ht="14.25" hidden="1" customHeight="1" outlineLevel="1">
      <c r="B93" s="8"/>
      <c r="C93" s="47"/>
      <c r="D93" s="46"/>
      <c r="E93" s="46"/>
      <c r="F93" s="46"/>
      <c r="G93" s="46"/>
      <c r="H93" s="46"/>
      <c r="I93" s="885"/>
      <c r="J93" s="885"/>
      <c r="K93" s="960"/>
      <c r="L93" s="960"/>
      <c r="M93" s="961"/>
      <c r="N93" s="962"/>
      <c r="O93" s="47"/>
      <c r="P93" s="963"/>
      <c r="Q93" s="963"/>
      <c r="R93" s="47"/>
      <c r="S93" s="9"/>
      <c r="T93" s="9"/>
      <c r="U93" s="964"/>
    </row>
    <row r="94" spans="2:21" ht="14.25" hidden="1" customHeight="1" outlineLevel="1">
      <c r="B94" s="462"/>
      <c r="C94" s="463"/>
      <c r="D94" s="742"/>
      <c r="E94" s="742"/>
      <c r="F94" s="742"/>
      <c r="G94" s="742"/>
      <c r="H94" s="742"/>
      <c r="I94" s="464"/>
      <c r="J94" s="464"/>
      <c r="K94" s="465"/>
      <c r="L94" s="465"/>
      <c r="M94" s="466"/>
      <c r="N94" s="467"/>
      <c r="O94" s="463"/>
      <c r="P94" s="468"/>
      <c r="Q94" s="468"/>
      <c r="R94" s="463"/>
      <c r="S94" s="469"/>
      <c r="T94" s="469"/>
      <c r="U94" s="470"/>
    </row>
    <row r="95" spans="2:21" ht="14.25" hidden="1" customHeight="1" outlineLevel="1">
      <c r="B95" s="29"/>
      <c r="C95" s="30"/>
      <c r="D95" s="31"/>
      <c r="E95" s="31"/>
      <c r="F95" s="31"/>
      <c r="G95" s="31"/>
      <c r="H95" s="31"/>
      <c r="I95" s="25" t="s">
        <v>15</v>
      </c>
      <c r="J95" s="26" t="s">
        <v>18</v>
      </c>
      <c r="K95" s="27" t="s">
        <v>19</v>
      </c>
      <c r="L95" s="27"/>
      <c r="M95" s="32"/>
      <c r="N95" s="32"/>
      <c r="O95" s="30"/>
      <c r="P95" s="33"/>
      <c r="Q95" s="33"/>
      <c r="R95" s="30"/>
      <c r="S95" s="34"/>
      <c r="T95" s="34"/>
      <c r="U95" s="35"/>
    </row>
    <row r="96" spans="2:21" ht="14.25" hidden="1" customHeight="1" outlineLevel="1" thickBot="1">
      <c r="B96" s="36"/>
      <c r="C96" s="37"/>
      <c r="D96" s="38"/>
      <c r="E96" s="38"/>
      <c r="F96" s="38"/>
      <c r="G96" s="38"/>
      <c r="H96" s="38"/>
      <c r="I96" s="39">
        <f>IFERROR(AVERAGE(I91:I94),0)</f>
        <v>0</v>
      </c>
      <c r="J96" s="39">
        <f>IFERROR(AVERAGE(J91:J94),0)</f>
        <v>0</v>
      </c>
      <c r="K96" s="28">
        <f>SUM(K90:K94)</f>
        <v>0</v>
      </c>
      <c r="L96" s="28">
        <f>SUM(L90:L93)</f>
        <v>0</v>
      </c>
      <c r="M96" s="45"/>
      <c r="N96" s="45"/>
      <c r="O96" s="45"/>
      <c r="P96" s="45"/>
      <c r="Q96" s="45"/>
      <c r="R96" s="45"/>
      <c r="S96" s="45"/>
      <c r="T96" s="45"/>
      <c r="U96" s="40"/>
    </row>
    <row r="97" spans="2:21" ht="14.25" hidden="1" customHeight="1" outlineLevel="1" thickBot="1">
      <c r="B97" s="197" t="s">
        <v>836</v>
      </c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6"/>
    </row>
    <row r="98" spans="2:21" ht="14.25" hidden="1" customHeight="1" outlineLevel="1">
      <c r="B98" s="7"/>
      <c r="C98" s="2"/>
      <c r="D98" s="3"/>
      <c r="E98" s="46"/>
      <c r="F98" s="3"/>
      <c r="G98" s="3"/>
      <c r="H98" s="3"/>
      <c r="I98" s="885"/>
      <c r="J98" s="885"/>
      <c r="K98" s="4"/>
      <c r="L98" s="4"/>
      <c r="M98" s="958"/>
      <c r="N98" s="958"/>
      <c r="O98" s="2"/>
      <c r="P98" s="965"/>
      <c r="Q98" s="965"/>
      <c r="R98" s="2"/>
      <c r="S98" s="966"/>
      <c r="T98" s="966"/>
      <c r="U98" s="6"/>
    </row>
    <row r="99" spans="2:21" ht="14.25" hidden="1" customHeight="1" outlineLevel="1">
      <c r="B99" s="8"/>
      <c r="C99" s="47"/>
      <c r="D99" s="46"/>
      <c r="E99" s="46"/>
      <c r="F99" s="46"/>
      <c r="G99" s="46"/>
      <c r="H99" s="46"/>
      <c r="I99" s="885"/>
      <c r="J99" s="885"/>
      <c r="K99" s="960"/>
      <c r="L99" s="960"/>
      <c r="M99" s="958"/>
      <c r="N99" s="958"/>
      <c r="O99" s="2"/>
      <c r="P99" s="965"/>
      <c r="Q99" s="965"/>
      <c r="R99" s="2"/>
      <c r="S99" s="966"/>
      <c r="T99" s="966"/>
      <c r="U99" s="6"/>
    </row>
    <row r="100" spans="2:21" ht="14.25" hidden="1" customHeight="1" outlineLevel="1">
      <c r="B100" s="8"/>
      <c r="C100" s="47"/>
      <c r="D100" s="46"/>
      <c r="E100" s="46"/>
      <c r="F100" s="46"/>
      <c r="G100" s="46"/>
      <c r="H100" s="46"/>
      <c r="I100" s="885"/>
      <c r="J100" s="885"/>
      <c r="K100" s="960"/>
      <c r="L100" s="960"/>
      <c r="M100" s="961"/>
      <c r="N100" s="962"/>
      <c r="O100" s="47"/>
      <c r="P100" s="963"/>
      <c r="Q100" s="963"/>
      <c r="R100" s="47"/>
      <c r="S100" s="9"/>
      <c r="T100" s="9"/>
      <c r="U100" s="964"/>
    </row>
    <row r="101" spans="2:21" ht="14.25" hidden="1" customHeight="1" outlineLevel="1">
      <c r="B101" s="1157"/>
      <c r="C101" s="1158"/>
      <c r="D101" s="1150"/>
      <c r="E101" s="1150"/>
      <c r="F101" s="1150"/>
      <c r="G101" s="1150"/>
      <c r="H101" s="1150"/>
      <c r="I101" s="1147"/>
      <c r="J101" s="1147"/>
      <c r="K101" s="4"/>
      <c r="L101" s="4"/>
      <c r="M101" s="958"/>
      <c r="N101" s="958"/>
      <c r="O101" s="2"/>
      <c r="P101" s="965"/>
      <c r="Q101" s="965"/>
      <c r="R101" s="2"/>
      <c r="S101" s="966"/>
      <c r="T101" s="966"/>
      <c r="U101" s="6"/>
    </row>
    <row r="102" spans="2:21" ht="14.25" hidden="1" customHeight="1" outlineLevel="1">
      <c r="B102" s="1157"/>
      <c r="C102" s="1158"/>
      <c r="D102" s="1150"/>
      <c r="E102" s="1150"/>
      <c r="F102" s="1150"/>
      <c r="G102" s="1150"/>
      <c r="H102" s="1150"/>
      <c r="I102" s="1147"/>
      <c r="J102" s="1147"/>
      <c r="K102" s="4"/>
      <c r="L102" s="4"/>
      <c r="M102" s="958"/>
      <c r="N102" s="958"/>
      <c r="O102" s="2"/>
      <c r="P102" s="965"/>
      <c r="Q102" s="965"/>
      <c r="R102" s="2"/>
      <c r="S102" s="966"/>
      <c r="T102" s="966"/>
      <c r="U102" s="6"/>
    </row>
    <row r="103" spans="2:21" ht="14.25" hidden="1" customHeight="1" outlineLevel="1">
      <c r="B103" s="8"/>
      <c r="C103" s="47"/>
      <c r="D103" s="46"/>
      <c r="E103" s="46"/>
      <c r="F103" s="46"/>
      <c r="G103" s="46"/>
      <c r="H103" s="46"/>
      <c r="I103" s="885"/>
      <c r="J103" s="885"/>
      <c r="K103" s="960"/>
      <c r="L103" s="960"/>
      <c r="M103" s="961"/>
      <c r="N103" s="962"/>
      <c r="O103" s="47"/>
      <c r="P103" s="963"/>
      <c r="Q103" s="963"/>
      <c r="R103" s="47"/>
      <c r="S103" s="9"/>
      <c r="T103" s="9"/>
      <c r="U103" s="964"/>
    </row>
    <row r="104" spans="2:21" ht="14.25" hidden="1" customHeight="1" outlineLevel="1">
      <c r="B104" s="743"/>
      <c r="C104" s="744"/>
      <c r="D104" s="745"/>
      <c r="E104" s="745"/>
      <c r="F104" s="745"/>
      <c r="G104" s="745"/>
      <c r="H104" s="745"/>
      <c r="I104" s="885"/>
      <c r="J104" s="749"/>
      <c r="K104" s="747"/>
      <c r="L104" s="747"/>
      <c r="M104" s="750"/>
      <c r="N104" s="750"/>
      <c r="O104" s="463"/>
      <c r="P104" s="751"/>
      <c r="Q104" s="751"/>
      <c r="R104" s="744"/>
      <c r="S104" s="752"/>
      <c r="T104" s="752"/>
      <c r="U104" s="748"/>
    </row>
    <row r="105" spans="2:21" ht="14.25" hidden="1" customHeight="1" outlineLevel="1">
      <c r="B105" s="743"/>
      <c r="C105" s="744"/>
      <c r="D105" s="745"/>
      <c r="E105" s="745"/>
      <c r="F105" s="745"/>
      <c r="G105" s="745"/>
      <c r="H105" s="745"/>
      <c r="I105" s="746"/>
      <c r="J105" s="744"/>
      <c r="K105" s="747"/>
      <c r="L105" s="747"/>
      <c r="M105" s="750"/>
      <c r="N105" s="750"/>
      <c r="O105" s="744"/>
      <c r="P105" s="751"/>
      <c r="Q105" s="751"/>
      <c r="R105" s="744"/>
      <c r="S105" s="752"/>
      <c r="T105" s="752"/>
      <c r="U105" s="748"/>
    </row>
    <row r="106" spans="2:21" ht="14.25" hidden="1" customHeight="1" outlineLevel="1">
      <c r="B106" s="29"/>
      <c r="C106" s="30"/>
      <c r="D106" s="31"/>
      <c r="E106" s="31"/>
      <c r="F106" s="31"/>
      <c r="G106" s="31"/>
      <c r="H106" s="31"/>
      <c r="I106" s="25" t="s">
        <v>15</v>
      </c>
      <c r="J106" s="26" t="s">
        <v>18</v>
      </c>
      <c r="K106" s="27" t="s">
        <v>19</v>
      </c>
      <c r="L106" s="27"/>
      <c r="M106" s="32"/>
      <c r="N106" s="32"/>
      <c r="O106" s="30"/>
      <c r="P106" s="33"/>
      <c r="Q106" s="33"/>
      <c r="R106" s="30"/>
      <c r="S106" s="34"/>
      <c r="T106" s="34"/>
      <c r="U106" s="35"/>
    </row>
    <row r="107" spans="2:21" ht="14.25" hidden="1" customHeight="1" outlineLevel="1" thickBot="1">
      <c r="B107" s="36"/>
      <c r="C107" s="37"/>
      <c r="D107" s="38"/>
      <c r="E107" s="38"/>
      <c r="F107" s="38"/>
      <c r="G107" s="38"/>
      <c r="H107" s="38"/>
      <c r="I107" s="39">
        <f>IFERROR(AVERAGE(I101:I105),0)</f>
        <v>0</v>
      </c>
      <c r="J107" s="39">
        <f>IFERROR(AVERAGE(J101:J105),0)</f>
        <v>0</v>
      </c>
      <c r="K107" s="28">
        <f>SUM(K99:K105)</f>
        <v>0</v>
      </c>
      <c r="L107" s="28">
        <f>SUM(L98:L103)</f>
        <v>0</v>
      </c>
      <c r="M107" s="45"/>
      <c r="N107" s="45"/>
      <c r="O107" s="45"/>
      <c r="P107" s="45"/>
      <c r="Q107" s="45"/>
      <c r="R107" s="45"/>
      <c r="S107" s="45"/>
      <c r="T107" s="45"/>
      <c r="U107" s="40"/>
    </row>
    <row r="108" spans="2:21" ht="14.25" hidden="1" customHeight="1" outlineLevel="1" thickBot="1">
      <c r="B108" s="197" t="s">
        <v>835</v>
      </c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6"/>
    </row>
    <row r="109" spans="2:21" ht="14.25" hidden="1" customHeight="1" outlineLevel="1">
      <c r="B109" s="8"/>
      <c r="C109" s="2"/>
      <c r="D109" s="3"/>
      <c r="E109" s="3"/>
      <c r="F109" s="3"/>
      <c r="G109" s="3"/>
      <c r="H109" s="3"/>
      <c r="I109" s="885"/>
      <c r="J109" s="885"/>
      <c r="K109" s="4"/>
      <c r="L109" s="4"/>
      <c r="M109" s="958"/>
      <c r="N109" s="959"/>
      <c r="O109" s="42"/>
      <c r="P109" s="43"/>
      <c r="Q109" s="43"/>
      <c r="R109" s="42"/>
      <c r="S109" s="44"/>
      <c r="T109" s="44"/>
      <c r="U109" s="6"/>
    </row>
    <row r="110" spans="2:21" ht="14.25" hidden="1" customHeight="1" outlineLevel="1">
      <c r="B110" s="8"/>
      <c r="C110" s="47"/>
      <c r="D110" s="46"/>
      <c r="E110" s="46"/>
      <c r="F110" s="46"/>
      <c r="G110" s="46"/>
      <c r="H110" s="46"/>
      <c r="I110" s="885"/>
      <c r="J110" s="885"/>
      <c r="K110" s="960"/>
      <c r="L110" s="960"/>
      <c r="M110" s="961"/>
      <c r="N110" s="962"/>
      <c r="O110" s="47"/>
      <c r="P110" s="963"/>
      <c r="Q110" s="963"/>
      <c r="R110" s="47"/>
      <c r="S110" s="9"/>
      <c r="T110" s="9"/>
      <c r="U110" s="964"/>
    </row>
    <row r="111" spans="2:21" ht="14.25" hidden="1" customHeight="1" outlineLevel="1">
      <c r="B111" s="8"/>
      <c r="C111" s="2"/>
      <c r="D111" s="3"/>
      <c r="E111" s="3"/>
      <c r="F111" s="3"/>
      <c r="G111" s="3"/>
      <c r="H111" s="3"/>
      <c r="I111" s="885"/>
      <c r="J111" s="885"/>
      <c r="K111" s="4"/>
      <c r="L111" s="4"/>
      <c r="M111" s="958"/>
      <c r="N111" s="958"/>
      <c r="O111" s="2"/>
      <c r="P111" s="965"/>
      <c r="Q111" s="965"/>
      <c r="R111" s="2"/>
      <c r="S111" s="966"/>
      <c r="T111" s="966"/>
      <c r="U111" s="6"/>
    </row>
    <row r="112" spans="2:21" ht="14.25" hidden="1" customHeight="1" outlineLevel="1">
      <c r="B112" s="8"/>
      <c r="C112" s="47"/>
      <c r="D112" s="46"/>
      <c r="E112" s="46"/>
      <c r="F112" s="46"/>
      <c r="G112" s="46"/>
      <c r="H112" s="46"/>
      <c r="I112" s="885"/>
      <c r="J112" s="885"/>
      <c r="K112" s="960"/>
      <c r="L112" s="960"/>
      <c r="M112" s="961"/>
      <c r="N112" s="962"/>
      <c r="O112" s="47"/>
      <c r="P112" s="963"/>
      <c r="Q112" s="963"/>
      <c r="R112" s="47"/>
      <c r="S112" s="9"/>
      <c r="T112" s="9"/>
      <c r="U112" s="964"/>
    </row>
    <row r="113" spans="2:21" ht="14.25" hidden="1" customHeight="1" outlineLevel="1">
      <c r="B113" s="1157"/>
      <c r="C113" s="1158"/>
      <c r="D113" s="1150"/>
      <c r="E113" s="1150"/>
      <c r="F113" s="1150"/>
      <c r="G113" s="1150"/>
      <c r="H113" s="1150"/>
      <c r="I113" s="1147"/>
      <c r="J113" s="1149"/>
      <c r="K113" s="960"/>
      <c r="L113" s="1153"/>
      <c r="M113" s="961"/>
      <c r="N113" s="962"/>
      <c r="O113" s="47"/>
      <c r="P113" s="963"/>
      <c r="Q113" s="963"/>
      <c r="R113" s="47"/>
      <c r="S113" s="9"/>
      <c r="T113" s="9"/>
      <c r="U113" s="964"/>
    </row>
    <row r="114" spans="2:21" ht="14.25" hidden="1" customHeight="1" outlineLevel="1">
      <c r="B114" s="1157"/>
      <c r="C114" s="1158"/>
      <c r="D114" s="1150"/>
      <c r="E114" s="1150"/>
      <c r="F114" s="1150"/>
      <c r="G114" s="1150"/>
      <c r="H114" s="1150"/>
      <c r="I114" s="1147"/>
      <c r="J114" s="1149"/>
      <c r="K114" s="960"/>
      <c r="L114" s="1153"/>
      <c r="M114" s="961"/>
      <c r="N114" s="962"/>
      <c r="O114" s="47"/>
      <c r="P114" s="963"/>
      <c r="Q114" s="963"/>
      <c r="R114" s="47"/>
      <c r="S114" s="9"/>
      <c r="T114" s="9"/>
      <c r="U114" s="964"/>
    </row>
    <row r="115" spans="2:21" ht="14.25" hidden="1" customHeight="1" outlineLevel="1">
      <c r="B115" s="29"/>
      <c r="C115" s="30"/>
      <c r="D115" s="31"/>
      <c r="E115" s="31"/>
      <c r="F115" s="31"/>
      <c r="G115" s="31"/>
      <c r="H115" s="31"/>
      <c r="I115" s="25" t="s">
        <v>15</v>
      </c>
      <c r="J115" s="26" t="s">
        <v>18</v>
      </c>
      <c r="K115" s="27" t="s">
        <v>19</v>
      </c>
      <c r="L115" s="27"/>
      <c r="M115" s="32"/>
      <c r="N115" s="32"/>
      <c r="O115" s="30"/>
      <c r="P115" s="33"/>
      <c r="Q115" s="33"/>
      <c r="R115" s="30"/>
      <c r="S115" s="34"/>
      <c r="T115" s="34"/>
      <c r="U115" s="35"/>
    </row>
    <row r="116" spans="2:21" ht="14.25" hidden="1" customHeight="1" outlineLevel="1" thickBot="1">
      <c r="B116" s="36"/>
      <c r="C116" s="37"/>
      <c r="D116" s="38"/>
      <c r="E116" s="38"/>
      <c r="F116" s="38"/>
      <c r="G116" s="38"/>
      <c r="H116" s="38"/>
      <c r="I116" s="39">
        <f>IFERROR(AVERAGE(I111:I114),0)</f>
        <v>0</v>
      </c>
      <c r="J116" s="39">
        <f>IFERROR(AVERAGE(J111:J114),0)</f>
        <v>0</v>
      </c>
      <c r="K116" s="28">
        <f>SUM(K109:K114)</f>
        <v>0</v>
      </c>
      <c r="L116" s="28">
        <f>SUM(L109:L115)</f>
        <v>0</v>
      </c>
      <c r="M116" s="45"/>
      <c r="N116" s="45"/>
      <c r="O116" s="45"/>
      <c r="P116" s="45"/>
      <c r="Q116" s="45"/>
      <c r="R116" s="45"/>
      <c r="S116" s="45"/>
      <c r="T116" s="45"/>
      <c r="U116" s="40"/>
    </row>
    <row r="117" spans="2:21" ht="14.25" hidden="1" customHeight="1" outlineLevel="1" thickBot="1">
      <c r="B117" s="197" t="s">
        <v>834</v>
      </c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6"/>
    </row>
    <row r="118" spans="2:21" ht="14.25" hidden="1" customHeight="1" outlineLevel="1">
      <c r="B118" s="462"/>
      <c r="C118" s="463"/>
      <c r="D118" s="742"/>
      <c r="E118" s="742"/>
      <c r="F118" s="742"/>
      <c r="G118" s="742"/>
      <c r="H118" s="742"/>
      <c r="I118" s="885"/>
      <c r="J118" s="464"/>
      <c r="K118" s="465"/>
      <c r="L118" s="465"/>
      <c r="M118" s="466"/>
      <c r="N118" s="467"/>
      <c r="O118" s="463"/>
      <c r="P118" s="468"/>
      <c r="Q118" s="468"/>
      <c r="R118" s="463"/>
      <c r="S118" s="469"/>
      <c r="T118" s="469"/>
      <c r="U118" s="470"/>
    </row>
    <row r="119" spans="2:21" ht="14.25" hidden="1" customHeight="1" outlineLevel="1">
      <c r="B119" s="462"/>
      <c r="C119" s="463"/>
      <c r="D119" s="742"/>
      <c r="E119" s="742"/>
      <c r="F119" s="742"/>
      <c r="G119" s="742"/>
      <c r="H119" s="742"/>
      <c r="I119" s="885"/>
      <c r="J119" s="464"/>
      <c r="K119" s="465"/>
      <c r="L119" s="465"/>
      <c r="M119" s="466"/>
      <c r="N119" s="467"/>
      <c r="O119" s="463"/>
      <c r="P119" s="468"/>
      <c r="Q119" s="468"/>
      <c r="R119" s="463"/>
      <c r="S119" s="469"/>
      <c r="T119" s="469"/>
      <c r="U119" s="470"/>
    </row>
    <row r="120" spans="2:21" ht="14.25" hidden="1" customHeight="1" outlineLevel="1">
      <c r="B120" s="462"/>
      <c r="C120" s="47"/>
      <c r="D120" s="46"/>
      <c r="E120" s="46"/>
      <c r="F120" s="46"/>
      <c r="G120" s="46"/>
      <c r="H120" s="46"/>
      <c r="I120" s="464"/>
      <c r="J120" s="464"/>
      <c r="K120" s="465"/>
      <c r="L120" s="465"/>
      <c r="M120" s="466"/>
      <c r="N120" s="467"/>
      <c r="O120" s="463"/>
      <c r="P120" s="468"/>
      <c r="Q120" s="468"/>
      <c r="R120" s="463"/>
      <c r="S120" s="469"/>
      <c r="T120" s="9"/>
      <c r="U120" s="470"/>
    </row>
    <row r="121" spans="2:21" ht="14.25" hidden="1" customHeight="1" outlineLevel="1">
      <c r="B121" s="462"/>
      <c r="C121" s="47"/>
      <c r="D121" s="46"/>
      <c r="E121" s="46"/>
      <c r="F121" s="46"/>
      <c r="G121" s="46"/>
      <c r="H121" s="46"/>
      <c r="I121" s="464"/>
      <c r="J121" s="464"/>
      <c r="K121" s="465"/>
      <c r="L121" s="465"/>
      <c r="M121" s="466"/>
      <c r="N121" s="467"/>
      <c r="O121" s="463"/>
      <c r="P121" s="468"/>
      <c r="Q121" s="468"/>
      <c r="R121" s="463"/>
      <c r="S121" s="469"/>
      <c r="T121" s="9"/>
      <c r="U121" s="470"/>
    </row>
    <row r="122" spans="2:21" ht="14.25" hidden="1" customHeight="1" outlineLevel="1">
      <c r="B122" s="462"/>
      <c r="C122" s="463"/>
      <c r="D122" s="742"/>
      <c r="E122" s="742"/>
      <c r="F122" s="742"/>
      <c r="G122" s="742"/>
      <c r="H122" s="742"/>
      <c r="I122" s="464"/>
      <c r="J122" s="464"/>
      <c r="K122" s="465"/>
      <c r="L122" s="465"/>
      <c r="M122" s="466"/>
      <c r="N122" s="467"/>
      <c r="O122" s="463"/>
      <c r="P122" s="468"/>
      <c r="Q122" s="468"/>
      <c r="R122" s="463"/>
      <c r="S122" s="469"/>
      <c r="T122" s="9"/>
      <c r="U122" s="470"/>
    </row>
    <row r="123" spans="2:21" ht="14.25" hidden="1" customHeight="1" outlineLevel="1">
      <c r="B123" s="8"/>
      <c r="C123" s="47"/>
      <c r="D123" s="46"/>
      <c r="E123" s="46"/>
      <c r="F123" s="46"/>
      <c r="G123" s="46"/>
      <c r="H123" s="46"/>
      <c r="I123" s="464"/>
      <c r="J123" s="464"/>
      <c r="K123" s="465"/>
      <c r="L123" s="465"/>
      <c r="M123" s="466"/>
      <c r="N123" s="467"/>
      <c r="O123" s="463"/>
      <c r="P123" s="468"/>
      <c r="Q123" s="468"/>
      <c r="R123" s="463"/>
      <c r="S123" s="469"/>
      <c r="T123" s="9"/>
      <c r="U123" s="470"/>
    </row>
    <row r="124" spans="2:21" ht="14.25" hidden="1" customHeight="1" outlineLevel="1">
      <c r="B124" s="29"/>
      <c r="C124" s="30"/>
      <c r="D124" s="31"/>
      <c r="E124" s="31"/>
      <c r="F124" s="31"/>
      <c r="G124" s="31"/>
      <c r="H124" s="31"/>
      <c r="I124" s="25" t="s">
        <v>15</v>
      </c>
      <c r="J124" s="26" t="s">
        <v>18</v>
      </c>
      <c r="K124" s="27" t="s">
        <v>19</v>
      </c>
      <c r="L124" s="27"/>
      <c r="M124" s="32"/>
      <c r="N124" s="32"/>
      <c r="O124" s="30"/>
      <c r="P124" s="33"/>
      <c r="Q124" s="33"/>
      <c r="R124" s="30"/>
      <c r="S124" s="34"/>
      <c r="T124" s="34"/>
      <c r="U124" s="35"/>
    </row>
    <row r="125" spans="2:21" ht="14.25" hidden="1" customHeight="1" outlineLevel="1">
      <c r="B125" s="36"/>
      <c r="C125" s="37"/>
      <c r="D125" s="38"/>
      <c r="E125" s="38"/>
      <c r="F125" s="38"/>
      <c r="G125" s="38"/>
      <c r="H125" s="38"/>
      <c r="I125" s="39">
        <f>IFERROR(AVERAGE(I119:I123),0)</f>
        <v>0</v>
      </c>
      <c r="J125" s="39">
        <f>IFERROR(AVERAGE(J119:J123),0)</f>
        <v>0</v>
      </c>
      <c r="K125" s="28">
        <f>SUM(K118:K123)</f>
        <v>0</v>
      </c>
      <c r="L125" s="28">
        <f>SUM(L119:L123)</f>
        <v>0</v>
      </c>
      <c r="M125" s="45"/>
      <c r="N125" s="45"/>
      <c r="O125" s="45"/>
      <c r="P125" s="45"/>
      <c r="Q125" s="45"/>
      <c r="R125" s="45"/>
      <c r="S125" s="45"/>
      <c r="T125" s="45"/>
      <c r="U125" s="40"/>
    </row>
    <row r="126" spans="2:21" ht="14.25" hidden="1" customHeight="1" outlineLevel="1"/>
    <row r="127" spans="2:21" ht="14.25" customHeight="1" collapsed="1"/>
    <row r="128" spans="2:21" ht="14.25" customHeight="1"/>
    <row r="129" ht="14.25" customHeight="1"/>
  </sheetData>
  <mergeCells count="38">
    <mergeCell ref="F34:F35"/>
    <mergeCell ref="C9:C10"/>
    <mergeCell ref="B34:B35"/>
    <mergeCell ref="C34:C35"/>
    <mergeCell ref="D34:D35"/>
    <mergeCell ref="E34:E35"/>
    <mergeCell ref="I34:I35"/>
    <mergeCell ref="G34:G35"/>
    <mergeCell ref="L113:L114"/>
    <mergeCell ref="B2:U2"/>
    <mergeCell ref="B101:B102"/>
    <mergeCell ref="C101:C102"/>
    <mergeCell ref="D101:D102"/>
    <mergeCell ref="B113:B114"/>
    <mergeCell ref="C113:C114"/>
    <mergeCell ref="D113:D114"/>
    <mergeCell ref="E101:E102"/>
    <mergeCell ref="E113:E114"/>
    <mergeCell ref="I101:I102"/>
    <mergeCell ref="I113:I114"/>
    <mergeCell ref="F101:F102"/>
    <mergeCell ref="B9:B10"/>
    <mergeCell ref="J34:J35"/>
    <mergeCell ref="D9:D10"/>
    <mergeCell ref="E9:E10"/>
    <mergeCell ref="F9:F10"/>
    <mergeCell ref="J113:J114"/>
    <mergeCell ref="H113:H114"/>
    <mergeCell ref="G113:G114"/>
    <mergeCell ref="G101:G102"/>
    <mergeCell ref="G9:G10"/>
    <mergeCell ref="H9:H10"/>
    <mergeCell ref="I9:I10"/>
    <mergeCell ref="J9:J10"/>
    <mergeCell ref="H101:H102"/>
    <mergeCell ref="J101:J102"/>
    <mergeCell ref="F113:F114"/>
    <mergeCell ref="H34:H35"/>
  </mergeCells>
  <phoneticPr fontId="10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5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B1:AZ1105"/>
  <sheetViews>
    <sheetView showGridLines="0" zoomScaleNormal="100" zoomScaleSheetLayoutView="55" workbookViewId="0">
      <pane ySplit="3" topLeftCell="A102" activePane="bottomLeft" state="frozen"/>
      <selection pane="bottomLeft" activeCell="C119" sqref="C119"/>
    </sheetView>
  </sheetViews>
  <sheetFormatPr defaultColWidth="8" defaultRowHeight="17.45" customHeight="1" outlineLevelRow="1" outlineLevelCol="1"/>
  <cols>
    <col min="1" max="1" width="1.75" style="57" customWidth="1"/>
    <col min="2" max="2" width="11.625" style="57" customWidth="1"/>
    <col min="3" max="3" width="19.125" style="57" customWidth="1"/>
    <col min="4" max="4" width="10.125" style="238" customWidth="1"/>
    <col min="5" max="5" width="10.125" style="238" hidden="1" customWidth="1"/>
    <col min="6" max="6" width="10.375" style="238" hidden="1" customWidth="1" outlineLevel="1"/>
    <col min="7" max="7" width="10.125" style="238" hidden="1" customWidth="1" collapsed="1"/>
    <col min="8" max="8" width="10.375" style="238" hidden="1" customWidth="1" outlineLevel="1" collapsed="1"/>
    <col min="9" max="9" width="10.125" style="238" hidden="1" customWidth="1" collapsed="1"/>
    <col min="10" max="10" width="8.625" style="238" hidden="1" customWidth="1"/>
    <col min="11" max="11" width="8.625" style="239" customWidth="1"/>
    <col min="12" max="15" width="9.125" style="239" hidden="1" customWidth="1" outlineLevel="1"/>
    <col min="16" max="16" width="9.875" style="239" hidden="1" customWidth="1" outlineLevel="1"/>
    <col min="17" max="17" width="8.625" style="239" customWidth="1" collapsed="1"/>
    <col min="18" max="20" width="8.375" style="240" customWidth="1"/>
    <col min="21" max="21" width="8.375" style="241" customWidth="1"/>
    <col min="22" max="22" width="8.375" style="88" customWidth="1"/>
    <col min="23" max="24" width="8.375" style="242" customWidth="1"/>
    <col min="25" max="25" width="8.375" style="57" customWidth="1"/>
    <col min="26" max="26" width="8.375" style="243" customWidth="1"/>
    <col min="27" max="27" width="8.5" style="243" hidden="1" customWidth="1" outlineLevel="1"/>
    <col min="28" max="28" width="9" style="243" hidden="1" customWidth="1" outlineLevel="1"/>
    <col min="29" max="29" width="9.375" style="243" hidden="1" customWidth="1" outlineLevel="1"/>
    <col min="30" max="30" width="9.125" style="243" hidden="1" customWidth="1" outlineLevel="1"/>
    <col min="31" max="31" width="8.125" style="243" hidden="1" customWidth="1" outlineLevel="1"/>
    <col min="32" max="33" width="10.375" style="243" hidden="1" customWidth="1" outlineLevel="1"/>
    <col min="34" max="34" width="8.25" style="243" hidden="1" customWidth="1" outlineLevel="1"/>
    <col min="35" max="36" width="10.375" style="243" hidden="1" customWidth="1" outlineLevel="1"/>
    <col min="37" max="37" width="8.125" style="243" hidden="1" customWidth="1" outlineLevel="1"/>
    <col min="38" max="38" width="10.375" style="241" hidden="1" customWidth="1" outlineLevel="1"/>
    <col min="39" max="39" width="8.375" style="241" customWidth="1" collapsed="1"/>
    <col min="40" max="40" width="8.375" style="241" customWidth="1"/>
    <col min="41" max="41" width="8.375" style="88" customWidth="1"/>
    <col min="42" max="42" width="4.875" style="88" bestFit="1" customWidth="1"/>
    <col min="43" max="43" width="32.625" style="240" customWidth="1"/>
    <col min="44" max="44" width="1.625" style="57" customWidth="1"/>
    <col min="45" max="45" width="9.125" style="57" customWidth="1"/>
    <col min="46" max="47" width="8" style="57" customWidth="1"/>
    <col min="48" max="51" width="10.625" style="57" customWidth="1"/>
    <col min="52" max="53" width="8" style="57" customWidth="1"/>
    <col min="54" max="57" width="3.625" style="57" customWidth="1"/>
    <col min="58" max="16384" width="8" style="57"/>
  </cols>
  <sheetData>
    <row r="1" spans="2:52" ht="15" customHeight="1" thickBot="1"/>
    <row r="2" spans="2:52" ht="30" customHeight="1">
      <c r="B2" s="1123" t="s">
        <v>408</v>
      </c>
      <c r="C2" s="1124"/>
      <c r="D2" s="1124"/>
      <c r="E2" s="1124"/>
      <c r="F2" s="1124"/>
      <c r="G2" s="1124"/>
      <c r="H2" s="1124"/>
      <c r="I2" s="1124"/>
      <c r="J2" s="1124"/>
      <c r="K2" s="1124"/>
      <c r="L2" s="1124"/>
      <c r="M2" s="1124"/>
      <c r="N2" s="1124"/>
      <c r="O2" s="1124"/>
      <c r="P2" s="1124"/>
      <c r="Q2" s="1124"/>
      <c r="R2" s="1124"/>
      <c r="S2" s="1124"/>
      <c r="T2" s="1124"/>
      <c r="U2" s="1124"/>
      <c r="V2" s="1124"/>
      <c r="W2" s="1124"/>
      <c r="X2" s="1124"/>
      <c r="Y2" s="1124"/>
      <c r="Z2" s="1124"/>
      <c r="AA2" s="1124"/>
      <c r="AB2" s="1124"/>
      <c r="AC2" s="1124"/>
      <c r="AD2" s="1124"/>
      <c r="AE2" s="1124"/>
      <c r="AF2" s="1124"/>
      <c r="AG2" s="1124"/>
      <c r="AH2" s="1124"/>
      <c r="AI2" s="1124"/>
      <c r="AJ2" s="1124"/>
      <c r="AK2" s="1124"/>
      <c r="AL2" s="1124"/>
      <c r="AM2" s="1124"/>
      <c r="AN2" s="1124"/>
      <c r="AO2" s="1124"/>
      <c r="AP2" s="1124"/>
      <c r="AQ2" s="1125"/>
    </row>
    <row r="3" spans="2:52" s="244" customFormat="1" ht="30" customHeight="1" thickBot="1">
      <c r="B3" s="48" t="s">
        <v>0</v>
      </c>
      <c r="C3" s="49" t="s">
        <v>1</v>
      </c>
      <c r="D3" s="50" t="s">
        <v>136</v>
      </c>
      <c r="E3" s="50" t="s">
        <v>135</v>
      </c>
      <c r="F3" s="50" t="s">
        <v>133</v>
      </c>
      <c r="G3" s="50" t="s">
        <v>197</v>
      </c>
      <c r="H3" s="50" t="s">
        <v>134</v>
      </c>
      <c r="I3" s="51" t="s">
        <v>5</v>
      </c>
      <c r="J3" s="51" t="s">
        <v>25</v>
      </c>
      <c r="K3" s="52" t="s">
        <v>26</v>
      </c>
      <c r="L3" s="52" t="s">
        <v>34</v>
      </c>
      <c r="M3" s="52" t="s">
        <v>33</v>
      </c>
      <c r="N3" s="52" t="s">
        <v>32</v>
      </c>
      <c r="O3" s="52" t="s">
        <v>206</v>
      </c>
      <c r="P3" s="52" t="s">
        <v>48</v>
      </c>
      <c r="Q3" s="52" t="s">
        <v>211</v>
      </c>
      <c r="R3" s="53" t="s">
        <v>21</v>
      </c>
      <c r="S3" s="53" t="s">
        <v>22</v>
      </c>
      <c r="T3" s="53" t="s">
        <v>23</v>
      </c>
      <c r="U3" s="53" t="s">
        <v>8</v>
      </c>
      <c r="V3" s="49" t="s">
        <v>9</v>
      </c>
      <c r="W3" s="54" t="s">
        <v>10</v>
      </c>
      <c r="X3" s="54" t="s">
        <v>11</v>
      </c>
      <c r="Y3" s="49" t="s">
        <v>12</v>
      </c>
      <c r="Z3" s="55" t="s">
        <v>13</v>
      </c>
      <c r="AA3" s="55" t="s">
        <v>39</v>
      </c>
      <c r="AB3" s="55" t="s">
        <v>47</v>
      </c>
      <c r="AC3" s="55" t="s">
        <v>40</v>
      </c>
      <c r="AD3" s="55" t="s">
        <v>49</v>
      </c>
      <c r="AE3" s="55" t="s">
        <v>41</v>
      </c>
      <c r="AF3" s="55" t="s">
        <v>42</v>
      </c>
      <c r="AG3" s="55" t="s">
        <v>43</v>
      </c>
      <c r="AH3" s="55" t="s">
        <v>50</v>
      </c>
      <c r="AI3" s="55" t="s">
        <v>44</v>
      </c>
      <c r="AJ3" s="55" t="s">
        <v>45</v>
      </c>
      <c r="AK3" s="55" t="s">
        <v>46</v>
      </c>
      <c r="AL3" s="53" t="s">
        <v>16</v>
      </c>
      <c r="AM3" s="210" t="s">
        <v>143</v>
      </c>
      <c r="AN3" s="210" t="s">
        <v>144</v>
      </c>
      <c r="AO3" s="49" t="s">
        <v>17</v>
      </c>
      <c r="AP3" s="446" t="s">
        <v>229</v>
      </c>
      <c r="AQ3" s="56" t="s">
        <v>14</v>
      </c>
      <c r="AV3" s="245"/>
      <c r="AW3" s="245"/>
      <c r="AX3" s="119" t="s">
        <v>69</v>
      </c>
      <c r="AY3" s="119" t="s">
        <v>70</v>
      </c>
    </row>
    <row r="4" spans="2:52" ht="24.95" hidden="1" customHeight="1" outlineLevel="1" thickBot="1">
      <c r="B4" s="546" t="s">
        <v>240</v>
      </c>
      <c r="C4" s="547"/>
      <c r="D4" s="547"/>
      <c r="E4" s="547"/>
      <c r="F4" s="547"/>
      <c r="G4" s="547"/>
      <c r="H4" s="547"/>
      <c r="I4" s="547"/>
      <c r="J4" s="547"/>
      <c r="K4" s="547"/>
      <c r="L4" s="547"/>
      <c r="M4" s="547"/>
      <c r="N4" s="547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8"/>
      <c r="AT4" s="239"/>
      <c r="AV4" s="120"/>
      <c r="AW4" s="120"/>
      <c r="AX4" s="121"/>
      <c r="AY4" s="121"/>
    </row>
    <row r="5" spans="2:52" s="82" customFormat="1" ht="17.45" hidden="1" customHeight="1" outlineLevel="1">
      <c r="B5" s="525"/>
      <c r="C5" s="524"/>
      <c r="D5" s="497"/>
      <c r="E5" s="497"/>
      <c r="F5" s="497"/>
      <c r="G5" s="497"/>
      <c r="H5" s="497"/>
      <c r="I5" s="549"/>
      <c r="J5" s="549"/>
      <c r="K5" s="528"/>
      <c r="L5" s="529"/>
      <c r="M5" s="529"/>
      <c r="N5" s="529"/>
      <c r="O5" s="528"/>
      <c r="P5" s="528"/>
      <c r="Q5" s="528"/>
      <c r="R5" s="531"/>
      <c r="S5" s="531"/>
      <c r="T5" s="531"/>
      <c r="U5" s="531"/>
      <c r="V5" s="531"/>
      <c r="W5" s="528"/>
      <c r="X5" s="528"/>
      <c r="Y5" s="532"/>
      <c r="Z5" s="533"/>
      <c r="AA5" s="550"/>
      <c r="AB5" s="550"/>
      <c r="AC5" s="550"/>
      <c r="AD5" s="550"/>
      <c r="AE5" s="550"/>
      <c r="AF5" s="550"/>
      <c r="AG5" s="550"/>
      <c r="AH5" s="550"/>
      <c r="AI5" s="550"/>
      <c r="AJ5" s="550"/>
      <c r="AK5" s="550"/>
      <c r="AL5" s="551"/>
      <c r="AM5" s="531"/>
      <c r="AN5" s="531"/>
      <c r="AO5" s="524"/>
      <c r="AP5" s="552"/>
      <c r="AQ5" s="536"/>
      <c r="AS5" s="82">
        <f t="shared" ref="AS5:AS68" si="0">B5</f>
        <v>0</v>
      </c>
      <c r="AT5" s="311">
        <f t="shared" ref="AT5:AT68" si="1">K5</f>
        <v>0</v>
      </c>
      <c r="AV5" s="218">
        <f t="shared" ref="AV5:AW20" si="2">IF(L5=0,0,1)</f>
        <v>0</v>
      </c>
      <c r="AW5" s="218">
        <f t="shared" si="2"/>
        <v>0</v>
      </c>
      <c r="AX5" s="219">
        <f t="shared" ref="AX5:AX68" si="3">IF(AV5+AW5=2,0.5,AV5)</f>
        <v>0</v>
      </c>
      <c r="AY5" s="219">
        <f t="shared" ref="AY5:AY68" si="4">IF(AV5+AW5=2,0.5,AW5)</f>
        <v>0</v>
      </c>
      <c r="AZ5" s="136">
        <f t="shared" ref="AZ5:AZ68" si="5">AX5+AY5</f>
        <v>0</v>
      </c>
    </row>
    <row r="6" spans="2:52" s="102" customFormat="1" ht="17.45" hidden="1" customHeight="1" outlineLevel="1">
      <c r="B6" s="525" t="s">
        <v>185</v>
      </c>
      <c r="C6" s="524" t="s">
        <v>238</v>
      </c>
      <c r="D6" s="497">
        <v>44530.541666666664</v>
      </c>
      <c r="E6" s="497">
        <v>44539.854166666664</v>
      </c>
      <c r="F6" s="497">
        <v>44540.201388888891</v>
      </c>
      <c r="G6" s="497">
        <v>44541.607638888891</v>
      </c>
      <c r="H6" s="497">
        <v>44541.649305555555</v>
      </c>
      <c r="I6" s="526">
        <f>+E6-D6+AH6+AK6</f>
        <v>9.3125</v>
      </c>
      <c r="J6" s="527">
        <f>G6-D6</f>
        <v>11.065972222226264</v>
      </c>
      <c r="K6" s="528">
        <v>31500</v>
      </c>
      <c r="L6" s="529"/>
      <c r="M6" s="529">
        <v>29905</v>
      </c>
      <c r="N6" s="529">
        <f t="shared" ref="N6" si="6">L6+M6</f>
        <v>29905</v>
      </c>
      <c r="O6" s="530">
        <v>44558</v>
      </c>
      <c r="P6" s="530" t="s">
        <v>296</v>
      </c>
      <c r="Q6" s="528" t="s">
        <v>278</v>
      </c>
      <c r="R6" s="531" t="s">
        <v>183</v>
      </c>
      <c r="S6" s="531" t="s">
        <v>214</v>
      </c>
      <c r="T6" s="531" t="s">
        <v>228</v>
      </c>
      <c r="U6" s="535" t="s">
        <v>181</v>
      </c>
      <c r="V6" s="531" t="s">
        <v>184</v>
      </c>
      <c r="W6" s="528">
        <v>80888</v>
      </c>
      <c r="X6" s="528">
        <v>44025</v>
      </c>
      <c r="Y6" s="532">
        <v>229</v>
      </c>
      <c r="Z6" s="533">
        <v>14.5</v>
      </c>
      <c r="AA6" s="553">
        <f t="shared" ref="AA6" si="7">IF(E6="","",E6-D6+AH6+AK6)</f>
        <v>9.3125</v>
      </c>
      <c r="AB6" s="553">
        <f t="shared" ref="AB6" si="8">IF(G6="","",G6-D6)</f>
        <v>11.065972222226264</v>
      </c>
      <c r="AC6" s="554">
        <f t="shared" ref="AC6" si="9">IF(H6="","",H6-D6)</f>
        <v>11.107638888890506</v>
      </c>
      <c r="AD6" s="537">
        <f t="shared" ref="AD6" si="10">IF(N6=0,"",((N6/AE6)*24)/24)</f>
        <v>21265.777777777777</v>
      </c>
      <c r="AE6" s="555">
        <f t="shared" ref="AE6" si="11">IF(G6="",0,(G6-F6)-(AJ6-AI6)-(AG6-AF6))</f>
        <v>1.40625</v>
      </c>
      <c r="AF6" s="533"/>
      <c r="AG6" s="533"/>
      <c r="AH6" s="533">
        <f t="shared" ref="AH6" si="12">AG6-AF6</f>
        <v>0</v>
      </c>
      <c r="AI6" s="533"/>
      <c r="AJ6" s="533"/>
      <c r="AK6" s="533">
        <f t="shared" ref="AK6" si="13">AJ6-AI6</f>
        <v>0</v>
      </c>
      <c r="AL6" s="531"/>
      <c r="AM6" s="531" t="s">
        <v>215</v>
      </c>
      <c r="AN6" s="531" t="s">
        <v>239</v>
      </c>
      <c r="AO6" s="524" t="s">
        <v>209</v>
      </c>
      <c r="AP6" s="524" t="s">
        <v>284</v>
      </c>
      <c r="AQ6" s="536" t="s">
        <v>270</v>
      </c>
      <c r="AS6" s="82" t="str">
        <f t="shared" si="0"/>
        <v>남동발전</v>
      </c>
      <c r="AT6" s="311">
        <f t="shared" si="1"/>
        <v>31500</v>
      </c>
      <c r="AU6" s="82"/>
      <c r="AV6" s="218">
        <f t="shared" si="2"/>
        <v>0</v>
      </c>
      <c r="AW6" s="218">
        <f t="shared" si="2"/>
        <v>1</v>
      </c>
      <c r="AX6" s="219">
        <f t="shared" si="3"/>
        <v>0</v>
      </c>
      <c r="AY6" s="219">
        <f t="shared" si="4"/>
        <v>1</v>
      </c>
      <c r="AZ6" s="136">
        <f t="shared" si="5"/>
        <v>1</v>
      </c>
    </row>
    <row r="7" spans="2:52" s="102" customFormat="1" ht="17.45" hidden="1" customHeight="1" outlineLevel="1">
      <c r="B7" s="525"/>
      <c r="C7" s="524"/>
      <c r="D7" s="497"/>
      <c r="E7" s="497"/>
      <c r="F7" s="497"/>
      <c r="G7" s="497"/>
      <c r="H7" s="497"/>
      <c r="I7" s="526"/>
      <c r="J7" s="527"/>
      <c r="K7" s="528"/>
      <c r="L7" s="529"/>
      <c r="M7" s="529"/>
      <c r="N7" s="556"/>
      <c r="O7" s="557"/>
      <c r="P7" s="557"/>
      <c r="Q7" s="528"/>
      <c r="R7" s="531"/>
      <c r="S7" s="531"/>
      <c r="T7" s="531"/>
      <c r="U7" s="531"/>
      <c r="V7" s="531"/>
      <c r="W7" s="528"/>
      <c r="X7" s="528"/>
      <c r="Y7" s="532"/>
      <c r="Z7" s="533"/>
      <c r="AA7" s="553" t="str">
        <f>IF(E7="","",E7-D7+AH7+AK7)</f>
        <v/>
      </c>
      <c r="AB7" s="533"/>
      <c r="AC7" s="533"/>
      <c r="AD7" s="537"/>
      <c r="AE7" s="534"/>
      <c r="AF7" s="534"/>
      <c r="AG7" s="534"/>
      <c r="AH7" s="534"/>
      <c r="AI7" s="534"/>
      <c r="AJ7" s="534"/>
      <c r="AK7" s="534"/>
      <c r="AL7" s="531"/>
      <c r="AM7" s="531"/>
      <c r="AN7" s="531"/>
      <c r="AO7" s="524"/>
      <c r="AP7" s="524"/>
      <c r="AQ7" s="538"/>
      <c r="AS7" s="82">
        <f t="shared" si="0"/>
        <v>0</v>
      </c>
      <c r="AT7" s="311">
        <f t="shared" si="1"/>
        <v>0</v>
      </c>
      <c r="AU7" s="82"/>
      <c r="AV7" s="218">
        <f t="shared" si="2"/>
        <v>0</v>
      </c>
      <c r="AW7" s="218">
        <f t="shared" si="2"/>
        <v>0</v>
      </c>
      <c r="AX7" s="219">
        <f t="shared" si="3"/>
        <v>0</v>
      </c>
      <c r="AY7" s="219">
        <f t="shared" si="4"/>
        <v>0</v>
      </c>
      <c r="AZ7" s="136">
        <f t="shared" si="5"/>
        <v>0</v>
      </c>
    </row>
    <row r="8" spans="2:52" s="102" customFormat="1" ht="17.45" hidden="1" customHeight="1" outlineLevel="1" collapsed="1">
      <c r="B8" s="525" t="s">
        <v>194</v>
      </c>
      <c r="C8" s="524" t="s">
        <v>269</v>
      </c>
      <c r="D8" s="497">
        <v>44533.354166666664</v>
      </c>
      <c r="E8" s="497">
        <v>44538.929166666669</v>
      </c>
      <c r="F8" s="497">
        <v>44539.017361111109</v>
      </c>
      <c r="G8" s="497">
        <v>44539.989583333336</v>
      </c>
      <c r="H8" s="497">
        <v>44540.055555555555</v>
      </c>
      <c r="I8" s="526">
        <f>+E8-D8+AH8+AK8</f>
        <v>5.5750000000043656</v>
      </c>
      <c r="J8" s="527">
        <f>G8-D8</f>
        <v>6.6354166666715173</v>
      </c>
      <c r="K8" s="528">
        <v>30154</v>
      </c>
      <c r="L8" s="528"/>
      <c r="M8" s="529">
        <v>30166</v>
      </c>
      <c r="N8" s="529">
        <f t="shared" ref="N8" si="14">L8+M8</f>
        <v>30166</v>
      </c>
      <c r="O8" s="530">
        <v>44558</v>
      </c>
      <c r="P8" s="530" t="s">
        <v>296</v>
      </c>
      <c r="Q8" s="528" t="s">
        <v>285</v>
      </c>
      <c r="R8" s="558" t="s">
        <v>189</v>
      </c>
      <c r="S8" s="531" t="s">
        <v>213</v>
      </c>
      <c r="T8" s="531" t="s">
        <v>190</v>
      </c>
      <c r="U8" s="531" t="s">
        <v>181</v>
      </c>
      <c r="V8" s="531" t="s">
        <v>184</v>
      </c>
      <c r="W8" s="528">
        <v>55848</v>
      </c>
      <c r="X8" s="528">
        <v>31541</v>
      </c>
      <c r="Y8" s="532">
        <v>190</v>
      </c>
      <c r="Z8" s="533">
        <v>11.3</v>
      </c>
      <c r="AA8" s="553">
        <f t="shared" ref="AA8" si="15">IF(E8="","",E8-D8+AH8+AK8)</f>
        <v>5.5750000000043656</v>
      </c>
      <c r="AB8" s="553">
        <f t="shared" ref="AB8" si="16">IF(G8="","",G8-D8)</f>
        <v>6.6354166666715173</v>
      </c>
      <c r="AC8" s="554">
        <f t="shared" ref="AC8" si="17">IF(H8="","",H8-D8)</f>
        <v>6.7013888888905058</v>
      </c>
      <c r="AD8" s="537">
        <f t="shared" ref="AD8" si="18">IF(N8=0,"",((N8/AE8)*24)/24)</f>
        <v>31027.88571415671</v>
      </c>
      <c r="AE8" s="555">
        <f t="shared" ref="AE8" si="19">IF(G8="",0,(G8-F8)-(AJ8-AI8)-(AG8-AF8))</f>
        <v>0.97222222222626442</v>
      </c>
      <c r="AF8" s="533"/>
      <c r="AG8" s="533"/>
      <c r="AH8" s="533">
        <f t="shared" ref="AH8" si="20">AG8-AF8</f>
        <v>0</v>
      </c>
      <c r="AI8" s="533"/>
      <c r="AJ8" s="533"/>
      <c r="AK8" s="533">
        <f t="shared" ref="AK8" si="21">AJ8-AI8</f>
        <v>0</v>
      </c>
      <c r="AL8" s="531"/>
      <c r="AM8" s="531" t="s">
        <v>271</v>
      </c>
      <c r="AN8" s="531" t="s">
        <v>272</v>
      </c>
      <c r="AO8" s="524" t="s">
        <v>209</v>
      </c>
      <c r="AP8" s="524" t="s">
        <v>207</v>
      </c>
      <c r="AQ8" s="536" t="s">
        <v>273</v>
      </c>
      <c r="AS8" s="82" t="str">
        <f t="shared" si="0"/>
        <v>SGC에너지</v>
      </c>
      <c r="AT8" s="311">
        <f t="shared" si="1"/>
        <v>30154</v>
      </c>
      <c r="AU8" s="82"/>
      <c r="AV8" s="218">
        <f t="shared" si="2"/>
        <v>0</v>
      </c>
      <c r="AW8" s="218">
        <f t="shared" si="2"/>
        <v>1</v>
      </c>
      <c r="AX8" s="219">
        <f t="shared" si="3"/>
        <v>0</v>
      </c>
      <c r="AY8" s="219">
        <f t="shared" si="4"/>
        <v>1</v>
      </c>
      <c r="AZ8" s="136">
        <f t="shared" si="5"/>
        <v>1</v>
      </c>
    </row>
    <row r="9" spans="2:52" s="102" customFormat="1" ht="17.45" hidden="1" customHeight="1" outlineLevel="1">
      <c r="B9" s="525"/>
      <c r="C9" s="524"/>
      <c r="D9" s="497"/>
      <c r="E9" s="497"/>
      <c r="F9" s="497"/>
      <c r="G9" s="497"/>
      <c r="H9" s="497"/>
      <c r="I9" s="526"/>
      <c r="J9" s="527"/>
      <c r="K9" s="528"/>
      <c r="L9" s="529"/>
      <c r="M9" s="529"/>
      <c r="N9" s="556"/>
      <c r="O9" s="557"/>
      <c r="P9" s="557"/>
      <c r="Q9" s="528"/>
      <c r="R9" s="531"/>
      <c r="S9" s="531"/>
      <c r="T9" s="531"/>
      <c r="U9" s="531"/>
      <c r="V9" s="531"/>
      <c r="W9" s="528"/>
      <c r="X9" s="528"/>
      <c r="Y9" s="532"/>
      <c r="Z9" s="533"/>
      <c r="AA9" s="553" t="str">
        <f>IF(E9="","",E9-D9+AH9+AK9)</f>
        <v/>
      </c>
      <c r="AB9" s="533"/>
      <c r="AC9" s="533"/>
      <c r="AD9" s="537"/>
      <c r="AE9" s="534"/>
      <c r="AF9" s="534"/>
      <c r="AG9" s="534"/>
      <c r="AH9" s="534"/>
      <c r="AI9" s="534"/>
      <c r="AJ9" s="534"/>
      <c r="AK9" s="534"/>
      <c r="AL9" s="531"/>
      <c r="AM9" s="531"/>
      <c r="AN9" s="531"/>
      <c r="AO9" s="524"/>
      <c r="AP9" s="524"/>
      <c r="AQ9" s="538"/>
      <c r="AS9" s="82">
        <f t="shared" si="0"/>
        <v>0</v>
      </c>
      <c r="AT9" s="311">
        <f t="shared" si="1"/>
        <v>0</v>
      </c>
      <c r="AU9" s="82"/>
      <c r="AV9" s="218">
        <f t="shared" si="2"/>
        <v>0</v>
      </c>
      <c r="AW9" s="218">
        <f t="shared" si="2"/>
        <v>0</v>
      </c>
      <c r="AX9" s="219">
        <f t="shared" si="3"/>
        <v>0</v>
      </c>
      <c r="AY9" s="219">
        <f t="shared" si="4"/>
        <v>0</v>
      </c>
      <c r="AZ9" s="136">
        <f t="shared" si="5"/>
        <v>0</v>
      </c>
    </row>
    <row r="10" spans="2:52" s="102" customFormat="1" ht="17.45" hidden="1" customHeight="1" outlineLevel="1">
      <c r="B10" s="525" t="s">
        <v>194</v>
      </c>
      <c r="C10" s="524" t="s">
        <v>233</v>
      </c>
      <c r="D10" s="497">
        <v>44539.595833333333</v>
      </c>
      <c r="E10" s="497">
        <v>44549.826388888891</v>
      </c>
      <c r="F10" s="497">
        <v>44549.875</v>
      </c>
      <c r="G10" s="497">
        <v>44552.854166666664</v>
      </c>
      <c r="H10" s="497">
        <v>44552.923611111109</v>
      </c>
      <c r="I10" s="526">
        <f>+E10-D10+AH10+AK10</f>
        <v>10.230555555557657</v>
      </c>
      <c r="J10" s="527">
        <f>G10-D10</f>
        <v>13.258333333331393</v>
      </c>
      <c r="K10" s="528">
        <v>88000</v>
      </c>
      <c r="L10" s="528">
        <v>88000</v>
      </c>
      <c r="M10" s="529"/>
      <c r="N10" s="529">
        <f t="shared" ref="N10:N12" si="22">L10+M10</f>
        <v>88000</v>
      </c>
      <c r="O10" s="530">
        <v>44558</v>
      </c>
      <c r="P10" s="530" t="s">
        <v>296</v>
      </c>
      <c r="Q10" s="528" t="s">
        <v>287</v>
      </c>
      <c r="R10" s="558" t="s">
        <v>189</v>
      </c>
      <c r="S10" s="531" t="s">
        <v>224</v>
      </c>
      <c r="T10" s="531" t="s">
        <v>225</v>
      </c>
      <c r="U10" s="531" t="s">
        <v>181</v>
      </c>
      <c r="V10" s="531" t="s">
        <v>184</v>
      </c>
      <c r="W10" s="528">
        <v>93260</v>
      </c>
      <c r="X10" s="528">
        <v>51255</v>
      </c>
      <c r="Y10" s="532">
        <v>230</v>
      </c>
      <c r="Z10" s="533">
        <v>7.5</v>
      </c>
      <c r="AA10" s="553">
        <f t="shared" ref="AA10" si="23">IF(E10="","",E10-D10+AH10+AK10)</f>
        <v>10.230555555557657</v>
      </c>
      <c r="AB10" s="553">
        <f t="shared" ref="AB10" si="24">IF(G10="","",G10-D10)</f>
        <v>13.258333333331393</v>
      </c>
      <c r="AC10" s="554">
        <f t="shared" ref="AC10" si="25">IF(H10="","",H10-D10)</f>
        <v>13.327777777776646</v>
      </c>
      <c r="AD10" s="537">
        <f t="shared" ref="AD10" si="26">IF(N10=0,"",((N10/AE10)*24)/24)</f>
        <v>29538.461538485586</v>
      </c>
      <c r="AE10" s="555">
        <f t="shared" ref="AE10" si="27">IF(G10="",0,(G10-F10)-(AJ10-AI10)-(AG10-AF10))</f>
        <v>2.9791666666642413</v>
      </c>
      <c r="AF10" s="533"/>
      <c r="AG10" s="533"/>
      <c r="AH10" s="533">
        <f t="shared" ref="AH10" si="28">AG10-AF10</f>
        <v>0</v>
      </c>
      <c r="AI10" s="533"/>
      <c r="AJ10" s="533"/>
      <c r="AK10" s="533">
        <f t="shared" ref="AK10" si="29">AJ10-AI10</f>
        <v>0</v>
      </c>
      <c r="AL10" s="531"/>
      <c r="AM10" s="531" t="s">
        <v>217</v>
      </c>
      <c r="AN10" s="531" t="s">
        <v>218</v>
      </c>
      <c r="AO10" s="524" t="s">
        <v>297</v>
      </c>
      <c r="AP10" s="524" t="s">
        <v>207</v>
      </c>
      <c r="AQ10" s="536" t="s">
        <v>208</v>
      </c>
      <c r="AS10" s="82" t="str">
        <f t="shared" si="0"/>
        <v>SGC에너지</v>
      </c>
      <c r="AT10" s="311">
        <f t="shared" si="1"/>
        <v>88000</v>
      </c>
      <c r="AU10" s="82"/>
      <c r="AV10" s="218">
        <f t="shared" si="2"/>
        <v>1</v>
      </c>
      <c r="AW10" s="218">
        <f t="shared" si="2"/>
        <v>0</v>
      </c>
      <c r="AX10" s="219">
        <f t="shared" si="3"/>
        <v>1</v>
      </c>
      <c r="AY10" s="219">
        <f t="shared" si="4"/>
        <v>0</v>
      </c>
      <c r="AZ10" s="136">
        <f t="shared" si="5"/>
        <v>1</v>
      </c>
    </row>
    <row r="11" spans="2:52" s="102" customFormat="1" ht="17.45" hidden="1" customHeight="1" outlineLevel="1">
      <c r="B11" s="525"/>
      <c r="C11" s="524"/>
      <c r="D11" s="497"/>
      <c r="E11" s="497"/>
      <c r="F11" s="497"/>
      <c r="G11" s="559"/>
      <c r="H11" s="497"/>
      <c r="I11" s="526"/>
      <c r="J11" s="527"/>
      <c r="K11" s="528"/>
      <c r="L11" s="529"/>
      <c r="M11" s="529"/>
      <c r="N11" s="556"/>
      <c r="O11" s="557"/>
      <c r="P11" s="557"/>
      <c r="Q11" s="528"/>
      <c r="R11" s="531"/>
      <c r="S11" s="531"/>
      <c r="T11" s="531"/>
      <c r="U11" s="531"/>
      <c r="V11" s="531"/>
      <c r="W11" s="528"/>
      <c r="X11" s="528"/>
      <c r="Y11" s="532"/>
      <c r="Z11" s="533"/>
      <c r="AA11" s="533"/>
      <c r="AB11" s="533"/>
      <c r="AC11" s="533"/>
      <c r="AD11" s="537"/>
      <c r="AE11" s="534"/>
      <c r="AF11" s="534"/>
      <c r="AG11" s="534"/>
      <c r="AH11" s="534"/>
      <c r="AI11" s="534"/>
      <c r="AJ11" s="534"/>
      <c r="AK11" s="534"/>
      <c r="AL11" s="531"/>
      <c r="AM11" s="531"/>
      <c r="AN11" s="531"/>
      <c r="AO11" s="524"/>
      <c r="AP11" s="524"/>
      <c r="AQ11" s="538"/>
      <c r="AS11" s="82">
        <f t="shared" si="0"/>
        <v>0</v>
      </c>
      <c r="AT11" s="311">
        <f t="shared" si="1"/>
        <v>0</v>
      </c>
      <c r="AU11" s="82"/>
      <c r="AV11" s="218">
        <f t="shared" si="2"/>
        <v>0</v>
      </c>
      <c r="AW11" s="218">
        <f t="shared" si="2"/>
        <v>0</v>
      </c>
      <c r="AX11" s="219">
        <f t="shared" si="3"/>
        <v>0</v>
      </c>
      <c r="AY11" s="219">
        <f t="shared" si="4"/>
        <v>0</v>
      </c>
      <c r="AZ11" s="136">
        <f t="shared" si="5"/>
        <v>0</v>
      </c>
    </row>
    <row r="12" spans="2:52" s="102" customFormat="1" ht="17.45" hidden="1" customHeight="1" outlineLevel="1">
      <c r="B12" s="525" t="s">
        <v>188</v>
      </c>
      <c r="C12" s="524" t="s">
        <v>234</v>
      </c>
      <c r="D12" s="497">
        <v>44542.211805555555</v>
      </c>
      <c r="E12" s="497">
        <v>44546.069444444445</v>
      </c>
      <c r="F12" s="497">
        <v>44546.135416666664</v>
      </c>
      <c r="G12" s="497">
        <v>44555.753472222219</v>
      </c>
      <c r="H12" s="497">
        <v>44555.833333333336</v>
      </c>
      <c r="I12" s="526">
        <f>+E12-D12+AH12+AK12</f>
        <v>10.288194444445253</v>
      </c>
      <c r="J12" s="527">
        <f>G12-D12</f>
        <v>13.541666666664241</v>
      </c>
      <c r="K12" s="528">
        <v>92315</v>
      </c>
      <c r="L12" s="529">
        <v>92315</v>
      </c>
      <c r="M12" s="529"/>
      <c r="N12" s="529">
        <f t="shared" si="22"/>
        <v>92315</v>
      </c>
      <c r="O12" s="530">
        <v>44558</v>
      </c>
      <c r="P12" s="530" t="s">
        <v>296</v>
      </c>
      <c r="Q12" s="528" t="s">
        <v>287</v>
      </c>
      <c r="R12" s="531" t="s">
        <v>189</v>
      </c>
      <c r="S12" s="531" t="s">
        <v>213</v>
      </c>
      <c r="T12" s="531" t="s">
        <v>190</v>
      </c>
      <c r="U12" s="535" t="s">
        <v>186</v>
      </c>
      <c r="V12" s="531" t="s">
        <v>191</v>
      </c>
      <c r="W12" s="528">
        <v>207396.6</v>
      </c>
      <c r="X12" s="528">
        <v>107494</v>
      </c>
      <c r="Y12" s="532">
        <v>299.94</v>
      </c>
      <c r="Z12" s="533">
        <v>18.27</v>
      </c>
      <c r="AA12" s="553">
        <f t="shared" ref="AA12" si="30">IF(E12="","",E12-D12+AH12+AK12)</f>
        <v>10.288194444445253</v>
      </c>
      <c r="AB12" s="553">
        <f t="shared" ref="AB12" si="31">IF(G12="","",G12-D12)</f>
        <v>13.541666666664241</v>
      </c>
      <c r="AC12" s="554">
        <f t="shared" ref="AC12" si="32">IF(H12="","",H12-D12)</f>
        <v>13.621527777781012</v>
      </c>
      <c r="AD12" s="537">
        <f t="shared" ref="AD12" si="33">IF(N12=0,"",((N12/AE12)*24)/24)</f>
        <v>28961.568627450979</v>
      </c>
      <c r="AE12" s="555">
        <f t="shared" ref="AE12" si="34">IF(G12="",0,(G12-F12)-(AJ12-AI12)-(AG12-AF12))</f>
        <v>3.1875</v>
      </c>
      <c r="AF12" s="497">
        <v>44546.604166666664</v>
      </c>
      <c r="AG12" s="497">
        <v>44553.034722222219</v>
      </c>
      <c r="AH12" s="533">
        <f t="shared" ref="AH12" si="35">AG12-AF12</f>
        <v>6.4305555555547471</v>
      </c>
      <c r="AI12" s="533"/>
      <c r="AJ12" s="533"/>
      <c r="AK12" s="533">
        <f t="shared" ref="AK12" si="36">AJ12-AI12</f>
        <v>0</v>
      </c>
      <c r="AL12" s="531"/>
      <c r="AM12" s="531" t="s">
        <v>235</v>
      </c>
      <c r="AN12" s="531" t="s">
        <v>236</v>
      </c>
      <c r="AO12" s="524" t="s">
        <v>308</v>
      </c>
      <c r="AP12" s="524" t="s">
        <v>207</v>
      </c>
      <c r="AQ12" s="536" t="s">
        <v>274</v>
      </c>
      <c r="AS12" s="82" t="str">
        <f t="shared" si="0"/>
        <v>SNNC</v>
      </c>
      <c r="AT12" s="311">
        <f t="shared" si="1"/>
        <v>92315</v>
      </c>
      <c r="AU12" s="82"/>
      <c r="AV12" s="218">
        <f t="shared" si="2"/>
        <v>1</v>
      </c>
      <c r="AW12" s="218">
        <f t="shared" si="2"/>
        <v>0</v>
      </c>
      <c r="AX12" s="219">
        <f t="shared" si="3"/>
        <v>1</v>
      </c>
      <c r="AY12" s="219">
        <f t="shared" si="4"/>
        <v>0</v>
      </c>
      <c r="AZ12" s="136">
        <f t="shared" si="5"/>
        <v>1</v>
      </c>
    </row>
    <row r="13" spans="2:52" s="102" customFormat="1" ht="17.45" hidden="1" customHeight="1" outlineLevel="1">
      <c r="B13" s="525"/>
      <c r="C13" s="524"/>
      <c r="D13" s="497"/>
      <c r="E13" s="497"/>
      <c r="F13" s="497"/>
      <c r="G13" s="559"/>
      <c r="H13" s="497"/>
      <c r="I13" s="526"/>
      <c r="J13" s="527"/>
      <c r="K13" s="528"/>
      <c r="L13" s="529"/>
      <c r="M13" s="529"/>
      <c r="N13" s="556"/>
      <c r="O13" s="557"/>
      <c r="P13" s="557"/>
      <c r="Q13" s="528"/>
      <c r="R13" s="531"/>
      <c r="S13" s="531"/>
      <c r="T13" s="531"/>
      <c r="U13" s="531"/>
      <c r="V13" s="531"/>
      <c r="W13" s="528"/>
      <c r="X13" s="528"/>
      <c r="Y13" s="532"/>
      <c r="Z13" s="533"/>
      <c r="AA13" s="533"/>
      <c r="AB13" s="533"/>
      <c r="AC13" s="533"/>
      <c r="AD13" s="537"/>
      <c r="AE13" s="534"/>
      <c r="AF13" s="534"/>
      <c r="AG13" s="534"/>
      <c r="AH13" s="534"/>
      <c r="AI13" s="534"/>
      <c r="AJ13" s="534"/>
      <c r="AK13" s="534"/>
      <c r="AL13" s="531"/>
      <c r="AM13" s="531"/>
      <c r="AN13" s="531"/>
      <c r="AO13" s="524"/>
      <c r="AP13" s="524"/>
      <c r="AQ13" s="538"/>
      <c r="AS13" s="82">
        <f t="shared" si="0"/>
        <v>0</v>
      </c>
      <c r="AT13" s="311">
        <f t="shared" si="1"/>
        <v>0</v>
      </c>
      <c r="AU13" s="82"/>
      <c r="AV13" s="218">
        <f t="shared" si="2"/>
        <v>0</v>
      </c>
      <c r="AW13" s="218">
        <f t="shared" si="2"/>
        <v>0</v>
      </c>
      <c r="AX13" s="219">
        <f t="shared" si="3"/>
        <v>0</v>
      </c>
      <c r="AY13" s="219">
        <f t="shared" si="4"/>
        <v>0</v>
      </c>
      <c r="AZ13" s="136">
        <f t="shared" si="5"/>
        <v>0</v>
      </c>
    </row>
    <row r="14" spans="2:52" s="102" customFormat="1" ht="17.45" hidden="1" customHeight="1" outlineLevel="1" collapsed="1">
      <c r="B14" s="525" t="s">
        <v>194</v>
      </c>
      <c r="C14" s="524" t="s">
        <v>230</v>
      </c>
      <c r="D14" s="497">
        <v>44542.595833333333</v>
      </c>
      <c r="E14" s="497">
        <v>44549.850694444445</v>
      </c>
      <c r="F14" s="497">
        <v>44549.930555555555</v>
      </c>
      <c r="G14" s="497">
        <v>44552.736111111109</v>
      </c>
      <c r="H14" s="497">
        <v>44552.861111111109</v>
      </c>
      <c r="I14" s="526">
        <f>+E14-D14+AH14+AK14</f>
        <v>7.2548611111124046</v>
      </c>
      <c r="J14" s="527">
        <f>G14-D14</f>
        <v>10.140277777776646</v>
      </c>
      <c r="K14" s="528">
        <v>76800</v>
      </c>
      <c r="L14" s="528"/>
      <c r="M14" s="529">
        <v>76800</v>
      </c>
      <c r="N14" s="529">
        <f t="shared" ref="N14" si="37">L14+M14</f>
        <v>76800</v>
      </c>
      <c r="O14" s="530">
        <v>44558</v>
      </c>
      <c r="P14" s="530" t="s">
        <v>296</v>
      </c>
      <c r="Q14" s="528" t="s">
        <v>278</v>
      </c>
      <c r="R14" s="558" t="s">
        <v>189</v>
      </c>
      <c r="S14" s="531" t="s">
        <v>221</v>
      </c>
      <c r="T14" s="531" t="s">
        <v>220</v>
      </c>
      <c r="U14" s="531" t="s">
        <v>181</v>
      </c>
      <c r="V14" s="531" t="s">
        <v>184</v>
      </c>
      <c r="W14" s="528">
        <v>82769</v>
      </c>
      <c r="X14" s="528">
        <v>43027</v>
      </c>
      <c r="Y14" s="532">
        <v>229</v>
      </c>
      <c r="Z14" s="533">
        <v>6.6</v>
      </c>
      <c r="AA14" s="553">
        <f t="shared" ref="AA14" si="38">IF(E14="","",E14-D14+AH14+AK14)</f>
        <v>7.2548611111124046</v>
      </c>
      <c r="AB14" s="553">
        <f t="shared" ref="AB14" si="39">IF(G14="","",G14-D14)</f>
        <v>10.140277777776646</v>
      </c>
      <c r="AC14" s="554">
        <f t="shared" ref="AC14" si="40">IF(H14="","",H14-D14)</f>
        <v>10.265277777776646</v>
      </c>
      <c r="AD14" s="537">
        <f t="shared" ref="AD14" si="41">IF(N14=0,"",((N14/AE14)*24)/24)</f>
        <v>27374.257425750464</v>
      </c>
      <c r="AE14" s="555">
        <f t="shared" ref="AE14" si="42">IF(G14="",0,(G14-F14)-(AJ14-AI14)-(AG14-AF14))</f>
        <v>2.8055555555547471</v>
      </c>
      <c r="AF14" s="533"/>
      <c r="AG14" s="533"/>
      <c r="AH14" s="533">
        <f t="shared" ref="AH14" si="43">AG14-AF14</f>
        <v>0</v>
      </c>
      <c r="AI14" s="533"/>
      <c r="AJ14" s="533"/>
      <c r="AK14" s="533">
        <f t="shared" ref="AK14" si="44">AJ14-AI14</f>
        <v>0</v>
      </c>
      <c r="AL14" s="531"/>
      <c r="AM14" s="531" t="s">
        <v>231</v>
      </c>
      <c r="AN14" s="531" t="s">
        <v>232</v>
      </c>
      <c r="AO14" s="524" t="s">
        <v>288</v>
      </c>
      <c r="AP14" s="524" t="s">
        <v>207</v>
      </c>
      <c r="AQ14" s="536" t="s">
        <v>227</v>
      </c>
      <c r="AS14" s="82" t="str">
        <f t="shared" si="0"/>
        <v>SGC에너지</v>
      </c>
      <c r="AT14" s="311">
        <f t="shared" si="1"/>
        <v>76800</v>
      </c>
      <c r="AU14" s="82"/>
      <c r="AV14" s="218">
        <f t="shared" si="2"/>
        <v>0</v>
      </c>
      <c r="AW14" s="218">
        <f t="shared" si="2"/>
        <v>1</v>
      </c>
      <c r="AX14" s="219">
        <f t="shared" si="3"/>
        <v>0</v>
      </c>
      <c r="AY14" s="219">
        <f t="shared" si="4"/>
        <v>1</v>
      </c>
      <c r="AZ14" s="136">
        <f t="shared" si="5"/>
        <v>1</v>
      </c>
    </row>
    <row r="15" spans="2:52" s="102" customFormat="1" ht="17.45" hidden="1" customHeight="1" outlineLevel="1">
      <c r="B15" s="525"/>
      <c r="C15" s="524"/>
      <c r="D15" s="497"/>
      <c r="E15" s="497"/>
      <c r="F15" s="497"/>
      <c r="G15" s="497"/>
      <c r="H15" s="497"/>
      <c r="I15" s="526"/>
      <c r="J15" s="527"/>
      <c r="K15" s="528"/>
      <c r="L15" s="529"/>
      <c r="M15" s="529"/>
      <c r="N15" s="556"/>
      <c r="O15" s="557"/>
      <c r="P15" s="557"/>
      <c r="Q15" s="528"/>
      <c r="R15" s="531"/>
      <c r="S15" s="531"/>
      <c r="T15" s="531"/>
      <c r="U15" s="531"/>
      <c r="V15" s="531"/>
      <c r="W15" s="528"/>
      <c r="X15" s="528"/>
      <c r="Y15" s="532"/>
      <c r="Z15" s="533"/>
      <c r="AA15" s="533"/>
      <c r="AB15" s="533"/>
      <c r="AC15" s="533"/>
      <c r="AD15" s="537"/>
      <c r="AE15" s="534"/>
      <c r="AF15" s="534"/>
      <c r="AG15" s="534"/>
      <c r="AH15" s="534"/>
      <c r="AI15" s="534"/>
      <c r="AJ15" s="534"/>
      <c r="AK15" s="534"/>
      <c r="AL15" s="531"/>
      <c r="AM15" s="531"/>
      <c r="AN15" s="531"/>
      <c r="AO15" s="524"/>
      <c r="AP15" s="524"/>
      <c r="AQ15" s="538"/>
      <c r="AS15" s="82">
        <f t="shared" si="0"/>
        <v>0</v>
      </c>
      <c r="AT15" s="311">
        <f t="shared" si="1"/>
        <v>0</v>
      </c>
      <c r="AU15" s="82"/>
      <c r="AV15" s="218">
        <f t="shared" si="2"/>
        <v>0</v>
      </c>
      <c r="AW15" s="218">
        <f t="shared" si="2"/>
        <v>0</v>
      </c>
      <c r="AX15" s="219">
        <f t="shared" si="3"/>
        <v>0</v>
      </c>
      <c r="AY15" s="219">
        <f t="shared" si="4"/>
        <v>0</v>
      </c>
      <c r="AZ15" s="136">
        <f t="shared" si="5"/>
        <v>0</v>
      </c>
    </row>
    <row r="16" spans="2:52" s="88" customFormat="1" ht="17.45" hidden="1" customHeight="1" outlineLevel="1">
      <c r="B16" s="525" t="s">
        <v>78</v>
      </c>
      <c r="C16" s="524" t="s">
        <v>275</v>
      </c>
      <c r="D16" s="497">
        <v>44545.291666666664</v>
      </c>
      <c r="E16" s="497">
        <v>44548.654166666667</v>
      </c>
      <c r="F16" s="497">
        <v>44549.0625</v>
      </c>
      <c r="G16" s="497">
        <v>44549.708333333336</v>
      </c>
      <c r="H16" s="497">
        <v>44549.784722222219</v>
      </c>
      <c r="I16" s="526">
        <f>+E16-D16+AH16+AK16</f>
        <v>3.3625000000029104</v>
      </c>
      <c r="J16" s="527">
        <f>G16-D16</f>
        <v>4.4166666666715173</v>
      </c>
      <c r="K16" s="528">
        <v>11249.07</v>
      </c>
      <c r="L16" s="529"/>
      <c r="M16" s="529">
        <v>11249</v>
      </c>
      <c r="N16" s="529">
        <f t="shared" ref="N16:N17" si="45">L16+M16</f>
        <v>11249</v>
      </c>
      <c r="O16" s="530">
        <v>44558</v>
      </c>
      <c r="P16" s="530" t="s">
        <v>296</v>
      </c>
      <c r="Q16" s="528" t="s">
        <v>278</v>
      </c>
      <c r="R16" s="531" t="s">
        <v>180</v>
      </c>
      <c r="S16" s="531" t="s">
        <v>212</v>
      </c>
      <c r="T16" s="531" t="s">
        <v>276</v>
      </c>
      <c r="U16" s="535" t="s">
        <v>181</v>
      </c>
      <c r="V16" s="531" t="s">
        <v>193</v>
      </c>
      <c r="W16" s="528">
        <v>16300</v>
      </c>
      <c r="X16" s="528">
        <v>10360</v>
      </c>
      <c r="Y16" s="532">
        <v>149.97999999999999</v>
      </c>
      <c r="Z16" s="533">
        <v>8.1999999999999993</v>
      </c>
      <c r="AA16" s="553">
        <f t="shared" ref="AA16" si="46">IF(E16="","",E16-D16+AH16+AK16)</f>
        <v>3.3625000000029104</v>
      </c>
      <c r="AB16" s="553">
        <f t="shared" ref="AB16" si="47">IF(G16="","",G16-D16)</f>
        <v>4.4166666666715173</v>
      </c>
      <c r="AC16" s="554">
        <f t="shared" ref="AC16" si="48">IF(H16="","",H16-D16)</f>
        <v>4.4930555555547471</v>
      </c>
      <c r="AD16" s="537">
        <f t="shared" ref="AD16" si="49">IF(N16=0,"",((N16/AE16)*24)/24)</f>
        <v>17417.806451547494</v>
      </c>
      <c r="AE16" s="555">
        <f t="shared" ref="AE16" si="50">IF(G16="",0,(G16-F16)-(AJ16-AI16)-(AG16-AF16))</f>
        <v>0.64583333333575865</v>
      </c>
      <c r="AF16" s="533"/>
      <c r="AG16" s="533"/>
      <c r="AH16" s="533">
        <f t="shared" ref="AH16" si="51">AG16-AF16</f>
        <v>0</v>
      </c>
      <c r="AI16" s="533"/>
      <c r="AJ16" s="533"/>
      <c r="AK16" s="533">
        <f t="shared" ref="AK16" si="52">AJ16-AI16</f>
        <v>0</v>
      </c>
      <c r="AL16" s="531"/>
      <c r="AM16" s="531" t="s">
        <v>277</v>
      </c>
      <c r="AN16" s="531" t="s">
        <v>277</v>
      </c>
      <c r="AO16" s="524" t="s">
        <v>288</v>
      </c>
      <c r="AP16" s="524"/>
      <c r="AQ16" s="536" t="s">
        <v>208</v>
      </c>
      <c r="AS16" s="82" t="str">
        <f t="shared" si="0"/>
        <v>삼영산업</v>
      </c>
      <c r="AT16" s="311">
        <f t="shared" si="1"/>
        <v>11249.07</v>
      </c>
      <c r="AU16" s="82"/>
      <c r="AV16" s="218">
        <f t="shared" si="2"/>
        <v>0</v>
      </c>
      <c r="AW16" s="218">
        <f t="shared" si="2"/>
        <v>1</v>
      </c>
      <c r="AX16" s="219">
        <f t="shared" si="3"/>
        <v>0</v>
      </c>
      <c r="AY16" s="219">
        <f t="shared" si="4"/>
        <v>1</v>
      </c>
      <c r="AZ16" s="136">
        <f t="shared" si="5"/>
        <v>1</v>
      </c>
    </row>
    <row r="17" spans="2:52" s="88" customFormat="1" ht="17.45" hidden="1" customHeight="1" outlineLevel="1">
      <c r="B17" s="525"/>
      <c r="C17" s="524"/>
      <c r="D17" s="497"/>
      <c r="E17" s="560"/>
      <c r="F17" s="497"/>
      <c r="G17" s="497"/>
      <c r="H17" s="497"/>
      <c r="I17" s="526"/>
      <c r="J17" s="527"/>
      <c r="K17" s="528"/>
      <c r="L17" s="529"/>
      <c r="M17" s="529"/>
      <c r="N17" s="529">
        <f t="shared" si="45"/>
        <v>0</v>
      </c>
      <c r="O17" s="557"/>
      <c r="P17" s="557"/>
      <c r="Q17" s="561"/>
      <c r="R17" s="531"/>
      <c r="S17" s="531"/>
      <c r="T17" s="531"/>
      <c r="U17" s="531"/>
      <c r="V17" s="531"/>
      <c r="W17" s="528"/>
      <c r="X17" s="528"/>
      <c r="Y17" s="532"/>
      <c r="Z17" s="533"/>
      <c r="AA17" s="533"/>
      <c r="AB17" s="533"/>
      <c r="AC17" s="533"/>
      <c r="AD17" s="537"/>
      <c r="AE17" s="534"/>
      <c r="AF17" s="534"/>
      <c r="AG17" s="534"/>
      <c r="AH17" s="534"/>
      <c r="AI17" s="534"/>
      <c r="AJ17" s="534"/>
      <c r="AK17" s="534"/>
      <c r="AL17" s="531"/>
      <c r="AM17" s="531"/>
      <c r="AN17" s="531"/>
      <c r="AO17" s="524"/>
      <c r="AP17" s="524"/>
      <c r="AQ17" s="538"/>
      <c r="AS17" s="82">
        <f t="shared" si="0"/>
        <v>0</v>
      </c>
      <c r="AT17" s="311">
        <f t="shared" si="1"/>
        <v>0</v>
      </c>
      <c r="AU17" s="82"/>
      <c r="AV17" s="218">
        <f t="shared" si="2"/>
        <v>0</v>
      </c>
      <c r="AW17" s="218">
        <f t="shared" si="2"/>
        <v>0</v>
      </c>
      <c r="AX17" s="219">
        <f t="shared" si="3"/>
        <v>0</v>
      </c>
      <c r="AY17" s="219">
        <f t="shared" si="4"/>
        <v>0</v>
      </c>
      <c r="AZ17" s="136">
        <f t="shared" si="5"/>
        <v>0</v>
      </c>
    </row>
    <row r="18" spans="2:52" s="82" customFormat="1" ht="17.45" hidden="1" customHeight="1" outlineLevel="1" thickBot="1">
      <c r="B18" s="562"/>
      <c r="C18" s="563"/>
      <c r="D18" s="564"/>
      <c r="E18" s="564"/>
      <c r="F18" s="564"/>
      <c r="G18" s="564"/>
      <c r="H18" s="564"/>
      <c r="I18" s="565">
        <f>IFERROR(AVERAGE(I5:I17),0)</f>
        <v>7.6706018518537649</v>
      </c>
      <c r="J18" s="565">
        <f>IFERROR(AVERAGE(J5:J17),0)</f>
        <v>9.8430555555569299</v>
      </c>
      <c r="K18" s="566">
        <f>SUM(K5:K17)</f>
        <v>330018.07</v>
      </c>
      <c r="L18" s="567">
        <f>SUM(L5:L17)</f>
        <v>180315</v>
      </c>
      <c r="M18" s="567">
        <f>SUM(M5:M17)</f>
        <v>148120</v>
      </c>
      <c r="N18" s="566">
        <f>SUM(N5:N17)</f>
        <v>328435</v>
      </c>
      <c r="O18" s="566"/>
      <c r="P18" s="566"/>
      <c r="Q18" s="568"/>
      <c r="R18" s="563"/>
      <c r="S18" s="563"/>
      <c r="T18" s="569"/>
      <c r="U18" s="570"/>
      <c r="V18" s="569"/>
      <c r="W18" s="571"/>
      <c r="X18" s="571"/>
      <c r="Y18" s="572"/>
      <c r="Z18" s="573"/>
      <c r="AA18" s="573"/>
      <c r="AB18" s="573"/>
      <c r="AC18" s="573"/>
      <c r="AD18" s="573"/>
      <c r="AE18" s="573"/>
      <c r="AF18" s="573"/>
      <c r="AG18" s="573"/>
      <c r="AH18" s="573"/>
      <c r="AI18" s="573"/>
      <c r="AJ18" s="573"/>
      <c r="AK18" s="573"/>
      <c r="AL18" s="574"/>
      <c r="AM18" s="574"/>
      <c r="AN18" s="574"/>
      <c r="AO18" s="570"/>
      <c r="AP18" s="570"/>
      <c r="AQ18" s="575"/>
      <c r="AS18" s="82">
        <f t="shared" si="0"/>
        <v>0</v>
      </c>
      <c r="AT18" s="311">
        <f t="shared" si="1"/>
        <v>330018.07</v>
      </c>
      <c r="AV18" s="218">
        <f t="shared" si="2"/>
        <v>1</v>
      </c>
      <c r="AW18" s="218">
        <f t="shared" si="2"/>
        <v>1</v>
      </c>
      <c r="AX18" s="219">
        <f t="shared" si="3"/>
        <v>0.5</v>
      </c>
      <c r="AY18" s="219">
        <f t="shared" si="4"/>
        <v>0.5</v>
      </c>
      <c r="AZ18" s="136">
        <f t="shared" si="5"/>
        <v>1</v>
      </c>
    </row>
    <row r="19" spans="2:52" ht="24.95" hidden="1" customHeight="1" outlineLevel="1" thickBot="1">
      <c r="B19" s="246" t="s">
        <v>241</v>
      </c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475"/>
      <c r="U19" s="117"/>
      <c r="V19" s="117"/>
      <c r="W19" s="117"/>
      <c r="X19" s="117"/>
      <c r="Y19" s="208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8"/>
      <c r="AS19" s="82" t="str">
        <f t="shared" si="0"/>
        <v>2022년 1월 반입 선박리스트</v>
      </c>
      <c r="AT19" s="311">
        <f t="shared" si="1"/>
        <v>0</v>
      </c>
      <c r="AU19" s="82"/>
      <c r="AV19" s="218">
        <f t="shared" si="2"/>
        <v>0</v>
      </c>
      <c r="AW19" s="218">
        <f t="shared" si="2"/>
        <v>0</v>
      </c>
      <c r="AX19" s="219">
        <f t="shared" si="3"/>
        <v>0</v>
      </c>
      <c r="AY19" s="219">
        <f t="shared" si="4"/>
        <v>0</v>
      </c>
      <c r="AZ19" s="136">
        <f t="shared" si="5"/>
        <v>0</v>
      </c>
    </row>
    <row r="20" spans="2:52" s="82" customFormat="1" ht="17.45" hidden="1" customHeight="1" outlineLevel="1">
      <c r="B20" s="539"/>
      <c r="C20" s="540"/>
      <c r="D20" s="58"/>
      <c r="E20" s="58"/>
      <c r="F20" s="58"/>
      <c r="G20" s="58"/>
      <c r="H20" s="58"/>
      <c r="I20" s="58"/>
      <c r="J20" s="58"/>
      <c r="K20" s="541"/>
      <c r="L20" s="542"/>
      <c r="M20" s="542"/>
      <c r="N20" s="542"/>
      <c r="O20" s="541"/>
      <c r="P20" s="541"/>
      <c r="Q20" s="541"/>
      <c r="R20" s="543"/>
      <c r="S20" s="543"/>
      <c r="T20" s="543"/>
      <c r="U20" s="59"/>
      <c r="V20" s="59"/>
      <c r="W20" s="541"/>
      <c r="X20" s="541"/>
      <c r="Y20" s="544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59"/>
      <c r="AM20" s="59"/>
      <c r="AN20" s="59"/>
      <c r="AO20" s="61"/>
      <c r="AP20" s="61"/>
      <c r="AQ20" s="545"/>
      <c r="AS20" s="82">
        <f t="shared" si="0"/>
        <v>0</v>
      </c>
      <c r="AT20" s="311">
        <f t="shared" si="1"/>
        <v>0</v>
      </c>
      <c r="AV20" s="218">
        <f t="shared" si="2"/>
        <v>0</v>
      </c>
      <c r="AW20" s="218">
        <f t="shared" si="2"/>
        <v>0</v>
      </c>
      <c r="AX20" s="219">
        <f t="shared" si="3"/>
        <v>0</v>
      </c>
      <c r="AY20" s="219">
        <f t="shared" si="4"/>
        <v>0</v>
      </c>
      <c r="AZ20" s="136">
        <f t="shared" si="5"/>
        <v>0</v>
      </c>
    </row>
    <row r="21" spans="2:52" s="102" customFormat="1" ht="17.45" hidden="1" customHeight="1" outlineLevel="1">
      <c r="B21" s="105" t="s">
        <v>185</v>
      </c>
      <c r="C21" s="71" t="s">
        <v>293</v>
      </c>
      <c r="D21" s="64">
        <v>44568.866666666669</v>
      </c>
      <c r="E21" s="64">
        <v>44575.6875</v>
      </c>
      <c r="F21" s="64">
        <v>44576.336805555555</v>
      </c>
      <c r="G21" s="64">
        <v>44579.118055555555</v>
      </c>
      <c r="H21" s="64">
        <v>44579.215277777781</v>
      </c>
      <c r="I21" s="65">
        <f>+E21-D21+AH21+AK21</f>
        <v>6.8208333333313931</v>
      </c>
      <c r="J21" s="66">
        <f>G21-D21</f>
        <v>10.25138888888614</v>
      </c>
      <c r="K21" s="69">
        <v>54829</v>
      </c>
      <c r="L21" s="67"/>
      <c r="M21" s="67">
        <v>54829</v>
      </c>
      <c r="N21" s="67">
        <f t="shared" ref="N21" si="53">L21+M21</f>
        <v>54829</v>
      </c>
      <c r="O21" s="68">
        <v>44587</v>
      </c>
      <c r="P21" s="68" t="s">
        <v>296</v>
      </c>
      <c r="Q21" s="69" t="s">
        <v>278</v>
      </c>
      <c r="R21" s="70" t="s">
        <v>183</v>
      </c>
      <c r="S21" s="70" t="s">
        <v>214</v>
      </c>
      <c r="T21" s="70" t="s">
        <v>228</v>
      </c>
      <c r="U21" s="73" t="s">
        <v>181</v>
      </c>
      <c r="V21" s="70" t="s">
        <v>184</v>
      </c>
      <c r="W21" s="69">
        <v>88125</v>
      </c>
      <c r="X21" s="69">
        <v>48042</v>
      </c>
      <c r="Y21" s="204">
        <v>230</v>
      </c>
      <c r="Z21" s="72">
        <v>13.8</v>
      </c>
      <c r="AA21" s="192">
        <f t="shared" ref="AA21" si="54">IF(E21="","",E21-D21+AH21+AK21)</f>
        <v>6.8208333333313931</v>
      </c>
      <c r="AB21" s="192">
        <f t="shared" ref="AB21" si="55">IF(G21="","",G21-D21)</f>
        <v>10.25138888888614</v>
      </c>
      <c r="AC21" s="193">
        <f t="shared" ref="AC21" si="56">IF(H21="","",H21-D21)</f>
        <v>10.348611111112405</v>
      </c>
      <c r="AD21" s="89">
        <f t="shared" ref="AD21" si="57">IF(N21=0,"",((N21/AE21)*24)/24)</f>
        <v>19713.79775280899</v>
      </c>
      <c r="AE21" s="194">
        <f t="shared" ref="AE21" si="58">IF(G21="",0,(G21-F21)-(AJ21-AI21)-(AG21-AF21))</f>
        <v>2.78125</v>
      </c>
      <c r="AF21" s="72"/>
      <c r="AG21" s="72"/>
      <c r="AH21" s="72">
        <f t="shared" ref="AH21" si="59">AG21-AF21</f>
        <v>0</v>
      </c>
      <c r="AI21" s="72"/>
      <c r="AJ21" s="72"/>
      <c r="AK21" s="72">
        <f t="shared" ref="AK21" si="60">AJ21-AI21</f>
        <v>0</v>
      </c>
      <c r="AL21" s="70"/>
      <c r="AM21" s="70" t="s">
        <v>303</v>
      </c>
      <c r="AN21" s="70" t="s">
        <v>304</v>
      </c>
      <c r="AO21" s="71" t="s">
        <v>307</v>
      </c>
      <c r="AP21" s="71" t="s">
        <v>284</v>
      </c>
      <c r="AQ21" s="104" t="s">
        <v>338</v>
      </c>
      <c r="AS21" s="82" t="str">
        <f t="shared" si="0"/>
        <v>남동발전</v>
      </c>
      <c r="AT21" s="311">
        <f t="shared" si="1"/>
        <v>54829</v>
      </c>
      <c r="AU21" s="82"/>
      <c r="AV21" s="218">
        <f t="shared" ref="AV21:AW84" si="61">IF(L21=0,0,1)</f>
        <v>0</v>
      </c>
      <c r="AW21" s="218">
        <f t="shared" si="61"/>
        <v>1</v>
      </c>
      <c r="AX21" s="219">
        <f t="shared" si="3"/>
        <v>0</v>
      </c>
      <c r="AY21" s="219">
        <f t="shared" si="4"/>
        <v>1</v>
      </c>
      <c r="AZ21" s="136">
        <f t="shared" si="5"/>
        <v>1</v>
      </c>
    </row>
    <row r="22" spans="2:52" s="102" customFormat="1" ht="13.5" hidden="1" customHeight="1" outlineLevel="1">
      <c r="B22" s="105"/>
      <c r="C22" s="71"/>
      <c r="D22" s="64"/>
      <c r="E22" s="64"/>
      <c r="F22" s="64"/>
      <c r="G22" s="64"/>
      <c r="H22" s="64"/>
      <c r="I22" s="65"/>
      <c r="J22" s="66"/>
      <c r="K22" s="69"/>
      <c r="L22" s="67"/>
      <c r="M22" s="67"/>
      <c r="N22" s="77"/>
      <c r="O22" s="78"/>
      <c r="P22" s="78"/>
      <c r="Q22" s="69"/>
      <c r="R22" s="70"/>
      <c r="S22" s="70"/>
      <c r="T22" s="70"/>
      <c r="U22" s="70"/>
      <c r="V22" s="70"/>
      <c r="W22" s="69"/>
      <c r="X22" s="69"/>
      <c r="Y22" s="204"/>
      <c r="Z22" s="72"/>
      <c r="AA22" s="72"/>
      <c r="AB22" s="72"/>
      <c r="AC22" s="72"/>
      <c r="AD22" s="89"/>
      <c r="AE22" s="80"/>
      <c r="AF22" s="80"/>
      <c r="AG22" s="80"/>
      <c r="AH22" s="80"/>
      <c r="AI22" s="80"/>
      <c r="AJ22" s="80"/>
      <c r="AK22" s="80"/>
      <c r="AL22" s="70"/>
      <c r="AM22" s="70"/>
      <c r="AN22" s="70"/>
      <c r="AO22" s="71"/>
      <c r="AP22" s="71"/>
      <c r="AQ22" s="106"/>
      <c r="AS22" s="82">
        <f t="shared" si="0"/>
        <v>0</v>
      </c>
      <c r="AT22" s="311">
        <f t="shared" si="1"/>
        <v>0</v>
      </c>
      <c r="AU22" s="82"/>
      <c r="AV22" s="218">
        <f t="shared" si="61"/>
        <v>0</v>
      </c>
      <c r="AW22" s="218">
        <f t="shared" si="61"/>
        <v>0</v>
      </c>
      <c r="AX22" s="219">
        <f t="shared" si="3"/>
        <v>0</v>
      </c>
      <c r="AY22" s="219">
        <f t="shared" si="4"/>
        <v>0</v>
      </c>
      <c r="AZ22" s="136">
        <f t="shared" si="5"/>
        <v>0</v>
      </c>
    </row>
    <row r="23" spans="2:52" s="102" customFormat="1" ht="17.45" hidden="1" customHeight="1" outlineLevel="1">
      <c r="B23" s="105" t="s">
        <v>182</v>
      </c>
      <c r="C23" s="71" t="s">
        <v>237</v>
      </c>
      <c r="D23" s="64">
        <v>44587.574999999997</v>
      </c>
      <c r="E23" s="64">
        <v>44587.662499999999</v>
      </c>
      <c r="F23" s="64">
        <v>44587.822916666664</v>
      </c>
      <c r="G23" s="64">
        <v>44588.725694444445</v>
      </c>
      <c r="H23" s="64">
        <v>44588.788194444445</v>
      </c>
      <c r="I23" s="65">
        <f>+E23-D23+AH23+AK23</f>
        <v>8.7500000001455192E-2</v>
      </c>
      <c r="J23" s="66">
        <f>G23-D23</f>
        <v>1.1506944444481633</v>
      </c>
      <c r="K23" s="69">
        <v>40000</v>
      </c>
      <c r="L23" s="67">
        <v>40041</v>
      </c>
      <c r="M23" s="67"/>
      <c r="N23" s="67">
        <f t="shared" ref="N23" si="62">L23+M23</f>
        <v>40041</v>
      </c>
      <c r="O23" s="68">
        <v>44587</v>
      </c>
      <c r="P23" s="68" t="s">
        <v>296</v>
      </c>
      <c r="Q23" s="69" t="s">
        <v>319</v>
      </c>
      <c r="R23" s="70" t="s">
        <v>189</v>
      </c>
      <c r="S23" s="70" t="s">
        <v>224</v>
      </c>
      <c r="T23" s="70" t="s">
        <v>225</v>
      </c>
      <c r="U23" s="73" t="s">
        <v>181</v>
      </c>
      <c r="V23" s="70" t="s">
        <v>184</v>
      </c>
      <c r="W23" s="69">
        <v>93164</v>
      </c>
      <c r="X23" s="69">
        <v>51265</v>
      </c>
      <c r="Y23" s="204">
        <v>229</v>
      </c>
      <c r="Z23" s="72">
        <v>7.6</v>
      </c>
      <c r="AA23" s="192">
        <f t="shared" ref="AA23" si="63">IF(E23="","",E23-D23+AH23+AK23)</f>
        <v>8.7500000001455192E-2</v>
      </c>
      <c r="AB23" s="192">
        <f t="shared" ref="AB23" si="64">IF(G23="","",G23-D23)</f>
        <v>1.1506944444481633</v>
      </c>
      <c r="AC23" s="193">
        <f t="shared" ref="AC23" si="65">IF(H23="","",H23-D23)</f>
        <v>1.2131944444481633</v>
      </c>
      <c r="AD23" s="89">
        <f t="shared" ref="AD23" si="66">IF(N23=0,"",((N23/AE23)*24)/24)</f>
        <v>44353.10769214882</v>
      </c>
      <c r="AE23" s="194">
        <f t="shared" ref="AE23" si="67">IF(G23="",0,(G23-F23)-(AJ23-AI23)-(AG23-AF23))</f>
        <v>0.90277777778101154</v>
      </c>
      <c r="AF23" s="72"/>
      <c r="AG23" s="72"/>
      <c r="AH23" s="72">
        <f t="shared" ref="AH23" si="68">AG23-AF23</f>
        <v>0</v>
      </c>
      <c r="AI23" s="72"/>
      <c r="AJ23" s="72"/>
      <c r="AK23" s="72">
        <f t="shared" ref="AK23" si="69">AJ23-AI23</f>
        <v>0</v>
      </c>
      <c r="AL23" s="70"/>
      <c r="AM23" s="70" t="s">
        <v>217</v>
      </c>
      <c r="AN23" s="70" t="s">
        <v>218</v>
      </c>
      <c r="AO23" s="71" t="s">
        <v>297</v>
      </c>
      <c r="AP23" s="71"/>
      <c r="AQ23" s="104" t="s">
        <v>294</v>
      </c>
      <c r="AS23" s="82" t="str">
        <f t="shared" si="0"/>
        <v>OCI SE</v>
      </c>
      <c r="AT23" s="311">
        <f t="shared" si="1"/>
        <v>40000</v>
      </c>
      <c r="AU23" s="82"/>
      <c r="AV23" s="218">
        <f t="shared" si="61"/>
        <v>1</v>
      </c>
      <c r="AW23" s="218">
        <f t="shared" si="61"/>
        <v>0</v>
      </c>
      <c r="AX23" s="219">
        <f t="shared" si="3"/>
        <v>1</v>
      </c>
      <c r="AY23" s="219">
        <f t="shared" si="4"/>
        <v>0</v>
      </c>
      <c r="AZ23" s="136">
        <f t="shared" si="5"/>
        <v>1</v>
      </c>
    </row>
    <row r="24" spans="2:52" s="102" customFormat="1" ht="30" hidden="1" customHeight="1" outlineLevel="1">
      <c r="B24" s="105"/>
      <c r="C24" s="71"/>
      <c r="D24" s="64"/>
      <c r="E24" s="64"/>
      <c r="F24" s="64"/>
      <c r="G24" s="64"/>
      <c r="H24" s="64"/>
      <c r="I24" s="65"/>
      <c r="J24" s="66"/>
      <c r="K24" s="69"/>
      <c r="L24" s="67"/>
      <c r="M24" s="67"/>
      <c r="N24" s="77"/>
      <c r="O24" s="78"/>
      <c r="P24" s="78"/>
      <c r="Q24" s="69"/>
      <c r="R24" s="70"/>
      <c r="S24" s="70"/>
      <c r="T24" s="70"/>
      <c r="U24" s="70"/>
      <c r="V24" s="70"/>
      <c r="W24" s="69"/>
      <c r="X24" s="69"/>
      <c r="Y24" s="204"/>
      <c r="Z24" s="72"/>
      <c r="AA24" s="72"/>
      <c r="AB24" s="72"/>
      <c r="AC24" s="72"/>
      <c r="AD24" s="89"/>
      <c r="AE24" s="80"/>
      <c r="AF24" s="80"/>
      <c r="AG24" s="80"/>
      <c r="AH24" s="80"/>
      <c r="AI24" s="80"/>
      <c r="AJ24" s="80"/>
      <c r="AK24" s="80"/>
      <c r="AL24" s="70"/>
      <c r="AM24" s="70"/>
      <c r="AN24" s="70"/>
      <c r="AO24" s="71"/>
      <c r="AP24" s="71"/>
      <c r="AQ24" s="106" t="s">
        <v>321</v>
      </c>
      <c r="AS24" s="82">
        <f t="shared" si="0"/>
        <v>0</v>
      </c>
      <c r="AT24" s="311">
        <f t="shared" si="1"/>
        <v>0</v>
      </c>
      <c r="AU24" s="82"/>
      <c r="AV24" s="218">
        <f t="shared" si="61"/>
        <v>0</v>
      </c>
      <c r="AW24" s="218">
        <f t="shared" si="61"/>
        <v>0</v>
      </c>
      <c r="AX24" s="219">
        <f t="shared" si="3"/>
        <v>0</v>
      </c>
      <c r="AY24" s="219">
        <f t="shared" si="4"/>
        <v>0</v>
      </c>
      <c r="AZ24" s="136">
        <f t="shared" si="5"/>
        <v>0</v>
      </c>
    </row>
    <row r="25" spans="2:52" s="82" customFormat="1" ht="17.45" hidden="1" customHeight="1" outlineLevel="1" thickBot="1">
      <c r="B25" s="479"/>
      <c r="C25" s="480"/>
      <c r="D25" s="481"/>
      <c r="E25" s="481"/>
      <c r="F25" s="481"/>
      <c r="G25" s="481"/>
      <c r="H25" s="481"/>
      <c r="I25" s="482">
        <f>IFERROR(AVERAGE(I20:I24),0)</f>
        <v>3.4541666666664241</v>
      </c>
      <c r="J25" s="493">
        <f>IFERROR(AVERAGE(J20:J24),0)</f>
        <v>5.7010416666671517</v>
      </c>
      <c r="K25" s="485">
        <f>SUM(K20:K24)</f>
        <v>94829</v>
      </c>
      <c r="L25" s="484">
        <f>SUM(L20:L24)</f>
        <v>40041</v>
      </c>
      <c r="M25" s="484">
        <f>SUM(M20:M24)</f>
        <v>54829</v>
      </c>
      <c r="N25" s="483">
        <f>SUM(N20:N24)</f>
        <v>94870</v>
      </c>
      <c r="O25" s="485"/>
      <c r="P25" s="485"/>
      <c r="Q25" s="485"/>
      <c r="R25" s="480"/>
      <c r="S25" s="480"/>
      <c r="T25" s="486"/>
      <c r="U25" s="487"/>
      <c r="V25" s="486"/>
      <c r="W25" s="488"/>
      <c r="X25" s="488"/>
      <c r="Y25" s="489"/>
      <c r="Z25" s="490"/>
      <c r="AA25" s="490"/>
      <c r="AB25" s="490"/>
      <c r="AC25" s="490"/>
      <c r="AD25" s="490"/>
      <c r="AE25" s="490"/>
      <c r="AF25" s="490"/>
      <c r="AG25" s="490"/>
      <c r="AH25" s="490"/>
      <c r="AI25" s="490"/>
      <c r="AJ25" s="490"/>
      <c r="AK25" s="490"/>
      <c r="AL25" s="491"/>
      <c r="AM25" s="491"/>
      <c r="AN25" s="491"/>
      <c r="AO25" s="487"/>
      <c r="AP25" s="487">
        <v>8</v>
      </c>
      <c r="AQ25" s="413"/>
      <c r="AS25" s="82">
        <f t="shared" si="0"/>
        <v>0</v>
      </c>
      <c r="AT25" s="311">
        <f t="shared" si="1"/>
        <v>94829</v>
      </c>
      <c r="AV25" s="218">
        <f t="shared" si="61"/>
        <v>1</v>
      </c>
      <c r="AW25" s="218">
        <f t="shared" si="61"/>
        <v>1</v>
      </c>
      <c r="AX25" s="219">
        <f t="shared" si="3"/>
        <v>0.5</v>
      </c>
      <c r="AY25" s="219">
        <f t="shared" si="4"/>
        <v>0.5</v>
      </c>
      <c r="AZ25" s="136">
        <f t="shared" si="5"/>
        <v>1</v>
      </c>
    </row>
    <row r="26" spans="2:52" ht="24.95" hidden="1" customHeight="1" outlineLevel="1" thickBot="1">
      <c r="B26" s="246" t="s">
        <v>242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46"/>
      <c r="M26" s="146"/>
      <c r="N26" s="146"/>
      <c r="O26" s="117"/>
      <c r="P26" s="117"/>
      <c r="Q26" s="117"/>
      <c r="R26" s="117"/>
      <c r="S26" s="117"/>
      <c r="T26" s="475"/>
      <c r="U26" s="117"/>
      <c r="V26" s="117"/>
      <c r="W26" s="117"/>
      <c r="X26" s="117"/>
      <c r="Y26" s="208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8"/>
      <c r="AS26" s="82" t="str">
        <f t="shared" si="0"/>
        <v>2022년 2월 반입 선박리스트</v>
      </c>
      <c r="AT26" s="311">
        <f t="shared" si="1"/>
        <v>0</v>
      </c>
      <c r="AU26" s="82"/>
      <c r="AV26" s="218">
        <f t="shared" si="61"/>
        <v>0</v>
      </c>
      <c r="AW26" s="218">
        <f t="shared" si="61"/>
        <v>0</v>
      </c>
      <c r="AX26" s="219">
        <f t="shared" si="3"/>
        <v>0</v>
      </c>
      <c r="AY26" s="219">
        <f t="shared" si="4"/>
        <v>0</v>
      </c>
      <c r="AZ26" s="136">
        <f t="shared" si="5"/>
        <v>0</v>
      </c>
    </row>
    <row r="27" spans="2:52" s="82" customFormat="1" ht="17.45" hidden="1" customHeight="1" outlineLevel="1">
      <c r="B27" s="372"/>
      <c r="C27" s="400"/>
      <c r="D27" s="403"/>
      <c r="E27" s="403"/>
      <c r="F27" s="403"/>
      <c r="G27" s="403"/>
      <c r="H27" s="403"/>
      <c r="I27" s="405"/>
      <c r="J27" s="406"/>
      <c r="K27" s="407"/>
      <c r="L27" s="408"/>
      <c r="M27" s="408"/>
      <c r="N27" s="408"/>
      <c r="O27" s="409"/>
      <c r="P27" s="409"/>
      <c r="Q27" s="407"/>
      <c r="R27" s="396"/>
      <c r="S27" s="396"/>
      <c r="T27" s="396"/>
      <c r="U27" s="396"/>
      <c r="V27" s="396"/>
      <c r="W27" s="407"/>
      <c r="X27" s="407"/>
      <c r="Y27" s="410"/>
      <c r="Z27" s="411"/>
      <c r="AA27" s="398"/>
      <c r="AB27" s="398"/>
      <c r="AC27" s="398"/>
      <c r="AD27" s="398"/>
      <c r="AE27" s="398"/>
      <c r="AF27" s="398"/>
      <c r="AG27" s="398"/>
      <c r="AH27" s="398"/>
      <c r="AI27" s="398"/>
      <c r="AJ27" s="398"/>
      <c r="AK27" s="398"/>
      <c r="AL27" s="396"/>
      <c r="AM27" s="396"/>
      <c r="AN27" s="396"/>
      <c r="AO27" s="414"/>
      <c r="AP27" s="576"/>
      <c r="AQ27" s="401"/>
      <c r="AS27" s="82">
        <f t="shared" si="0"/>
        <v>0</v>
      </c>
      <c r="AT27" s="311">
        <f t="shared" si="1"/>
        <v>0</v>
      </c>
      <c r="AV27" s="218">
        <f t="shared" si="61"/>
        <v>0</v>
      </c>
      <c r="AW27" s="218">
        <f t="shared" si="61"/>
        <v>0</v>
      </c>
      <c r="AX27" s="219">
        <f t="shared" si="3"/>
        <v>0</v>
      </c>
      <c r="AY27" s="219">
        <f t="shared" si="4"/>
        <v>0</v>
      </c>
      <c r="AZ27" s="136">
        <f t="shared" si="5"/>
        <v>0</v>
      </c>
    </row>
    <row r="28" spans="2:52" s="82" customFormat="1" ht="17.45" hidden="1" customHeight="1" outlineLevel="1">
      <c r="B28" s="372" t="s">
        <v>187</v>
      </c>
      <c r="C28" s="400" t="s">
        <v>298</v>
      </c>
      <c r="D28" s="403">
        <v>44588.5</v>
      </c>
      <c r="E28" s="403">
        <v>44592.420138888891</v>
      </c>
      <c r="F28" s="403">
        <v>44592.479166666664</v>
      </c>
      <c r="G28" s="403">
        <v>44597.979166666664</v>
      </c>
      <c r="H28" s="403">
        <v>44598.04583333333</v>
      </c>
      <c r="I28" s="405">
        <f>+E28-D28+AH28+AK28</f>
        <v>3.9201388888905058</v>
      </c>
      <c r="J28" s="406">
        <f>G28-D28</f>
        <v>9.4791666666642413</v>
      </c>
      <c r="K28" s="407">
        <v>154000</v>
      </c>
      <c r="L28" s="408">
        <v>154000</v>
      </c>
      <c r="M28" s="408"/>
      <c r="N28" s="408">
        <f t="shared" ref="N28" si="70">L28+M28</f>
        <v>154000</v>
      </c>
      <c r="O28" s="409">
        <v>44618</v>
      </c>
      <c r="P28" s="407" t="s">
        <v>296</v>
      </c>
      <c r="Q28" s="407" t="s">
        <v>325</v>
      </c>
      <c r="R28" s="396" t="s">
        <v>189</v>
      </c>
      <c r="S28" s="396" t="s">
        <v>213</v>
      </c>
      <c r="T28" s="396" t="s">
        <v>283</v>
      </c>
      <c r="U28" s="414" t="s">
        <v>315</v>
      </c>
      <c r="V28" s="396" t="s">
        <v>191</v>
      </c>
      <c r="W28" s="407">
        <v>175775</v>
      </c>
      <c r="X28" s="407">
        <v>91051</v>
      </c>
      <c r="Y28" s="410">
        <v>289</v>
      </c>
      <c r="Z28" s="411">
        <v>15.9</v>
      </c>
      <c r="AA28" s="376">
        <f t="shared" ref="AA28" si="71">IF(E28="","",E28-D28+AH28+AK28)</f>
        <v>3.9201388888905058</v>
      </c>
      <c r="AB28" s="376">
        <f t="shared" ref="AB28" si="72">IF(G28="","",G28-D28)</f>
        <v>9.4791666666642413</v>
      </c>
      <c r="AC28" s="377">
        <f t="shared" ref="AC28" si="73">IF(H28="","",H28-D28)</f>
        <v>9.5458333333299379</v>
      </c>
      <c r="AD28" s="378">
        <f t="shared" ref="AD28" si="74">IF(N28=0,"",((N28/AE28)*24)/24)</f>
        <v>28000</v>
      </c>
      <c r="AE28" s="412">
        <f t="shared" ref="AE28:AE30" si="75">IF(G28="",0,(G28-F28)-(AJ28-AI28)-(AG28-AF28))</f>
        <v>5.5</v>
      </c>
      <c r="AF28" s="411"/>
      <c r="AG28" s="411"/>
      <c r="AH28" s="411">
        <f t="shared" ref="AH28:AH30" si="76">AG28-AF28</f>
        <v>0</v>
      </c>
      <c r="AI28" s="411"/>
      <c r="AJ28" s="411"/>
      <c r="AK28" s="411">
        <f t="shared" ref="AK28:AK30" si="77">AJ28-AI28</f>
        <v>0</v>
      </c>
      <c r="AL28" s="396"/>
      <c r="AM28" s="396" t="s">
        <v>299</v>
      </c>
      <c r="AN28" s="396" t="s">
        <v>300</v>
      </c>
      <c r="AO28" s="400" t="s">
        <v>318</v>
      </c>
      <c r="AP28" s="400"/>
      <c r="AQ28" s="413" t="s">
        <v>322</v>
      </c>
      <c r="AS28" s="82" t="str">
        <f t="shared" si="0"/>
        <v>한화에너지</v>
      </c>
      <c r="AT28" s="311">
        <f t="shared" si="1"/>
        <v>154000</v>
      </c>
      <c r="AV28" s="218">
        <f t="shared" si="61"/>
        <v>1</v>
      </c>
      <c r="AW28" s="218">
        <f t="shared" si="61"/>
        <v>0</v>
      </c>
      <c r="AX28" s="219">
        <f t="shared" si="3"/>
        <v>1</v>
      </c>
      <c r="AY28" s="219">
        <f t="shared" si="4"/>
        <v>0</v>
      </c>
      <c r="AZ28" s="136">
        <f t="shared" si="5"/>
        <v>1</v>
      </c>
    </row>
    <row r="29" spans="2:52" s="82" customFormat="1" ht="17.45" hidden="1" customHeight="1" outlineLevel="1">
      <c r="B29" s="372"/>
      <c r="C29" s="400"/>
      <c r="D29" s="403"/>
      <c r="E29" s="403"/>
      <c r="F29" s="403"/>
      <c r="G29" s="403"/>
      <c r="H29" s="403"/>
      <c r="I29" s="405"/>
      <c r="J29" s="406"/>
      <c r="K29" s="407"/>
      <c r="L29" s="408"/>
      <c r="M29" s="408"/>
      <c r="N29" s="408">
        <v>0</v>
      </c>
      <c r="O29" s="409"/>
      <c r="P29" s="409"/>
      <c r="Q29" s="407"/>
      <c r="R29" s="396"/>
      <c r="S29" s="396"/>
      <c r="T29" s="396"/>
      <c r="U29" s="396"/>
      <c r="V29" s="396"/>
      <c r="W29" s="407"/>
      <c r="X29" s="407"/>
      <c r="Y29" s="410"/>
      <c r="Z29" s="411"/>
      <c r="AA29" s="411"/>
      <c r="AB29" s="411"/>
      <c r="AC29" s="411"/>
      <c r="AD29" s="378"/>
      <c r="AE29" s="398"/>
      <c r="AF29" s="398"/>
      <c r="AG29" s="398"/>
      <c r="AH29" s="398"/>
      <c r="AI29" s="398"/>
      <c r="AJ29" s="398"/>
      <c r="AK29" s="398"/>
      <c r="AL29" s="396"/>
      <c r="AM29" s="396"/>
      <c r="AN29" s="396"/>
      <c r="AO29" s="400"/>
      <c r="AP29" s="400"/>
      <c r="AQ29" s="418"/>
      <c r="AS29" s="82">
        <f t="shared" si="0"/>
        <v>0</v>
      </c>
      <c r="AT29" s="311">
        <f t="shared" si="1"/>
        <v>0</v>
      </c>
      <c r="AV29" s="218">
        <f t="shared" si="61"/>
        <v>0</v>
      </c>
      <c r="AW29" s="218">
        <f t="shared" si="61"/>
        <v>0</v>
      </c>
      <c r="AX29" s="219">
        <f t="shared" si="3"/>
        <v>0</v>
      </c>
      <c r="AY29" s="219">
        <f t="shared" si="4"/>
        <v>0</v>
      </c>
      <c r="AZ29" s="136">
        <f t="shared" si="5"/>
        <v>0</v>
      </c>
    </row>
    <row r="30" spans="2:52" s="82" customFormat="1" ht="17.45" hidden="1" customHeight="1" outlineLevel="1">
      <c r="B30" s="402" t="s">
        <v>222</v>
      </c>
      <c r="C30" s="400" t="s">
        <v>290</v>
      </c>
      <c r="D30" s="403">
        <v>44594.454861111109</v>
      </c>
      <c r="E30" s="403">
        <v>44594.517361111109</v>
      </c>
      <c r="F30" s="403">
        <v>44594.59375</v>
      </c>
      <c r="G30" s="403">
        <v>44596.697916666664</v>
      </c>
      <c r="H30" s="403">
        <v>44596.774305555555</v>
      </c>
      <c r="I30" s="405">
        <f>+E30-D30+AH30+AK30</f>
        <v>6.25E-2</v>
      </c>
      <c r="J30" s="406">
        <f>G30-D30</f>
        <v>2.2430555555547471</v>
      </c>
      <c r="K30" s="407">
        <v>52800</v>
      </c>
      <c r="L30" s="407"/>
      <c r="M30" s="408">
        <v>52591</v>
      </c>
      <c r="N30" s="408">
        <f t="shared" ref="N30:N40" si="78">L30+M30</f>
        <v>52591</v>
      </c>
      <c r="O30" s="409">
        <v>44618</v>
      </c>
      <c r="P30" s="407" t="s">
        <v>296</v>
      </c>
      <c r="Q30" s="407" t="s">
        <v>278</v>
      </c>
      <c r="R30" s="396" t="s">
        <v>279</v>
      </c>
      <c r="S30" s="396" t="s">
        <v>291</v>
      </c>
      <c r="T30" s="396" t="s">
        <v>292</v>
      </c>
      <c r="U30" s="414" t="s">
        <v>192</v>
      </c>
      <c r="V30" s="396" t="s">
        <v>184</v>
      </c>
      <c r="W30" s="415">
        <v>63592</v>
      </c>
      <c r="X30" s="415">
        <v>36356</v>
      </c>
      <c r="Y30" s="416">
        <v>199</v>
      </c>
      <c r="Z30" s="417">
        <v>11.9</v>
      </c>
      <c r="AA30" s="376">
        <f t="shared" ref="AA30" si="79">IF(E30="","",E30-D30+AH30+AK30)</f>
        <v>6.25E-2</v>
      </c>
      <c r="AB30" s="376">
        <f t="shared" ref="AB30" si="80">IF(G30="","",G30-D30)</f>
        <v>2.2430555555547471</v>
      </c>
      <c r="AC30" s="377">
        <f t="shared" ref="AC30" si="81">IF(H30="","",H30-D30)</f>
        <v>2.3194444444452529</v>
      </c>
      <c r="AD30" s="378">
        <f t="shared" ref="AD30" si="82">IF(N30=0,"",((N30/AE30)*24)/24)</f>
        <v>24993.742574286229</v>
      </c>
      <c r="AE30" s="412">
        <f t="shared" si="75"/>
        <v>2.1041666666642413</v>
      </c>
      <c r="AF30" s="411"/>
      <c r="AG30" s="411"/>
      <c r="AH30" s="411">
        <f t="shared" si="76"/>
        <v>0</v>
      </c>
      <c r="AI30" s="411"/>
      <c r="AJ30" s="411"/>
      <c r="AK30" s="411">
        <f t="shared" si="77"/>
        <v>0</v>
      </c>
      <c r="AL30" s="396"/>
      <c r="AM30" s="414" t="s">
        <v>305</v>
      </c>
      <c r="AN30" s="414" t="s">
        <v>306</v>
      </c>
      <c r="AO30" s="577" t="s">
        <v>288</v>
      </c>
      <c r="AP30" s="577"/>
      <c r="AQ30" s="401" t="s">
        <v>386</v>
      </c>
      <c r="AS30" s="82" t="str">
        <f t="shared" si="0"/>
        <v>태경비케이</v>
      </c>
      <c r="AT30" s="311">
        <f t="shared" si="1"/>
        <v>52800</v>
      </c>
      <c r="AV30" s="218">
        <f t="shared" si="61"/>
        <v>0</v>
      </c>
      <c r="AW30" s="218">
        <f t="shared" si="61"/>
        <v>1</v>
      </c>
      <c r="AX30" s="219">
        <f t="shared" si="3"/>
        <v>0</v>
      </c>
      <c r="AY30" s="219">
        <f t="shared" si="4"/>
        <v>1</v>
      </c>
      <c r="AZ30" s="136">
        <f t="shared" si="5"/>
        <v>1</v>
      </c>
    </row>
    <row r="31" spans="2:52" s="82" customFormat="1" ht="17.45" hidden="1" customHeight="1" outlineLevel="1">
      <c r="B31" s="389"/>
      <c r="C31" s="390"/>
      <c r="D31" s="391"/>
      <c r="E31" s="404"/>
      <c r="F31" s="391"/>
      <c r="G31" s="578"/>
      <c r="H31" s="391"/>
      <c r="I31" s="403"/>
      <c r="J31" s="403"/>
      <c r="K31" s="393"/>
      <c r="L31" s="394"/>
      <c r="M31" s="394"/>
      <c r="N31" s="408">
        <f t="shared" si="78"/>
        <v>0</v>
      </c>
      <c r="O31" s="393"/>
      <c r="P31" s="393"/>
      <c r="Q31" s="393"/>
      <c r="R31" s="395"/>
      <c r="S31" s="395"/>
      <c r="T31" s="395"/>
      <c r="U31" s="396"/>
      <c r="V31" s="396"/>
      <c r="W31" s="393"/>
      <c r="X31" s="393"/>
      <c r="Y31" s="397"/>
      <c r="Z31" s="398"/>
      <c r="AA31" s="411"/>
      <c r="AB31" s="411"/>
      <c r="AC31" s="411"/>
      <c r="AD31" s="378"/>
      <c r="AE31" s="398"/>
      <c r="AF31" s="398"/>
      <c r="AG31" s="398"/>
      <c r="AH31" s="398"/>
      <c r="AI31" s="398"/>
      <c r="AJ31" s="398"/>
      <c r="AK31" s="398"/>
      <c r="AL31" s="396"/>
      <c r="AM31" s="396"/>
      <c r="AN31" s="396"/>
      <c r="AO31" s="400"/>
      <c r="AP31" s="400"/>
      <c r="AQ31" s="418"/>
      <c r="AS31" s="82">
        <f t="shared" si="0"/>
        <v>0</v>
      </c>
      <c r="AT31" s="311">
        <f t="shared" si="1"/>
        <v>0</v>
      </c>
      <c r="AV31" s="218">
        <f t="shared" si="61"/>
        <v>0</v>
      </c>
      <c r="AW31" s="218">
        <f t="shared" si="61"/>
        <v>0</v>
      </c>
      <c r="AX31" s="219">
        <f t="shared" si="3"/>
        <v>0</v>
      </c>
      <c r="AY31" s="219">
        <f t="shared" si="4"/>
        <v>0</v>
      </c>
      <c r="AZ31" s="136">
        <f t="shared" si="5"/>
        <v>0</v>
      </c>
    </row>
    <row r="32" spans="2:52" s="82" customFormat="1" ht="17.45" hidden="1" customHeight="1" outlineLevel="1">
      <c r="B32" s="402" t="s">
        <v>194</v>
      </c>
      <c r="C32" s="400" t="s">
        <v>289</v>
      </c>
      <c r="D32" s="403">
        <v>44595.895833333336</v>
      </c>
      <c r="E32" s="403">
        <v>44598.711805555555</v>
      </c>
      <c r="F32" s="403">
        <v>44598.840277777781</v>
      </c>
      <c r="G32" s="403">
        <v>44602.024305555555</v>
      </c>
      <c r="H32" s="403">
        <v>44602.104166666664</v>
      </c>
      <c r="I32" s="405">
        <f>+E32-D32+AH32+AK32</f>
        <v>2.8159722222189885</v>
      </c>
      <c r="J32" s="406">
        <f>G32-D32</f>
        <v>6.1284722222189885</v>
      </c>
      <c r="K32" s="407">
        <v>70450</v>
      </c>
      <c r="L32" s="408"/>
      <c r="M32" s="408">
        <v>70461</v>
      </c>
      <c r="N32" s="408">
        <f t="shared" si="78"/>
        <v>70461</v>
      </c>
      <c r="O32" s="409">
        <v>44618</v>
      </c>
      <c r="P32" s="407" t="s">
        <v>296</v>
      </c>
      <c r="Q32" s="407" t="s">
        <v>278</v>
      </c>
      <c r="R32" s="396" t="s">
        <v>183</v>
      </c>
      <c r="S32" s="396" t="s">
        <v>280</v>
      </c>
      <c r="T32" s="396" t="s">
        <v>281</v>
      </c>
      <c r="U32" s="414" t="s">
        <v>181</v>
      </c>
      <c r="V32" s="396" t="s">
        <v>184</v>
      </c>
      <c r="W32" s="415">
        <v>75681</v>
      </c>
      <c r="X32" s="415">
        <v>38818</v>
      </c>
      <c r="Y32" s="416">
        <v>225</v>
      </c>
      <c r="Z32" s="417">
        <v>6.7</v>
      </c>
      <c r="AA32" s="376">
        <f t="shared" ref="AA32" si="83">IF(E32="","",E32-D32+AH32+AK32)</f>
        <v>2.8159722222189885</v>
      </c>
      <c r="AB32" s="376">
        <f t="shared" ref="AB32" si="84">IF(G32="","",G32-D32)</f>
        <v>6.1284722222189885</v>
      </c>
      <c r="AC32" s="377">
        <f t="shared" ref="AC32" si="85">IF(H32="","",H32-D32)</f>
        <v>6.2083333333284827</v>
      </c>
      <c r="AD32" s="378">
        <f t="shared" ref="AD32" si="86">IF(N32=0,"",((N32/AE32)*24)/24)</f>
        <v>22129.51799348502</v>
      </c>
      <c r="AE32" s="412">
        <f t="shared" ref="AE32" si="87">IF(G32="",0,(G32-F32)-(AJ32-AI32)-(AG32-AF32))</f>
        <v>3.1840277777737356</v>
      </c>
      <c r="AF32" s="411"/>
      <c r="AG32" s="411"/>
      <c r="AH32" s="411">
        <f t="shared" ref="AH32" si="88">AG32-AF32</f>
        <v>0</v>
      </c>
      <c r="AI32" s="411"/>
      <c r="AJ32" s="411"/>
      <c r="AK32" s="411">
        <f t="shared" ref="AK32" si="89">AJ32-AI32</f>
        <v>0</v>
      </c>
      <c r="AL32" s="396"/>
      <c r="AM32" s="414" t="s">
        <v>301</v>
      </c>
      <c r="AN32" s="414" t="s">
        <v>302</v>
      </c>
      <c r="AO32" s="414" t="s">
        <v>307</v>
      </c>
      <c r="AP32" s="414" t="s">
        <v>309</v>
      </c>
      <c r="AQ32" s="401" t="s">
        <v>340</v>
      </c>
      <c r="AS32" s="82" t="str">
        <f t="shared" si="0"/>
        <v>SGC에너지</v>
      </c>
      <c r="AT32" s="311">
        <f t="shared" si="1"/>
        <v>70450</v>
      </c>
      <c r="AV32" s="218">
        <f t="shared" si="61"/>
        <v>0</v>
      </c>
      <c r="AW32" s="218">
        <f t="shared" si="61"/>
        <v>1</v>
      </c>
      <c r="AX32" s="219">
        <f t="shared" si="3"/>
        <v>0</v>
      </c>
      <c r="AY32" s="219">
        <f t="shared" si="4"/>
        <v>1</v>
      </c>
      <c r="AZ32" s="136">
        <f t="shared" si="5"/>
        <v>1</v>
      </c>
    </row>
    <row r="33" spans="2:52" s="82" customFormat="1" ht="17.45" hidden="1" customHeight="1" outlineLevel="1">
      <c r="B33" s="402"/>
      <c r="C33" s="400"/>
      <c r="D33" s="403"/>
      <c r="E33" s="404"/>
      <c r="F33" s="403"/>
      <c r="G33" s="403"/>
      <c r="H33" s="403"/>
      <c r="I33" s="405"/>
      <c r="J33" s="406"/>
      <c r="K33" s="407"/>
      <c r="L33" s="408"/>
      <c r="M33" s="408"/>
      <c r="N33" s="408">
        <f t="shared" si="78"/>
        <v>0</v>
      </c>
      <c r="O33" s="409"/>
      <c r="P33" s="409"/>
      <c r="Q33" s="407"/>
      <c r="R33" s="396"/>
      <c r="S33" s="396"/>
      <c r="T33" s="396"/>
      <c r="U33" s="414"/>
      <c r="V33" s="396"/>
      <c r="W33" s="415"/>
      <c r="X33" s="415"/>
      <c r="Y33" s="416"/>
      <c r="Z33" s="417"/>
      <c r="AA33" s="411"/>
      <c r="AB33" s="411"/>
      <c r="AC33" s="411"/>
      <c r="AD33" s="378"/>
      <c r="AE33" s="398"/>
      <c r="AF33" s="398"/>
      <c r="AG33" s="398"/>
      <c r="AH33" s="398"/>
      <c r="AI33" s="398"/>
      <c r="AJ33" s="398"/>
      <c r="AK33" s="398"/>
      <c r="AL33" s="396"/>
      <c r="AM33" s="414"/>
      <c r="AN33" s="414"/>
      <c r="AO33" s="414"/>
      <c r="AP33" s="414"/>
      <c r="AQ33" s="418"/>
      <c r="AS33" s="82">
        <f t="shared" si="0"/>
        <v>0</v>
      </c>
      <c r="AT33" s="311">
        <f t="shared" si="1"/>
        <v>0</v>
      </c>
      <c r="AV33" s="218">
        <f t="shared" si="61"/>
        <v>0</v>
      </c>
      <c r="AW33" s="218">
        <f t="shared" si="61"/>
        <v>0</v>
      </c>
      <c r="AX33" s="219">
        <f t="shared" si="3"/>
        <v>0</v>
      </c>
      <c r="AY33" s="219">
        <f t="shared" si="4"/>
        <v>0</v>
      </c>
      <c r="AZ33" s="136">
        <f t="shared" si="5"/>
        <v>0</v>
      </c>
    </row>
    <row r="34" spans="2:52" s="82" customFormat="1" ht="30" hidden="1" customHeight="1" outlineLevel="1">
      <c r="B34" s="402" t="s">
        <v>78</v>
      </c>
      <c r="C34" s="400" t="s">
        <v>312</v>
      </c>
      <c r="D34" s="403">
        <v>44596.270833333336</v>
      </c>
      <c r="E34" s="403">
        <v>44596.824999999997</v>
      </c>
      <c r="F34" s="403">
        <v>44596.878472222219</v>
      </c>
      <c r="G34" s="403">
        <v>44598.527777777781</v>
      </c>
      <c r="H34" s="403">
        <v>44598.616666666669</v>
      </c>
      <c r="I34" s="405">
        <f>+E34-D34+AH34+AK34</f>
        <v>0.55416666666133096</v>
      </c>
      <c r="J34" s="406">
        <f>G34-D34</f>
        <v>2.2569444444452529</v>
      </c>
      <c r="K34" s="407">
        <v>17280</v>
      </c>
      <c r="L34" s="408"/>
      <c r="M34" s="408">
        <v>16656</v>
      </c>
      <c r="N34" s="408">
        <f t="shared" si="78"/>
        <v>16656</v>
      </c>
      <c r="O34" s="409">
        <v>44618</v>
      </c>
      <c r="P34" s="407" t="s">
        <v>296</v>
      </c>
      <c r="Q34" s="407" t="s">
        <v>278</v>
      </c>
      <c r="R34" s="396" t="s">
        <v>180</v>
      </c>
      <c r="S34" s="396" t="s">
        <v>212</v>
      </c>
      <c r="T34" s="396" t="s">
        <v>295</v>
      </c>
      <c r="U34" s="414" t="s">
        <v>192</v>
      </c>
      <c r="V34" s="396" t="s">
        <v>193</v>
      </c>
      <c r="W34" s="415">
        <v>33745</v>
      </c>
      <c r="X34" s="415">
        <v>19829</v>
      </c>
      <c r="Y34" s="416">
        <v>175</v>
      </c>
      <c r="Z34" s="417">
        <v>10.1</v>
      </c>
      <c r="AA34" s="376">
        <f t="shared" ref="AA34" si="90">IF(E34="","",E34-D34+AH34+AK34)</f>
        <v>0.55416666666133096</v>
      </c>
      <c r="AB34" s="376">
        <f t="shared" ref="AB34" si="91">IF(G34="","",G34-D34)</f>
        <v>2.2569444444452529</v>
      </c>
      <c r="AC34" s="377">
        <f t="shared" ref="AC34" si="92">IF(H34="","",H34-D34)</f>
        <v>2.3458333333328483</v>
      </c>
      <c r="AD34" s="378">
        <f t="shared" ref="AD34" si="93">IF(N34=0,"",((N34/AE34)*24)/24)</f>
        <v>10098.795789434083</v>
      </c>
      <c r="AE34" s="412">
        <f t="shared" ref="AE34" si="94">IF(G34="",0,(G34-F34)-(AJ34-AI34)-(AG34-AF34))</f>
        <v>1.6493055555620231</v>
      </c>
      <c r="AF34" s="411"/>
      <c r="AG34" s="411"/>
      <c r="AH34" s="411">
        <f t="shared" ref="AH34" si="95">AG34-AF34</f>
        <v>0</v>
      </c>
      <c r="AI34" s="411"/>
      <c r="AJ34" s="411"/>
      <c r="AK34" s="411">
        <f t="shared" ref="AK34" si="96">AJ34-AI34</f>
        <v>0</v>
      </c>
      <c r="AL34" s="396"/>
      <c r="AM34" s="414" t="s">
        <v>313</v>
      </c>
      <c r="AN34" s="414" t="s">
        <v>314</v>
      </c>
      <c r="AO34" s="414" t="s">
        <v>209</v>
      </c>
      <c r="AP34" s="414"/>
      <c r="AQ34" s="413" t="s">
        <v>339</v>
      </c>
      <c r="AS34" s="82" t="str">
        <f t="shared" si="0"/>
        <v>삼영산업</v>
      </c>
      <c r="AT34" s="311">
        <f t="shared" si="1"/>
        <v>17280</v>
      </c>
      <c r="AV34" s="218">
        <f t="shared" si="61"/>
        <v>0</v>
      </c>
      <c r="AW34" s="218">
        <f t="shared" si="61"/>
        <v>1</v>
      </c>
      <c r="AX34" s="219">
        <f t="shared" si="3"/>
        <v>0</v>
      </c>
      <c r="AY34" s="219">
        <f t="shared" si="4"/>
        <v>1</v>
      </c>
      <c r="AZ34" s="136">
        <f t="shared" si="5"/>
        <v>1</v>
      </c>
    </row>
    <row r="35" spans="2:52" s="82" customFormat="1" ht="17.45" hidden="1" customHeight="1" outlineLevel="1">
      <c r="B35" s="402"/>
      <c r="C35" s="400"/>
      <c r="D35" s="403"/>
      <c r="E35" s="403"/>
      <c r="F35" s="403"/>
      <c r="G35" s="403"/>
      <c r="H35" s="403"/>
      <c r="I35" s="405"/>
      <c r="J35" s="406"/>
      <c r="K35" s="407"/>
      <c r="L35" s="408"/>
      <c r="M35" s="408"/>
      <c r="N35" s="408">
        <f t="shared" si="78"/>
        <v>0</v>
      </c>
      <c r="O35" s="409"/>
      <c r="P35" s="409"/>
      <c r="Q35" s="407"/>
      <c r="R35" s="396"/>
      <c r="S35" s="396"/>
      <c r="T35" s="396"/>
      <c r="U35" s="414"/>
      <c r="V35" s="396"/>
      <c r="W35" s="415"/>
      <c r="X35" s="415"/>
      <c r="Y35" s="416"/>
      <c r="Z35" s="417"/>
      <c r="AA35" s="411"/>
      <c r="AB35" s="411"/>
      <c r="AC35" s="411"/>
      <c r="AD35" s="378"/>
      <c r="AE35" s="398"/>
      <c r="AF35" s="398"/>
      <c r="AG35" s="398"/>
      <c r="AH35" s="398"/>
      <c r="AI35" s="398"/>
      <c r="AJ35" s="398"/>
      <c r="AK35" s="398"/>
      <c r="AL35" s="396"/>
      <c r="AM35" s="414"/>
      <c r="AN35" s="414"/>
      <c r="AO35" s="414"/>
      <c r="AP35" s="414"/>
      <c r="AQ35" s="418"/>
      <c r="AS35" s="82">
        <f t="shared" si="0"/>
        <v>0</v>
      </c>
      <c r="AT35" s="311">
        <f t="shared" si="1"/>
        <v>0</v>
      </c>
      <c r="AV35" s="218">
        <f t="shared" si="61"/>
        <v>0</v>
      </c>
      <c r="AW35" s="218">
        <f t="shared" si="61"/>
        <v>0</v>
      </c>
      <c r="AX35" s="219">
        <f t="shared" si="3"/>
        <v>0</v>
      </c>
      <c r="AY35" s="219">
        <f t="shared" si="4"/>
        <v>0</v>
      </c>
      <c r="AZ35" s="136">
        <f t="shared" si="5"/>
        <v>0</v>
      </c>
    </row>
    <row r="36" spans="2:52" s="82" customFormat="1" ht="17.45" hidden="1" customHeight="1" outlineLevel="1">
      <c r="B36" s="372" t="s">
        <v>195</v>
      </c>
      <c r="C36" s="579" t="s">
        <v>310</v>
      </c>
      <c r="D36" s="403">
        <v>44599.770833333336</v>
      </c>
      <c r="E36" s="403">
        <v>44607.076388888891</v>
      </c>
      <c r="F36" s="403">
        <v>44607.159722222219</v>
      </c>
      <c r="G36" s="403">
        <v>44608.670138888891</v>
      </c>
      <c r="H36" s="403">
        <v>44608.729166666664</v>
      </c>
      <c r="I36" s="405">
        <f>+E36-D36+AH36+AK36</f>
        <v>7.3055555555547471</v>
      </c>
      <c r="J36" s="406">
        <f>G36-D36</f>
        <v>8.8993055555547471</v>
      </c>
      <c r="K36" s="407">
        <v>30500</v>
      </c>
      <c r="L36" s="408">
        <v>30505</v>
      </c>
      <c r="M36" s="408"/>
      <c r="N36" s="408">
        <f t="shared" si="78"/>
        <v>30505</v>
      </c>
      <c r="O36" s="409">
        <v>44618</v>
      </c>
      <c r="P36" s="407" t="s">
        <v>296</v>
      </c>
      <c r="Q36" s="407" t="s">
        <v>361</v>
      </c>
      <c r="R36" s="396" t="s">
        <v>282</v>
      </c>
      <c r="S36" s="396" t="s">
        <v>30</v>
      </c>
      <c r="T36" s="396" t="s">
        <v>311</v>
      </c>
      <c r="U36" s="414" t="s">
        <v>320</v>
      </c>
      <c r="V36" s="396" t="s">
        <v>193</v>
      </c>
      <c r="W36" s="415">
        <v>32816</v>
      </c>
      <c r="X36" s="415">
        <v>20700</v>
      </c>
      <c r="Y36" s="416">
        <v>180</v>
      </c>
      <c r="Z36" s="417">
        <v>10</v>
      </c>
      <c r="AA36" s="376">
        <f t="shared" ref="AA36" si="97">IF(E36="","",E36-D36+AH36+AK36)</f>
        <v>7.3055555555547471</v>
      </c>
      <c r="AB36" s="376">
        <f t="shared" ref="AB36" si="98">IF(G36="","",G36-D36)</f>
        <v>8.8993055555547471</v>
      </c>
      <c r="AC36" s="377">
        <f t="shared" ref="AC36" si="99">IF(H36="","",H36-D36)</f>
        <v>8.9583333333284827</v>
      </c>
      <c r="AD36" s="378">
        <f t="shared" ref="AD36" si="100">IF(N36=0,"",((N36/AE36)*24)/24)</f>
        <v>20196.413793038588</v>
      </c>
      <c r="AE36" s="412">
        <f t="shared" ref="AE36" si="101">IF(G36="",0,(G36-F36)-(AJ36-AI36)-(AG36-AF36))</f>
        <v>1.5104166666715173</v>
      </c>
      <c r="AF36" s="411"/>
      <c r="AG36" s="411"/>
      <c r="AH36" s="411">
        <f t="shared" ref="AH36" si="102">AG36-AF36</f>
        <v>0</v>
      </c>
      <c r="AI36" s="411"/>
      <c r="AJ36" s="411"/>
      <c r="AK36" s="411">
        <f t="shared" ref="AK36" si="103">AJ36-AI36</f>
        <v>0</v>
      </c>
      <c r="AL36" s="396"/>
      <c r="AM36" s="414" t="s">
        <v>334</v>
      </c>
      <c r="AN36" s="414" t="s">
        <v>335</v>
      </c>
      <c r="AO36" s="414" t="s">
        <v>326</v>
      </c>
      <c r="AP36" s="414"/>
      <c r="AQ36" s="413" t="s">
        <v>208</v>
      </c>
      <c r="AS36" s="82" t="str">
        <f t="shared" si="0"/>
        <v>청해실업</v>
      </c>
      <c r="AT36" s="311">
        <f t="shared" si="1"/>
        <v>30500</v>
      </c>
      <c r="AV36" s="218">
        <f t="shared" si="61"/>
        <v>1</v>
      </c>
      <c r="AW36" s="218">
        <f t="shared" si="61"/>
        <v>0</v>
      </c>
      <c r="AX36" s="219">
        <f t="shared" si="3"/>
        <v>1</v>
      </c>
      <c r="AY36" s="219">
        <f t="shared" si="4"/>
        <v>0</v>
      </c>
      <c r="AZ36" s="136">
        <f t="shared" si="5"/>
        <v>1</v>
      </c>
    </row>
    <row r="37" spans="2:52" s="82" customFormat="1" ht="17.45" hidden="1" customHeight="1" outlineLevel="1">
      <c r="B37" s="372"/>
      <c r="C37" s="400"/>
      <c r="D37" s="403"/>
      <c r="E37" s="403"/>
      <c r="F37" s="403"/>
      <c r="G37" s="403"/>
      <c r="H37" s="403"/>
      <c r="I37" s="405"/>
      <c r="J37" s="406"/>
      <c r="K37" s="407"/>
      <c r="L37" s="408"/>
      <c r="M37" s="408"/>
      <c r="N37" s="408">
        <f t="shared" si="78"/>
        <v>0</v>
      </c>
      <c r="O37" s="409"/>
      <c r="P37" s="409"/>
      <c r="Q37" s="407"/>
      <c r="R37" s="396"/>
      <c r="S37" s="396"/>
      <c r="T37" s="396"/>
      <c r="U37" s="414"/>
      <c r="V37" s="396"/>
      <c r="W37" s="415"/>
      <c r="X37" s="415"/>
      <c r="Y37" s="416"/>
      <c r="Z37" s="417"/>
      <c r="AA37" s="411"/>
      <c r="AB37" s="411"/>
      <c r="AC37" s="411"/>
      <c r="AD37" s="378"/>
      <c r="AE37" s="398"/>
      <c r="AF37" s="398"/>
      <c r="AG37" s="398"/>
      <c r="AH37" s="398"/>
      <c r="AI37" s="398"/>
      <c r="AJ37" s="398"/>
      <c r="AK37" s="398"/>
      <c r="AL37" s="396"/>
      <c r="AM37" s="414"/>
      <c r="AN37" s="414"/>
      <c r="AO37" s="414"/>
      <c r="AP37" s="414"/>
      <c r="AQ37" s="418"/>
      <c r="AS37" s="82">
        <f t="shared" si="0"/>
        <v>0</v>
      </c>
      <c r="AT37" s="311">
        <f t="shared" si="1"/>
        <v>0</v>
      </c>
      <c r="AV37" s="218">
        <f t="shared" si="61"/>
        <v>0</v>
      </c>
      <c r="AW37" s="218">
        <f t="shared" si="61"/>
        <v>0</v>
      </c>
      <c r="AX37" s="219">
        <f t="shared" si="3"/>
        <v>0</v>
      </c>
      <c r="AY37" s="219">
        <f t="shared" si="4"/>
        <v>0</v>
      </c>
      <c r="AZ37" s="136">
        <f t="shared" si="5"/>
        <v>0</v>
      </c>
    </row>
    <row r="38" spans="2:52" s="82" customFormat="1" ht="50.1" hidden="1" customHeight="1" outlineLevel="1">
      <c r="B38" s="372" t="s">
        <v>188</v>
      </c>
      <c r="C38" s="400" t="s">
        <v>234</v>
      </c>
      <c r="D38" s="403">
        <v>44600.243055555555</v>
      </c>
      <c r="E38" s="403">
        <v>44606.375</v>
      </c>
      <c r="F38" s="403">
        <v>44606.458333333336</v>
      </c>
      <c r="G38" s="403">
        <v>44609.048611111109</v>
      </c>
      <c r="H38" s="403">
        <v>44609.090277777781</v>
      </c>
      <c r="I38" s="405">
        <f>+E38-D38+AH38+AK38</f>
        <v>6.1319444444452529</v>
      </c>
      <c r="J38" s="406">
        <f>G38-D38</f>
        <v>8.8055555555547471</v>
      </c>
      <c r="K38" s="407">
        <v>100175</v>
      </c>
      <c r="L38" s="408">
        <v>100198</v>
      </c>
      <c r="M38" s="408"/>
      <c r="N38" s="408">
        <f t="shared" si="78"/>
        <v>100198</v>
      </c>
      <c r="O38" s="409">
        <v>44618</v>
      </c>
      <c r="P38" s="407" t="s">
        <v>296</v>
      </c>
      <c r="Q38" s="407" t="s">
        <v>285</v>
      </c>
      <c r="R38" s="396" t="s">
        <v>189</v>
      </c>
      <c r="S38" s="396" t="s">
        <v>337</v>
      </c>
      <c r="T38" s="396" t="s">
        <v>190</v>
      </c>
      <c r="U38" s="414" t="s">
        <v>186</v>
      </c>
      <c r="V38" s="396" t="s">
        <v>191</v>
      </c>
      <c r="W38" s="407">
        <v>207396.6</v>
      </c>
      <c r="X38" s="407">
        <v>107494</v>
      </c>
      <c r="Y38" s="410">
        <v>299.94</v>
      </c>
      <c r="Z38" s="411">
        <v>18.27</v>
      </c>
      <c r="AA38" s="376">
        <f t="shared" ref="AA38" si="104">IF(E38="","",E38-D38+AH38+AK38)</f>
        <v>6.1319444444452529</v>
      </c>
      <c r="AB38" s="376">
        <f t="shared" ref="AB38" si="105">IF(G38="","",G38-D38)</f>
        <v>8.8055555555547471</v>
      </c>
      <c r="AC38" s="377">
        <f t="shared" ref="AC38" si="106">IF(H38="","",H38-D38)</f>
        <v>8.8472222222262644</v>
      </c>
      <c r="AD38" s="378">
        <f t="shared" ref="AD38" si="107">IF(N38=0,"",((N38/AE38)*24)/24)</f>
        <v>38682.337801668946</v>
      </c>
      <c r="AE38" s="412">
        <f t="shared" ref="AE38" si="108">IF(G38="",0,(G38-F38)-(AJ38-AI38)-(AG38-AF38))</f>
        <v>2.5902777777737356</v>
      </c>
      <c r="AF38" s="403"/>
      <c r="AG38" s="403"/>
      <c r="AH38" s="411">
        <f t="shared" ref="AH38:AH40" si="109">AG38-AF38</f>
        <v>0</v>
      </c>
      <c r="AI38" s="411"/>
      <c r="AJ38" s="411"/>
      <c r="AK38" s="411">
        <f t="shared" ref="AK38" si="110">AJ38-AI38</f>
        <v>0</v>
      </c>
      <c r="AL38" s="396"/>
      <c r="AM38" s="396" t="s">
        <v>235</v>
      </c>
      <c r="AN38" s="396" t="s">
        <v>236</v>
      </c>
      <c r="AO38" s="414" t="s">
        <v>323</v>
      </c>
      <c r="AP38" s="414"/>
      <c r="AQ38" s="413" t="s">
        <v>353</v>
      </c>
      <c r="AS38" s="82" t="str">
        <f t="shared" si="0"/>
        <v>SNNC</v>
      </c>
      <c r="AT38" s="311">
        <f t="shared" si="1"/>
        <v>100175</v>
      </c>
      <c r="AV38" s="218">
        <f t="shared" si="61"/>
        <v>1</v>
      </c>
      <c r="AW38" s="218">
        <f t="shared" si="61"/>
        <v>0</v>
      </c>
      <c r="AX38" s="219">
        <f t="shared" si="3"/>
        <v>1</v>
      </c>
      <c r="AY38" s="219">
        <f t="shared" si="4"/>
        <v>0</v>
      </c>
      <c r="AZ38" s="136">
        <f t="shared" si="5"/>
        <v>1</v>
      </c>
    </row>
    <row r="39" spans="2:52" s="82" customFormat="1" ht="17.45" hidden="1" customHeight="1" outlineLevel="1">
      <c r="B39" s="372"/>
      <c r="C39" s="400"/>
      <c r="D39" s="403"/>
      <c r="E39" s="403"/>
      <c r="F39" s="403"/>
      <c r="G39" s="403"/>
      <c r="H39" s="403"/>
      <c r="I39" s="405"/>
      <c r="J39" s="406"/>
      <c r="K39" s="407"/>
      <c r="L39" s="408"/>
      <c r="M39" s="408"/>
      <c r="N39" s="408">
        <f t="shared" si="78"/>
        <v>0</v>
      </c>
      <c r="O39" s="393"/>
      <c r="P39" s="393"/>
      <c r="Q39" s="407"/>
      <c r="R39" s="396"/>
      <c r="S39" s="396"/>
      <c r="T39" s="396"/>
      <c r="U39" s="414"/>
      <c r="V39" s="414"/>
      <c r="W39" s="415"/>
      <c r="X39" s="415"/>
      <c r="Y39" s="416"/>
      <c r="Z39" s="417"/>
      <c r="AA39" s="411"/>
      <c r="AB39" s="411"/>
      <c r="AC39" s="411"/>
      <c r="AD39" s="378"/>
      <c r="AE39" s="398"/>
      <c r="AF39" s="398"/>
      <c r="AG39" s="398"/>
      <c r="AH39" s="398"/>
      <c r="AI39" s="398"/>
      <c r="AJ39" s="398"/>
      <c r="AK39" s="398"/>
      <c r="AL39" s="396"/>
      <c r="AM39" s="414"/>
      <c r="AN39" s="414"/>
      <c r="AO39" s="414"/>
      <c r="AP39" s="414"/>
      <c r="AQ39" s="418"/>
      <c r="AS39" s="82">
        <f t="shared" si="0"/>
        <v>0</v>
      </c>
      <c r="AT39" s="311">
        <f t="shared" si="1"/>
        <v>0</v>
      </c>
      <c r="AV39" s="218">
        <f t="shared" si="61"/>
        <v>0</v>
      </c>
      <c r="AW39" s="218">
        <f t="shared" si="61"/>
        <v>0</v>
      </c>
      <c r="AX39" s="219">
        <f t="shared" si="3"/>
        <v>0</v>
      </c>
      <c r="AY39" s="219">
        <f t="shared" si="4"/>
        <v>0</v>
      </c>
      <c r="AZ39" s="136">
        <f t="shared" si="5"/>
        <v>0</v>
      </c>
    </row>
    <row r="40" spans="2:52" s="511" customFormat="1" ht="17.45" hidden="1" customHeight="1" outlineLevel="1">
      <c r="B40" s="402" t="s">
        <v>368</v>
      </c>
      <c r="C40" s="400" t="s">
        <v>327</v>
      </c>
      <c r="D40" s="403">
        <v>44600.51666666667</v>
      </c>
      <c r="E40" s="403">
        <v>44603.75</v>
      </c>
      <c r="F40" s="403">
        <v>44603.829861111109</v>
      </c>
      <c r="G40" s="403">
        <v>44604.15625</v>
      </c>
      <c r="H40" s="403">
        <v>44604.239583333336</v>
      </c>
      <c r="I40" s="405">
        <f>+E40-D40+AH40+AK40</f>
        <v>3.2333333333299379</v>
      </c>
      <c r="J40" s="406">
        <f>G40-D40</f>
        <v>3.6395833333299379</v>
      </c>
      <c r="K40" s="407">
        <v>18000</v>
      </c>
      <c r="L40" s="408">
        <v>18000</v>
      </c>
      <c r="M40" s="408"/>
      <c r="N40" s="408">
        <f t="shared" si="78"/>
        <v>18000</v>
      </c>
      <c r="O40" s="409">
        <v>44618</v>
      </c>
      <c r="P40" s="407" t="s">
        <v>296</v>
      </c>
      <c r="Q40" s="407" t="s">
        <v>287</v>
      </c>
      <c r="R40" s="396" t="s">
        <v>189</v>
      </c>
      <c r="S40" s="396" t="s">
        <v>356</v>
      </c>
      <c r="T40" s="396" t="s">
        <v>190</v>
      </c>
      <c r="U40" s="414" t="s">
        <v>192</v>
      </c>
      <c r="V40" s="396" t="s">
        <v>184</v>
      </c>
      <c r="W40" s="415">
        <v>82028</v>
      </c>
      <c r="X40" s="415">
        <v>44190</v>
      </c>
      <c r="Y40" s="416">
        <v>229</v>
      </c>
      <c r="Z40" s="417">
        <v>14.5</v>
      </c>
      <c r="AA40" s="376">
        <f t="shared" ref="AA40" si="111">IF(E40="","",E40-D40+AH40+AK40)</f>
        <v>3.2333333333299379</v>
      </c>
      <c r="AB40" s="376">
        <f t="shared" ref="AB40" si="112">IF(G40="","",G40-D40)</f>
        <v>3.6395833333299379</v>
      </c>
      <c r="AC40" s="377">
        <f t="shared" ref="AC40" si="113">IF(H40="","",H40-D40)</f>
        <v>3.7229166666656965</v>
      </c>
      <c r="AD40" s="378">
        <f t="shared" ref="AD40" si="114">IF(N40=0,"",((N40/AE40)*24)/24)</f>
        <v>55148.936169939559</v>
      </c>
      <c r="AE40" s="412">
        <f t="shared" ref="AE40" si="115">IF(G40="",0,(G40-F40)-(AJ40-AI40)-(AG40-AF40))</f>
        <v>0.32638888889050577</v>
      </c>
      <c r="AF40" s="411"/>
      <c r="AG40" s="411"/>
      <c r="AH40" s="411">
        <f t="shared" si="109"/>
        <v>0</v>
      </c>
      <c r="AI40" s="411"/>
      <c r="AJ40" s="411"/>
      <c r="AK40" s="411">
        <f t="shared" ref="AK40" si="116">AJ40-AI40</f>
        <v>0</v>
      </c>
      <c r="AL40" s="396"/>
      <c r="AM40" s="414" t="s">
        <v>332</v>
      </c>
      <c r="AN40" s="414" t="s">
        <v>333</v>
      </c>
      <c r="AO40" s="414" t="s">
        <v>336</v>
      </c>
      <c r="AP40" s="517"/>
      <c r="AQ40" s="413" t="s">
        <v>328</v>
      </c>
      <c r="AS40" s="82" t="str">
        <f t="shared" si="0"/>
        <v>보임코퍼레이션</v>
      </c>
      <c r="AT40" s="311">
        <f t="shared" si="1"/>
        <v>18000</v>
      </c>
      <c r="AU40" s="82"/>
      <c r="AV40" s="218">
        <f t="shared" si="61"/>
        <v>1</v>
      </c>
      <c r="AW40" s="218">
        <f t="shared" si="61"/>
        <v>0</v>
      </c>
      <c r="AX40" s="219">
        <f t="shared" si="3"/>
        <v>1</v>
      </c>
      <c r="AY40" s="219">
        <f t="shared" si="4"/>
        <v>0</v>
      </c>
      <c r="AZ40" s="136">
        <f t="shared" si="5"/>
        <v>1</v>
      </c>
    </row>
    <row r="41" spans="2:52" s="511" customFormat="1" ht="17.45" hidden="1" customHeight="1" outlineLevel="1">
      <c r="B41" s="580"/>
      <c r="C41" s="581"/>
      <c r="D41" s="508"/>
      <c r="E41" s="582"/>
      <c r="F41" s="508"/>
      <c r="G41" s="508"/>
      <c r="H41" s="508"/>
      <c r="I41" s="512"/>
      <c r="J41" s="513"/>
      <c r="K41" s="509"/>
      <c r="L41" s="514"/>
      <c r="M41" s="514"/>
      <c r="N41" s="514">
        <v>0</v>
      </c>
      <c r="O41" s="515"/>
      <c r="P41" s="515"/>
      <c r="Q41" s="509"/>
      <c r="R41" s="516"/>
      <c r="S41" s="516"/>
      <c r="T41" s="516"/>
      <c r="U41" s="517"/>
      <c r="V41" s="516"/>
      <c r="W41" s="518"/>
      <c r="X41" s="415"/>
      <c r="Y41" s="416"/>
      <c r="Z41" s="417"/>
      <c r="AA41" s="411"/>
      <c r="AB41" s="411"/>
      <c r="AC41" s="411"/>
      <c r="AD41" s="378"/>
      <c r="AE41" s="398"/>
      <c r="AF41" s="398"/>
      <c r="AG41" s="398"/>
      <c r="AH41" s="398"/>
      <c r="AI41" s="398"/>
      <c r="AJ41" s="398"/>
      <c r="AK41" s="398"/>
      <c r="AL41" s="396"/>
      <c r="AM41" s="414"/>
      <c r="AN41" s="414"/>
      <c r="AO41" s="414"/>
      <c r="AP41" s="517"/>
      <c r="AQ41" s="418"/>
      <c r="AS41" s="82">
        <f t="shared" si="0"/>
        <v>0</v>
      </c>
      <c r="AT41" s="311">
        <f t="shared" si="1"/>
        <v>0</v>
      </c>
      <c r="AU41" s="82"/>
      <c r="AV41" s="218">
        <f t="shared" si="61"/>
        <v>0</v>
      </c>
      <c r="AW41" s="218">
        <f t="shared" si="61"/>
        <v>0</v>
      </c>
      <c r="AX41" s="219">
        <f t="shared" si="3"/>
        <v>0</v>
      </c>
      <c r="AY41" s="219">
        <f t="shared" si="4"/>
        <v>0</v>
      </c>
      <c r="AZ41" s="136">
        <f t="shared" si="5"/>
        <v>0</v>
      </c>
    </row>
    <row r="42" spans="2:52" s="82" customFormat="1" ht="17.45" hidden="1" customHeight="1" outlineLevel="1">
      <c r="B42" s="372" t="s">
        <v>185</v>
      </c>
      <c r="C42" s="400" t="s">
        <v>346</v>
      </c>
      <c r="D42" s="403">
        <v>44603.569444444445</v>
      </c>
      <c r="E42" s="403">
        <v>44603.620833333334</v>
      </c>
      <c r="F42" s="403">
        <v>44603.822916666664</v>
      </c>
      <c r="G42" s="403">
        <v>44606.25</v>
      </c>
      <c r="H42" s="403">
        <v>44606.39166666667</v>
      </c>
      <c r="I42" s="405">
        <f>+E42-D42+AH42+AK42</f>
        <v>5.1388888889050577E-2</v>
      </c>
      <c r="J42" s="406">
        <f>G42-D42</f>
        <v>2.6805555555547471</v>
      </c>
      <c r="K42" s="407">
        <v>66000</v>
      </c>
      <c r="L42" s="408"/>
      <c r="M42" s="408">
        <v>66000</v>
      </c>
      <c r="N42" s="408">
        <f t="shared" ref="N42:N47" si="117">L42+M42</f>
        <v>66000</v>
      </c>
      <c r="O42" s="409">
        <v>44618</v>
      </c>
      <c r="P42" s="407" t="s">
        <v>296</v>
      </c>
      <c r="Q42" s="407" t="s">
        <v>278</v>
      </c>
      <c r="R42" s="396" t="s">
        <v>183</v>
      </c>
      <c r="S42" s="396" t="s">
        <v>354</v>
      </c>
      <c r="T42" s="396" t="s">
        <v>228</v>
      </c>
      <c r="U42" s="414" t="s">
        <v>348</v>
      </c>
      <c r="V42" s="396" t="s">
        <v>184</v>
      </c>
      <c r="W42" s="415">
        <v>82108</v>
      </c>
      <c r="X42" s="415">
        <v>43956</v>
      </c>
      <c r="Y42" s="416">
        <v>229</v>
      </c>
      <c r="Z42" s="417">
        <v>14.8</v>
      </c>
      <c r="AA42" s="376">
        <f t="shared" ref="AA42" si="118">IF(E42="","",E42-D42+AH42+AK42)</f>
        <v>5.1388888889050577E-2</v>
      </c>
      <c r="AB42" s="376">
        <f t="shared" ref="AB42" si="119">IF(G42="","",G42-D42)</f>
        <v>2.6805555555547471</v>
      </c>
      <c r="AC42" s="377">
        <f t="shared" ref="AC42" si="120">IF(H42="","",H42-D42)</f>
        <v>2.8222222222248092</v>
      </c>
      <c r="AD42" s="378">
        <f t="shared" ref="AD42" si="121">IF(N42=0,"",((N42/AE42)*24)/24)</f>
        <v>27193.133047183128</v>
      </c>
      <c r="AE42" s="412">
        <f t="shared" ref="AE42:AE44" si="122">IF(G42="",0,(G42-F42)-(AJ42-AI42)-(AG42-AF42))</f>
        <v>2.4270833333357587</v>
      </c>
      <c r="AF42" s="411"/>
      <c r="AG42" s="411"/>
      <c r="AH42" s="411">
        <f t="shared" ref="AH42" si="123">AG42-AF42</f>
        <v>0</v>
      </c>
      <c r="AI42" s="411"/>
      <c r="AJ42" s="411"/>
      <c r="AK42" s="411">
        <f t="shared" ref="AK42" si="124">AJ42-AI42</f>
        <v>0</v>
      </c>
      <c r="AL42" s="396"/>
      <c r="AM42" s="414" t="s">
        <v>332</v>
      </c>
      <c r="AN42" s="414" t="s">
        <v>333</v>
      </c>
      <c r="AO42" s="414" t="s">
        <v>307</v>
      </c>
      <c r="AP42" s="414"/>
      <c r="AQ42" s="413" t="s">
        <v>369</v>
      </c>
      <c r="AS42" s="82" t="str">
        <f t="shared" si="0"/>
        <v>남동발전</v>
      </c>
      <c r="AT42" s="311">
        <f t="shared" si="1"/>
        <v>66000</v>
      </c>
      <c r="AV42" s="218">
        <f t="shared" si="61"/>
        <v>0</v>
      </c>
      <c r="AW42" s="218">
        <f t="shared" si="61"/>
        <v>1</v>
      </c>
      <c r="AX42" s="219">
        <f t="shared" si="3"/>
        <v>0</v>
      </c>
      <c r="AY42" s="219">
        <f t="shared" si="4"/>
        <v>1</v>
      </c>
      <c r="AZ42" s="136">
        <f t="shared" si="5"/>
        <v>1</v>
      </c>
    </row>
    <row r="43" spans="2:52" s="82" customFormat="1" ht="17.45" hidden="1" customHeight="1" outlineLevel="1">
      <c r="B43" s="372"/>
      <c r="C43" s="400"/>
      <c r="D43" s="403"/>
      <c r="E43" s="403"/>
      <c r="F43" s="403"/>
      <c r="G43" s="403"/>
      <c r="H43" s="403"/>
      <c r="I43" s="405"/>
      <c r="J43" s="406"/>
      <c r="K43" s="407"/>
      <c r="L43" s="408"/>
      <c r="M43" s="408"/>
      <c r="N43" s="408">
        <f t="shared" si="117"/>
        <v>0</v>
      </c>
      <c r="O43" s="409"/>
      <c r="P43" s="409"/>
      <c r="Q43" s="407"/>
      <c r="R43" s="396"/>
      <c r="S43" s="396"/>
      <c r="T43" s="396"/>
      <c r="U43" s="414"/>
      <c r="V43" s="396"/>
      <c r="W43" s="415"/>
      <c r="X43" s="415"/>
      <c r="Y43" s="416"/>
      <c r="Z43" s="417"/>
      <c r="AA43" s="411"/>
      <c r="AB43" s="411"/>
      <c r="AC43" s="411"/>
      <c r="AD43" s="378"/>
      <c r="AE43" s="398"/>
      <c r="AF43" s="398"/>
      <c r="AG43" s="398"/>
      <c r="AH43" s="398"/>
      <c r="AI43" s="398"/>
      <c r="AJ43" s="398"/>
      <c r="AK43" s="398"/>
      <c r="AL43" s="396"/>
      <c r="AM43" s="414"/>
      <c r="AN43" s="414"/>
      <c r="AO43" s="414"/>
      <c r="AP43" s="414"/>
      <c r="AQ43" s="418"/>
      <c r="AS43" s="82">
        <f t="shared" si="0"/>
        <v>0</v>
      </c>
      <c r="AT43" s="311">
        <f t="shared" si="1"/>
        <v>0</v>
      </c>
      <c r="AV43" s="218">
        <f t="shared" si="61"/>
        <v>0</v>
      </c>
      <c r="AW43" s="218">
        <f t="shared" si="61"/>
        <v>0</v>
      </c>
      <c r="AX43" s="219">
        <f t="shared" si="3"/>
        <v>0</v>
      </c>
      <c r="AY43" s="219">
        <f t="shared" si="4"/>
        <v>0</v>
      </c>
      <c r="AZ43" s="136">
        <f t="shared" si="5"/>
        <v>0</v>
      </c>
    </row>
    <row r="44" spans="2:52" s="511" customFormat="1" ht="17.45" hidden="1" customHeight="1" outlineLevel="1">
      <c r="B44" s="402" t="s">
        <v>194</v>
      </c>
      <c r="C44" s="400" t="s">
        <v>329</v>
      </c>
      <c r="D44" s="403">
        <v>44603.82916666667</v>
      </c>
      <c r="E44" s="403">
        <v>44611.308333333334</v>
      </c>
      <c r="F44" s="404">
        <v>44611.819444444445</v>
      </c>
      <c r="G44" s="403">
        <v>44613.916666666664</v>
      </c>
      <c r="H44" s="403">
        <v>44614</v>
      </c>
      <c r="I44" s="405">
        <f>+E44-D44+AH44+AK44</f>
        <v>7.4791666666642413</v>
      </c>
      <c r="J44" s="406">
        <f>G44-D44</f>
        <v>10.087499999994179</v>
      </c>
      <c r="K44" s="407">
        <v>51800</v>
      </c>
      <c r="L44" s="408"/>
      <c r="M44" s="408">
        <v>51800</v>
      </c>
      <c r="N44" s="408">
        <f t="shared" si="117"/>
        <v>51800</v>
      </c>
      <c r="O44" s="409">
        <v>44618</v>
      </c>
      <c r="P44" s="407" t="s">
        <v>296</v>
      </c>
      <c r="Q44" s="407" t="s">
        <v>278</v>
      </c>
      <c r="R44" s="396" t="s">
        <v>180</v>
      </c>
      <c r="S44" s="396" t="s">
        <v>316</v>
      </c>
      <c r="T44" s="396" t="s">
        <v>317</v>
      </c>
      <c r="U44" s="414" t="s">
        <v>181</v>
      </c>
      <c r="V44" s="396" t="s">
        <v>184</v>
      </c>
      <c r="W44" s="415">
        <v>55567</v>
      </c>
      <c r="X44" s="415">
        <v>30662</v>
      </c>
      <c r="Y44" s="416">
        <v>190</v>
      </c>
      <c r="Z44" s="417">
        <v>6.5</v>
      </c>
      <c r="AA44" s="376">
        <f t="shared" ref="AA44" si="125">IF(E44="","",E44-D44+AH44+AK44)</f>
        <v>7.4791666666642413</v>
      </c>
      <c r="AB44" s="376">
        <f t="shared" ref="AB44" si="126">IF(G44="","",G44-D44)</f>
        <v>10.087499999994179</v>
      </c>
      <c r="AC44" s="377">
        <f t="shared" ref="AC44" si="127">IF(H44="","",H44-D44)</f>
        <v>10.170833333329938</v>
      </c>
      <c r="AD44" s="378">
        <f t="shared" ref="AD44" si="128">IF(N44=0,"",((N44/AE44)*24)/24)</f>
        <v>24699.337748382455</v>
      </c>
      <c r="AE44" s="412">
        <f t="shared" si="122"/>
        <v>2.0972222222189885</v>
      </c>
      <c r="AF44" s="522"/>
      <c r="AG44" s="522"/>
      <c r="AH44" s="411">
        <f t="shared" ref="AH44" si="129">AG44-AF44</f>
        <v>0</v>
      </c>
      <c r="AI44" s="522"/>
      <c r="AJ44" s="522"/>
      <c r="AK44" s="411">
        <f t="shared" ref="AK44:AK46" si="130">AJ44-AI44</f>
        <v>0</v>
      </c>
      <c r="AL44" s="516"/>
      <c r="AM44" s="414" t="s">
        <v>330</v>
      </c>
      <c r="AN44" s="414" t="s">
        <v>331</v>
      </c>
      <c r="AO44" s="414" t="s">
        <v>307</v>
      </c>
      <c r="AP44" s="517"/>
      <c r="AQ44" s="583" t="s">
        <v>341</v>
      </c>
      <c r="AS44" s="82" t="str">
        <f t="shared" si="0"/>
        <v>SGC에너지</v>
      </c>
      <c r="AT44" s="311">
        <f t="shared" si="1"/>
        <v>51800</v>
      </c>
      <c r="AU44" s="82"/>
      <c r="AV44" s="218">
        <f t="shared" si="61"/>
        <v>0</v>
      </c>
      <c r="AW44" s="218">
        <f t="shared" si="61"/>
        <v>1</v>
      </c>
      <c r="AX44" s="219">
        <f t="shared" si="3"/>
        <v>0</v>
      </c>
      <c r="AY44" s="219">
        <f t="shared" si="4"/>
        <v>1</v>
      </c>
      <c r="AZ44" s="136">
        <f t="shared" si="5"/>
        <v>1</v>
      </c>
    </row>
    <row r="45" spans="2:52" s="511" customFormat="1" ht="13.5" hidden="1" customHeight="1" outlineLevel="1">
      <c r="B45" s="580"/>
      <c r="C45" s="581"/>
      <c r="D45" s="508"/>
      <c r="E45" s="582"/>
      <c r="F45" s="508"/>
      <c r="G45" s="508"/>
      <c r="H45" s="508"/>
      <c r="I45" s="512"/>
      <c r="J45" s="513"/>
      <c r="K45" s="509"/>
      <c r="L45" s="514"/>
      <c r="M45" s="514"/>
      <c r="N45" s="514">
        <v>0</v>
      </c>
      <c r="O45" s="515"/>
      <c r="P45" s="515"/>
      <c r="Q45" s="509"/>
      <c r="R45" s="516"/>
      <c r="S45" s="516"/>
      <c r="T45" s="516"/>
      <c r="U45" s="517"/>
      <c r="V45" s="516"/>
      <c r="W45" s="518"/>
      <c r="X45" s="518"/>
      <c r="Y45" s="519"/>
      <c r="Z45" s="520"/>
      <c r="AA45" s="522"/>
      <c r="AB45" s="522"/>
      <c r="AC45" s="522"/>
      <c r="AD45" s="521"/>
      <c r="AE45" s="523"/>
      <c r="AF45" s="523"/>
      <c r="AG45" s="523"/>
      <c r="AH45" s="523"/>
      <c r="AI45" s="523"/>
      <c r="AJ45" s="523"/>
      <c r="AK45" s="523"/>
      <c r="AL45" s="516"/>
      <c r="AM45" s="517"/>
      <c r="AN45" s="517"/>
      <c r="AO45" s="414"/>
      <c r="AP45" s="517"/>
      <c r="AQ45" s="418"/>
      <c r="AS45" s="82">
        <f t="shared" si="0"/>
        <v>0</v>
      </c>
      <c r="AT45" s="311">
        <f t="shared" si="1"/>
        <v>0</v>
      </c>
      <c r="AU45" s="82"/>
      <c r="AV45" s="218">
        <f t="shared" si="61"/>
        <v>0</v>
      </c>
      <c r="AW45" s="218">
        <f t="shared" si="61"/>
        <v>0</v>
      </c>
      <c r="AX45" s="219">
        <f t="shared" si="3"/>
        <v>0</v>
      </c>
      <c r="AY45" s="219">
        <f t="shared" si="4"/>
        <v>0</v>
      </c>
      <c r="AZ45" s="136">
        <f t="shared" si="5"/>
        <v>0</v>
      </c>
    </row>
    <row r="46" spans="2:52" s="82" customFormat="1" ht="17.45" hidden="1" customHeight="1" outlineLevel="1">
      <c r="B46" s="372" t="s">
        <v>185</v>
      </c>
      <c r="C46" s="400" t="s">
        <v>347</v>
      </c>
      <c r="D46" s="403">
        <v>44605.75</v>
      </c>
      <c r="E46" s="403">
        <v>44606.425000000003</v>
      </c>
      <c r="F46" s="403">
        <v>44606.475694444445</v>
      </c>
      <c r="G46" s="403">
        <v>44607.65625</v>
      </c>
      <c r="H46" s="403">
        <v>44607.708333333336</v>
      </c>
      <c r="I46" s="405">
        <f>+E46-D46+AH46+AK46</f>
        <v>0.67500000000291038</v>
      </c>
      <c r="J46" s="406">
        <f>G46-D46</f>
        <v>1.90625</v>
      </c>
      <c r="K46" s="407">
        <v>28350</v>
      </c>
      <c r="L46" s="408"/>
      <c r="M46" s="408">
        <v>28350</v>
      </c>
      <c r="N46" s="408">
        <f t="shared" si="117"/>
        <v>28350</v>
      </c>
      <c r="O46" s="409">
        <v>44618</v>
      </c>
      <c r="P46" s="407" t="s">
        <v>296</v>
      </c>
      <c r="Q46" s="407" t="s">
        <v>278</v>
      </c>
      <c r="R46" s="396" t="s">
        <v>183</v>
      </c>
      <c r="S46" s="396" t="s">
        <v>355</v>
      </c>
      <c r="T46" s="396" t="s">
        <v>228</v>
      </c>
      <c r="U46" s="414" t="s">
        <v>350</v>
      </c>
      <c r="V46" s="396" t="s">
        <v>184</v>
      </c>
      <c r="W46" s="415">
        <v>81398</v>
      </c>
      <c r="X46" s="415">
        <v>44102</v>
      </c>
      <c r="Y46" s="416">
        <v>229</v>
      </c>
      <c r="Z46" s="417">
        <v>14.5</v>
      </c>
      <c r="AA46" s="376">
        <f t="shared" ref="AA46" si="131">IF(E46="","",E46-D46+AH46+AK46)</f>
        <v>0.67500000000291038</v>
      </c>
      <c r="AB46" s="376">
        <f t="shared" ref="AB46" si="132">IF(G46="","",G46-D46)</f>
        <v>1.90625</v>
      </c>
      <c r="AC46" s="377">
        <f t="shared" ref="AC46" si="133">IF(H46="","",H46-D46)</f>
        <v>1.9583333333357587</v>
      </c>
      <c r="AD46" s="378">
        <f t="shared" ref="AD46" si="134">IF(N46=0,"",((N46/AE46)*24)/24)</f>
        <v>24014.117647075269</v>
      </c>
      <c r="AE46" s="412">
        <f t="shared" ref="AE46" si="135">IF(G46="",0,(G46-F46)-(AJ46-AI46)-(AG46-AF46))</f>
        <v>1.1805555555547471</v>
      </c>
      <c r="AF46" s="411"/>
      <c r="AG46" s="411"/>
      <c r="AH46" s="411">
        <f t="shared" ref="AH46" si="136">AG46-AF46</f>
        <v>0</v>
      </c>
      <c r="AI46" s="411"/>
      <c r="AJ46" s="411"/>
      <c r="AK46" s="411">
        <f t="shared" si="130"/>
        <v>0</v>
      </c>
      <c r="AL46" s="396"/>
      <c r="AM46" s="414" t="s">
        <v>351</v>
      </c>
      <c r="AN46" s="414" t="s">
        <v>352</v>
      </c>
      <c r="AO46" s="414" t="s">
        <v>288</v>
      </c>
      <c r="AP46" s="414"/>
      <c r="AQ46" s="413" t="s">
        <v>370</v>
      </c>
      <c r="AS46" s="82" t="str">
        <f t="shared" si="0"/>
        <v>남동발전</v>
      </c>
      <c r="AT46" s="311">
        <f t="shared" si="1"/>
        <v>28350</v>
      </c>
      <c r="AV46" s="218">
        <f t="shared" si="61"/>
        <v>0</v>
      </c>
      <c r="AW46" s="218">
        <f t="shared" si="61"/>
        <v>1</v>
      </c>
      <c r="AX46" s="219">
        <f t="shared" si="3"/>
        <v>0</v>
      </c>
      <c r="AY46" s="219">
        <f t="shared" si="4"/>
        <v>1</v>
      </c>
      <c r="AZ46" s="136">
        <f t="shared" si="5"/>
        <v>1</v>
      </c>
    </row>
    <row r="47" spans="2:52" s="82" customFormat="1" ht="17.45" hidden="1" customHeight="1" outlineLevel="1">
      <c r="B47" s="372"/>
      <c r="C47" s="400"/>
      <c r="D47" s="403"/>
      <c r="E47" s="403"/>
      <c r="F47" s="403"/>
      <c r="G47" s="403"/>
      <c r="H47" s="403"/>
      <c r="I47" s="405"/>
      <c r="J47" s="406"/>
      <c r="K47" s="407"/>
      <c r="L47" s="408"/>
      <c r="M47" s="408"/>
      <c r="N47" s="408">
        <f t="shared" si="117"/>
        <v>0</v>
      </c>
      <c r="O47" s="409"/>
      <c r="P47" s="409"/>
      <c r="Q47" s="407"/>
      <c r="R47" s="396"/>
      <c r="S47" s="396"/>
      <c r="T47" s="396"/>
      <c r="U47" s="414"/>
      <c r="V47" s="396"/>
      <c r="W47" s="415"/>
      <c r="X47" s="415"/>
      <c r="Y47" s="416"/>
      <c r="Z47" s="417"/>
      <c r="AA47" s="411"/>
      <c r="AB47" s="411"/>
      <c r="AC47" s="411"/>
      <c r="AD47" s="378"/>
      <c r="AE47" s="398"/>
      <c r="AF47" s="398"/>
      <c r="AG47" s="398"/>
      <c r="AH47" s="398"/>
      <c r="AI47" s="398"/>
      <c r="AJ47" s="398"/>
      <c r="AK47" s="398"/>
      <c r="AL47" s="396"/>
      <c r="AM47" s="414"/>
      <c r="AN47" s="414"/>
      <c r="AO47" s="414"/>
      <c r="AP47" s="414"/>
      <c r="AQ47" s="418"/>
      <c r="AS47" s="82">
        <f t="shared" si="0"/>
        <v>0</v>
      </c>
      <c r="AT47" s="311">
        <f t="shared" si="1"/>
        <v>0</v>
      </c>
      <c r="AV47" s="218">
        <f t="shared" si="61"/>
        <v>0</v>
      </c>
      <c r="AW47" s="218">
        <f t="shared" si="61"/>
        <v>0</v>
      </c>
      <c r="AX47" s="219">
        <f t="shared" si="3"/>
        <v>0</v>
      </c>
      <c r="AY47" s="219">
        <f t="shared" si="4"/>
        <v>0</v>
      </c>
      <c r="AZ47" s="136">
        <f t="shared" si="5"/>
        <v>0</v>
      </c>
    </row>
    <row r="48" spans="2:52" s="82" customFormat="1" ht="17.45" hidden="1" customHeight="1" outlineLevel="1" thickBot="1">
      <c r="B48" s="479"/>
      <c r="C48" s="480"/>
      <c r="D48" s="481"/>
      <c r="E48" s="481"/>
      <c r="F48" s="481"/>
      <c r="G48" s="481"/>
      <c r="H48" s="481"/>
      <c r="I48" s="493">
        <f>IFERROR(AVERAGE(I27:I47),0)</f>
        <v>3.2229166666656965</v>
      </c>
      <c r="J48" s="494">
        <f>IFERROR(AVERAGE(J27:J47),0)</f>
        <v>5.612638888887159</v>
      </c>
      <c r="K48" s="485">
        <f>SUM(K27:K47)</f>
        <v>589355</v>
      </c>
      <c r="L48" s="484">
        <f>SUM(L27:L47)</f>
        <v>302703</v>
      </c>
      <c r="M48" s="484">
        <f>SUM(M27:M47)</f>
        <v>285858</v>
      </c>
      <c r="N48" s="483">
        <f>SUM(N27:N47)</f>
        <v>588561</v>
      </c>
      <c r="O48" s="485"/>
      <c r="P48" s="485"/>
      <c r="Q48" s="485"/>
      <c r="R48" s="480"/>
      <c r="S48" s="480"/>
      <c r="T48" s="486"/>
      <c r="U48" s="487"/>
      <c r="V48" s="486"/>
      <c r="W48" s="488"/>
      <c r="X48" s="488"/>
      <c r="Y48" s="489"/>
      <c r="Z48" s="490"/>
      <c r="AA48" s="490"/>
      <c r="AB48" s="490"/>
      <c r="AC48" s="490"/>
      <c r="AD48" s="490"/>
      <c r="AE48" s="490"/>
      <c r="AF48" s="490"/>
      <c r="AG48" s="490"/>
      <c r="AH48" s="490"/>
      <c r="AI48" s="490"/>
      <c r="AJ48" s="490"/>
      <c r="AK48" s="490"/>
      <c r="AL48" s="491"/>
      <c r="AM48" s="491"/>
      <c r="AN48" s="491"/>
      <c r="AO48" s="487"/>
      <c r="AP48" s="487"/>
      <c r="AQ48" s="492"/>
      <c r="AS48" s="82">
        <f t="shared" si="0"/>
        <v>0</v>
      </c>
      <c r="AT48" s="311">
        <f t="shared" si="1"/>
        <v>589355</v>
      </c>
      <c r="AV48" s="218">
        <f t="shared" si="61"/>
        <v>1</v>
      </c>
      <c r="AW48" s="218">
        <f t="shared" si="61"/>
        <v>1</v>
      </c>
      <c r="AX48" s="219">
        <f t="shared" si="3"/>
        <v>0.5</v>
      </c>
      <c r="AY48" s="219">
        <f t="shared" si="4"/>
        <v>0.5</v>
      </c>
      <c r="AZ48" s="136">
        <f t="shared" si="5"/>
        <v>1</v>
      </c>
    </row>
    <row r="49" spans="2:52" ht="24.95" hidden="1" customHeight="1" outlineLevel="1" thickBot="1">
      <c r="B49" s="246" t="s">
        <v>243</v>
      </c>
      <c r="C49" s="117"/>
      <c r="D49" s="117"/>
      <c r="E49" s="117"/>
      <c r="F49" s="117"/>
      <c r="G49" s="117"/>
      <c r="H49" s="117"/>
      <c r="I49" s="117"/>
      <c r="J49" s="117"/>
      <c r="K49" s="117"/>
      <c r="L49" s="146"/>
      <c r="M49" s="146"/>
      <c r="N49" s="146"/>
      <c r="O49" s="117"/>
      <c r="P49" s="117"/>
      <c r="Q49" s="117"/>
      <c r="R49" s="117"/>
      <c r="S49" s="117"/>
      <c r="T49" s="475"/>
      <c r="U49" s="117"/>
      <c r="V49" s="117"/>
      <c r="W49" s="117"/>
      <c r="X49" s="117"/>
      <c r="Y49" s="208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8"/>
      <c r="AS49" s="82" t="str">
        <f t="shared" si="0"/>
        <v>2022년 3월 반입 예정 선박리스트</v>
      </c>
      <c r="AT49" s="311">
        <f t="shared" si="1"/>
        <v>0</v>
      </c>
      <c r="AU49" s="82"/>
      <c r="AV49" s="218">
        <f t="shared" si="61"/>
        <v>0</v>
      </c>
      <c r="AW49" s="218">
        <f t="shared" si="61"/>
        <v>0</v>
      </c>
      <c r="AX49" s="219">
        <f t="shared" si="3"/>
        <v>0</v>
      </c>
      <c r="AY49" s="219">
        <f t="shared" si="4"/>
        <v>0</v>
      </c>
      <c r="AZ49" s="136">
        <f t="shared" si="5"/>
        <v>0</v>
      </c>
    </row>
    <row r="50" spans="2:52" s="82" customFormat="1" ht="17.45" hidden="1" customHeight="1" outlineLevel="1">
      <c r="B50" s="389"/>
      <c r="C50" s="390"/>
      <c r="D50" s="391"/>
      <c r="E50" s="391"/>
      <c r="F50" s="391"/>
      <c r="G50" s="391"/>
      <c r="H50" s="391"/>
      <c r="I50" s="392"/>
      <c r="J50" s="392"/>
      <c r="K50" s="393"/>
      <c r="L50" s="394"/>
      <c r="M50" s="394"/>
      <c r="N50" s="394"/>
      <c r="O50" s="393"/>
      <c r="P50" s="393"/>
      <c r="Q50" s="393"/>
      <c r="R50" s="395"/>
      <c r="S50" s="395"/>
      <c r="T50" s="395"/>
      <c r="U50" s="396"/>
      <c r="V50" s="396"/>
      <c r="W50" s="393"/>
      <c r="X50" s="393"/>
      <c r="Y50" s="397"/>
      <c r="Z50" s="398"/>
      <c r="AA50" s="460"/>
      <c r="AB50" s="460"/>
      <c r="AC50" s="460"/>
      <c r="AD50" s="460"/>
      <c r="AE50" s="460"/>
      <c r="AF50" s="460"/>
      <c r="AG50" s="460"/>
      <c r="AH50" s="460"/>
      <c r="AI50" s="460"/>
      <c r="AJ50" s="460"/>
      <c r="AK50" s="460"/>
      <c r="AL50" s="399"/>
      <c r="AM50" s="396"/>
      <c r="AN50" s="396"/>
      <c r="AO50" s="400"/>
      <c r="AP50" s="476"/>
      <c r="AQ50" s="401"/>
      <c r="AS50" s="82">
        <f t="shared" si="0"/>
        <v>0</v>
      </c>
      <c r="AT50" s="311">
        <f t="shared" si="1"/>
        <v>0</v>
      </c>
      <c r="AV50" s="218">
        <f t="shared" si="61"/>
        <v>0</v>
      </c>
      <c r="AW50" s="218">
        <f t="shared" si="61"/>
        <v>0</v>
      </c>
      <c r="AX50" s="219">
        <f t="shared" si="3"/>
        <v>0</v>
      </c>
      <c r="AY50" s="219">
        <f t="shared" si="4"/>
        <v>0</v>
      </c>
      <c r="AZ50" s="136">
        <f t="shared" si="5"/>
        <v>0</v>
      </c>
    </row>
    <row r="51" spans="2:52" s="82" customFormat="1" ht="17.45" hidden="1" customHeight="1" outlineLevel="1">
      <c r="B51" s="372" t="s">
        <v>185</v>
      </c>
      <c r="C51" s="400" t="s">
        <v>289</v>
      </c>
      <c r="D51" s="403">
        <v>44627.166666666664</v>
      </c>
      <c r="E51" s="403">
        <v>44633.716666666667</v>
      </c>
      <c r="F51" s="403">
        <v>44634.822916666664</v>
      </c>
      <c r="G51" s="403">
        <v>44639.684027777781</v>
      </c>
      <c r="H51" s="403">
        <v>44639.75</v>
      </c>
      <c r="I51" s="405">
        <f>+E51-D51+AH51+AK51</f>
        <v>6.5756944444510737</v>
      </c>
      <c r="J51" s="406">
        <f>G51-D51</f>
        <v>12.51736111111677</v>
      </c>
      <c r="K51" s="407">
        <v>69130</v>
      </c>
      <c r="L51" s="408"/>
      <c r="M51" s="408">
        <v>69130</v>
      </c>
      <c r="N51" s="408">
        <f t="shared" ref="N51:N58" si="137">L51+M51</f>
        <v>69130</v>
      </c>
      <c r="O51" s="409">
        <v>44646</v>
      </c>
      <c r="P51" s="407" t="s">
        <v>296</v>
      </c>
      <c r="Q51" s="407" t="s">
        <v>278</v>
      </c>
      <c r="R51" s="396" t="s">
        <v>183</v>
      </c>
      <c r="S51" s="396" t="s">
        <v>214</v>
      </c>
      <c r="T51" s="396" t="s">
        <v>228</v>
      </c>
      <c r="U51" s="414" t="s">
        <v>181</v>
      </c>
      <c r="V51" s="396" t="s">
        <v>184</v>
      </c>
      <c r="W51" s="415">
        <v>75681</v>
      </c>
      <c r="X51" s="415">
        <v>38818</v>
      </c>
      <c r="Y51" s="416">
        <v>225</v>
      </c>
      <c r="Z51" s="417">
        <v>13.7</v>
      </c>
      <c r="AA51" s="376">
        <f t="shared" ref="AA51" si="138">IF(E51="","",E51-D51+AH51+AK51)</f>
        <v>6.5756944444510737</v>
      </c>
      <c r="AB51" s="376">
        <f t="shared" ref="AB51" si="139">IF(G51="","",G51-D51)</f>
        <v>12.51736111111677</v>
      </c>
      <c r="AC51" s="377">
        <f t="shared" ref="AC51" si="140">IF(H51="","",H51-D51)</f>
        <v>12.583333333335759</v>
      </c>
      <c r="AD51" s="378">
        <f t="shared" ref="AD51" si="141">IF(N51=0,"",((N51/AE51)*24)/24)</f>
        <v>14296.596294694822</v>
      </c>
      <c r="AE51" s="412">
        <f t="shared" ref="AE51:AE53" si="142">IF(G51="",0,(G51-F51)-(AJ51-AI51)-(AG51-AF51))</f>
        <v>4.8354166666686069</v>
      </c>
      <c r="AF51" s="411"/>
      <c r="AG51" s="411"/>
      <c r="AH51" s="411">
        <f t="shared" ref="AH51:AH53" si="143">AG51-AF51</f>
        <v>0</v>
      </c>
      <c r="AI51" s="403">
        <v>44636.774305555555</v>
      </c>
      <c r="AJ51" s="403">
        <v>44636.800000000003</v>
      </c>
      <c r="AK51" s="411">
        <f t="shared" ref="AK51:AK53" si="144">AJ51-AI51</f>
        <v>2.5694444448163267E-2</v>
      </c>
      <c r="AL51" s="396"/>
      <c r="AM51" s="414" t="s">
        <v>301</v>
      </c>
      <c r="AN51" s="414" t="s">
        <v>302</v>
      </c>
      <c r="AO51" s="414" t="s">
        <v>307</v>
      </c>
      <c r="AP51" s="414" t="s">
        <v>399</v>
      </c>
      <c r="AQ51" s="413" t="s">
        <v>402</v>
      </c>
      <c r="AS51" s="82" t="str">
        <f t="shared" si="0"/>
        <v>남동발전</v>
      </c>
      <c r="AT51" s="311">
        <f t="shared" si="1"/>
        <v>69130</v>
      </c>
      <c r="AV51" s="218">
        <f t="shared" si="61"/>
        <v>0</v>
      </c>
      <c r="AW51" s="218">
        <f t="shared" si="61"/>
        <v>1</v>
      </c>
      <c r="AX51" s="219">
        <f t="shared" si="3"/>
        <v>0</v>
      </c>
      <c r="AY51" s="219">
        <f t="shared" si="4"/>
        <v>1</v>
      </c>
      <c r="AZ51" s="136">
        <f t="shared" si="5"/>
        <v>1</v>
      </c>
    </row>
    <row r="52" spans="2:52" s="82" customFormat="1" ht="50.1" hidden="1" customHeight="1" outlineLevel="1">
      <c r="B52" s="372"/>
      <c r="C52" s="400"/>
      <c r="D52" s="403"/>
      <c r="E52" s="403"/>
      <c r="F52" s="403"/>
      <c r="G52" s="403"/>
      <c r="H52" s="403"/>
      <c r="I52" s="405"/>
      <c r="J52" s="406"/>
      <c r="K52" s="407"/>
      <c r="L52" s="408"/>
      <c r="M52" s="408"/>
      <c r="N52" s="408">
        <f t="shared" si="137"/>
        <v>0</v>
      </c>
      <c r="O52" s="409"/>
      <c r="P52" s="409"/>
      <c r="Q52" s="407"/>
      <c r="R52" s="396"/>
      <c r="S52" s="396"/>
      <c r="T52" s="396"/>
      <c r="U52" s="414"/>
      <c r="V52" s="396"/>
      <c r="W52" s="415"/>
      <c r="X52" s="415"/>
      <c r="Y52" s="416"/>
      <c r="Z52" s="417"/>
      <c r="AA52" s="411"/>
      <c r="AB52" s="411"/>
      <c r="AC52" s="411"/>
      <c r="AD52" s="378"/>
      <c r="AE52" s="398"/>
      <c r="AF52" s="398"/>
      <c r="AG52" s="398"/>
      <c r="AH52" s="398"/>
      <c r="AI52" s="398"/>
      <c r="AJ52" s="398"/>
      <c r="AK52" s="398"/>
      <c r="AL52" s="396"/>
      <c r="AM52" s="414"/>
      <c r="AN52" s="414"/>
      <c r="AO52" s="414"/>
      <c r="AP52" s="414"/>
      <c r="AQ52" s="418"/>
      <c r="AS52" s="82">
        <f t="shared" si="0"/>
        <v>0</v>
      </c>
      <c r="AT52" s="311">
        <f t="shared" si="1"/>
        <v>0</v>
      </c>
      <c r="AV52" s="218">
        <f t="shared" si="61"/>
        <v>0</v>
      </c>
      <c r="AW52" s="218">
        <f t="shared" si="61"/>
        <v>0</v>
      </c>
      <c r="AX52" s="219">
        <f t="shared" si="3"/>
        <v>0</v>
      </c>
      <c r="AY52" s="219">
        <f t="shared" si="4"/>
        <v>0</v>
      </c>
      <c r="AZ52" s="136">
        <f t="shared" si="5"/>
        <v>0</v>
      </c>
    </row>
    <row r="53" spans="2:52" ht="17.45" hidden="1" customHeight="1" outlineLevel="1">
      <c r="B53" s="372" t="s">
        <v>187</v>
      </c>
      <c r="C53" s="400" t="s">
        <v>362</v>
      </c>
      <c r="D53" s="403">
        <v>44638.25</v>
      </c>
      <c r="E53" s="403">
        <v>44641.763888888891</v>
      </c>
      <c r="F53" s="403">
        <v>44641.833333333336</v>
      </c>
      <c r="G53" s="403">
        <v>44644.697916666664</v>
      </c>
      <c r="H53" s="403">
        <v>44644.75</v>
      </c>
      <c r="I53" s="405">
        <f>+E53-D53+AH53+AK53</f>
        <v>3.5138888888905058</v>
      </c>
      <c r="J53" s="406">
        <f>G53-D53</f>
        <v>6.4479166666642413</v>
      </c>
      <c r="K53" s="407">
        <v>67200</v>
      </c>
      <c r="L53" s="408">
        <v>67200</v>
      </c>
      <c r="M53" s="408"/>
      <c r="N53" s="408">
        <f t="shared" si="137"/>
        <v>67200</v>
      </c>
      <c r="O53" s="409">
        <v>44646</v>
      </c>
      <c r="P53" s="407" t="s">
        <v>296</v>
      </c>
      <c r="Q53" s="407" t="s">
        <v>287</v>
      </c>
      <c r="R53" s="396" t="s">
        <v>183</v>
      </c>
      <c r="S53" s="396" t="s">
        <v>355</v>
      </c>
      <c r="T53" s="396" t="s">
        <v>357</v>
      </c>
      <c r="U53" s="414" t="s">
        <v>181</v>
      </c>
      <c r="V53" s="396" t="s">
        <v>184</v>
      </c>
      <c r="W53" s="407">
        <v>68591</v>
      </c>
      <c r="X53" s="407">
        <v>36074</v>
      </c>
      <c r="Y53" s="410">
        <v>224</v>
      </c>
      <c r="Z53" s="411">
        <v>13.4</v>
      </c>
      <c r="AA53" s="376">
        <f t="shared" ref="AA53" si="145">IF(E53="","",E53-D53+AH53+AK53)</f>
        <v>3.5138888888905058</v>
      </c>
      <c r="AB53" s="376">
        <f t="shared" ref="AB53" si="146">IF(G53="","",G53-D53)</f>
        <v>6.4479166666642413</v>
      </c>
      <c r="AC53" s="377">
        <f t="shared" ref="AC53" si="147">IF(H53="","",H53-D53)</f>
        <v>6.5</v>
      </c>
      <c r="AD53" s="378">
        <f t="shared" ref="AD53" si="148">IF(N53=0,"",((N53/AE53)*24)/24)</f>
        <v>23458.909090948815</v>
      </c>
      <c r="AE53" s="412">
        <f t="shared" si="142"/>
        <v>2.8645833333284827</v>
      </c>
      <c r="AF53" s="411"/>
      <c r="AG53" s="411"/>
      <c r="AH53" s="411">
        <f t="shared" si="143"/>
        <v>0</v>
      </c>
      <c r="AI53" s="411"/>
      <c r="AJ53" s="411"/>
      <c r="AK53" s="411">
        <f t="shared" si="144"/>
        <v>0</v>
      </c>
      <c r="AL53" s="396"/>
      <c r="AM53" s="396" t="s">
        <v>363</v>
      </c>
      <c r="AN53" s="396" t="s">
        <v>364</v>
      </c>
      <c r="AO53" s="400" t="s">
        <v>384</v>
      </c>
      <c r="AP53" s="400" t="s">
        <v>309</v>
      </c>
      <c r="AQ53" s="413" t="s">
        <v>208</v>
      </c>
      <c r="AS53" s="82" t="str">
        <f t="shared" si="0"/>
        <v>한화에너지</v>
      </c>
      <c r="AT53" s="311">
        <f t="shared" si="1"/>
        <v>67200</v>
      </c>
      <c r="AU53" s="82"/>
      <c r="AV53" s="218">
        <f t="shared" si="61"/>
        <v>1</v>
      </c>
      <c r="AW53" s="218">
        <f t="shared" si="61"/>
        <v>0</v>
      </c>
      <c r="AX53" s="219">
        <f t="shared" si="3"/>
        <v>1</v>
      </c>
      <c r="AY53" s="219">
        <f t="shared" si="4"/>
        <v>0</v>
      </c>
      <c r="AZ53" s="136">
        <f t="shared" si="5"/>
        <v>1</v>
      </c>
    </row>
    <row r="54" spans="2:52" ht="14.25" hidden="1" outlineLevel="1" thickBot="1">
      <c r="B54" s="372"/>
      <c r="C54" s="400"/>
      <c r="D54" s="403"/>
      <c r="E54" s="403"/>
      <c r="F54" s="403"/>
      <c r="G54" s="403"/>
      <c r="H54" s="403"/>
      <c r="I54" s="405"/>
      <c r="J54" s="406"/>
      <c r="K54" s="407"/>
      <c r="L54" s="408"/>
      <c r="M54" s="408"/>
      <c r="N54" s="408">
        <v>0</v>
      </c>
      <c r="O54" s="409"/>
      <c r="P54" s="409"/>
      <c r="Q54" s="407"/>
      <c r="R54" s="396"/>
      <c r="S54" s="396"/>
      <c r="T54" s="396"/>
      <c r="U54" s="396"/>
      <c r="V54" s="396"/>
      <c r="W54" s="407"/>
      <c r="X54" s="407"/>
      <c r="Y54" s="410"/>
      <c r="Z54" s="411"/>
      <c r="AA54" s="411"/>
      <c r="AB54" s="411"/>
      <c r="AC54" s="411"/>
      <c r="AD54" s="378"/>
      <c r="AE54" s="398"/>
      <c r="AF54" s="398"/>
      <c r="AG54" s="398"/>
      <c r="AH54" s="398"/>
      <c r="AI54" s="398"/>
      <c r="AJ54" s="398"/>
      <c r="AK54" s="398"/>
      <c r="AL54" s="396"/>
      <c r="AM54" s="396"/>
      <c r="AN54" s="396"/>
      <c r="AO54" s="400"/>
      <c r="AP54" s="400"/>
      <c r="AQ54" s="418"/>
      <c r="AS54" s="82">
        <f t="shared" si="0"/>
        <v>0</v>
      </c>
      <c r="AT54" s="311">
        <f t="shared" si="1"/>
        <v>0</v>
      </c>
      <c r="AU54" s="82"/>
      <c r="AV54" s="218">
        <f t="shared" si="61"/>
        <v>0</v>
      </c>
      <c r="AW54" s="218">
        <f t="shared" si="61"/>
        <v>0</v>
      </c>
      <c r="AX54" s="219">
        <f t="shared" si="3"/>
        <v>0</v>
      </c>
      <c r="AY54" s="219">
        <f t="shared" si="4"/>
        <v>0</v>
      </c>
      <c r="AZ54" s="136">
        <f t="shared" si="5"/>
        <v>0</v>
      </c>
    </row>
    <row r="55" spans="2:52" s="82" customFormat="1" ht="30" hidden="1" customHeight="1" outlineLevel="1">
      <c r="B55" s="372" t="s">
        <v>194</v>
      </c>
      <c r="C55" s="400" t="s">
        <v>349</v>
      </c>
      <c r="D55" s="403">
        <v>44639.48333333333</v>
      </c>
      <c r="E55" s="403">
        <v>44644.857638888891</v>
      </c>
      <c r="F55" s="403">
        <v>44644.902777777781</v>
      </c>
      <c r="G55" s="403">
        <v>44649.131944444445</v>
      </c>
      <c r="H55" s="403">
        <v>44649.21875</v>
      </c>
      <c r="I55" s="405">
        <f>+E55-D55+AH55+AK55</f>
        <v>5.4631944444481633</v>
      </c>
      <c r="J55" s="406">
        <f>G55-D55</f>
        <v>9.648611111115315</v>
      </c>
      <c r="K55" s="407">
        <v>79400</v>
      </c>
      <c r="L55" s="408">
        <f>29735</f>
        <v>29735</v>
      </c>
      <c r="M55" s="408">
        <f>22000+27665</f>
        <v>49665</v>
      </c>
      <c r="N55" s="408">
        <f t="shared" si="137"/>
        <v>79400</v>
      </c>
      <c r="O55" s="409">
        <v>44646</v>
      </c>
      <c r="P55" s="407" t="s">
        <v>296</v>
      </c>
      <c r="Q55" s="407" t="s">
        <v>287</v>
      </c>
      <c r="R55" s="396" t="s">
        <v>189</v>
      </c>
      <c r="S55" s="396" t="s">
        <v>224</v>
      </c>
      <c r="T55" s="396" t="s">
        <v>324</v>
      </c>
      <c r="U55" s="396" t="s">
        <v>181</v>
      </c>
      <c r="V55" s="396" t="s">
        <v>184</v>
      </c>
      <c r="W55" s="407">
        <v>81738</v>
      </c>
      <c r="X55" s="407">
        <v>44153</v>
      </c>
      <c r="Y55" s="410">
        <v>229</v>
      </c>
      <c r="Z55" s="411">
        <v>12.2</v>
      </c>
      <c r="AA55" s="376">
        <f t="shared" ref="AA55" si="149">IF(E55="","",E55-D55+AH55+AK55)</f>
        <v>5.4631944444481633</v>
      </c>
      <c r="AB55" s="376">
        <f t="shared" ref="AB55" si="150">IF(G55="","",G55-D55)</f>
        <v>9.648611111115315</v>
      </c>
      <c r="AC55" s="377">
        <f t="shared" ref="AC55" si="151">IF(H55="","",H55-D55)</f>
        <v>9.7354166666700621</v>
      </c>
      <c r="AD55" s="378">
        <f t="shared" ref="AD55" si="152">IF(N55=0,"",((N55/AE55)*24)/24)</f>
        <v>19177.457229122989</v>
      </c>
      <c r="AE55" s="412">
        <f t="shared" ref="AE55" si="153">IF(G55="",0,(G55-F55)-(AJ55-AI55)-(AG55-AF55))</f>
        <v>4.140277777776646</v>
      </c>
      <c r="AF55" s="411"/>
      <c r="AG55" s="411"/>
      <c r="AH55" s="411">
        <f t="shared" ref="AH55" si="154">AG55-AF55</f>
        <v>0</v>
      </c>
      <c r="AI55" s="403">
        <v>44646.965277777781</v>
      </c>
      <c r="AJ55" s="403">
        <v>44647.054166666669</v>
      </c>
      <c r="AK55" s="411">
        <f t="shared" ref="AK55" si="155">AJ55-AI55</f>
        <v>8.8888888887595385E-2</v>
      </c>
      <c r="AL55" s="396"/>
      <c r="AM55" s="396" t="s">
        <v>215</v>
      </c>
      <c r="AN55" s="396" t="s">
        <v>239</v>
      </c>
      <c r="AO55" s="414" t="s">
        <v>383</v>
      </c>
      <c r="AP55" s="414" t="s">
        <v>309</v>
      </c>
      <c r="AQ55" s="413" t="s">
        <v>403</v>
      </c>
      <c r="AS55" s="82" t="str">
        <f t="shared" si="0"/>
        <v>SGC에너지</v>
      </c>
      <c r="AT55" s="311">
        <f t="shared" si="1"/>
        <v>79400</v>
      </c>
      <c r="AV55" s="218">
        <f t="shared" si="61"/>
        <v>1</v>
      </c>
      <c r="AW55" s="218">
        <f t="shared" si="61"/>
        <v>1</v>
      </c>
      <c r="AX55" s="219">
        <f t="shared" si="3"/>
        <v>0.5</v>
      </c>
      <c r="AY55" s="219">
        <f t="shared" si="4"/>
        <v>0.5</v>
      </c>
      <c r="AZ55" s="136">
        <f t="shared" si="5"/>
        <v>1</v>
      </c>
    </row>
    <row r="56" spans="2:52" s="82" customFormat="1" ht="14.25" hidden="1" outlineLevel="1" thickBot="1">
      <c r="B56" s="372"/>
      <c r="C56" s="400"/>
      <c r="D56" s="403"/>
      <c r="E56" s="403"/>
      <c r="F56" s="403"/>
      <c r="G56" s="403"/>
      <c r="H56" s="403"/>
      <c r="I56" s="405"/>
      <c r="J56" s="406"/>
      <c r="K56" s="407"/>
      <c r="L56" s="408"/>
      <c r="M56" s="408"/>
      <c r="N56" s="408">
        <f t="shared" si="137"/>
        <v>0</v>
      </c>
      <c r="O56" s="409"/>
      <c r="P56" s="409"/>
      <c r="Q56" s="407"/>
      <c r="R56" s="396"/>
      <c r="S56" s="396"/>
      <c r="T56" s="396"/>
      <c r="U56" s="396"/>
      <c r="V56" s="396"/>
      <c r="W56" s="407"/>
      <c r="X56" s="407"/>
      <c r="Y56" s="410"/>
      <c r="Z56" s="411"/>
      <c r="AA56" s="411"/>
      <c r="AB56" s="411"/>
      <c r="AC56" s="411"/>
      <c r="AD56" s="378"/>
      <c r="AE56" s="398"/>
      <c r="AF56" s="398"/>
      <c r="AG56" s="398"/>
      <c r="AH56" s="398"/>
      <c r="AI56" s="398"/>
      <c r="AJ56" s="398"/>
      <c r="AK56" s="398"/>
      <c r="AL56" s="396"/>
      <c r="AM56" s="396"/>
      <c r="AN56" s="396"/>
      <c r="AO56" s="414"/>
      <c r="AP56" s="414"/>
      <c r="AQ56" s="418"/>
      <c r="AS56" s="82">
        <f t="shared" si="0"/>
        <v>0</v>
      </c>
      <c r="AT56" s="311">
        <f t="shared" si="1"/>
        <v>0</v>
      </c>
      <c r="AV56" s="218">
        <f t="shared" si="61"/>
        <v>0</v>
      </c>
      <c r="AW56" s="218">
        <f t="shared" si="61"/>
        <v>0</v>
      </c>
      <c r="AX56" s="219">
        <f t="shared" si="3"/>
        <v>0</v>
      </c>
      <c r="AY56" s="219">
        <f t="shared" si="4"/>
        <v>0</v>
      </c>
      <c r="AZ56" s="136">
        <f t="shared" si="5"/>
        <v>0</v>
      </c>
    </row>
    <row r="57" spans="2:52" s="82" customFormat="1" ht="17.45" hidden="1" customHeight="1" outlineLevel="1">
      <c r="B57" s="372" t="s">
        <v>185</v>
      </c>
      <c r="C57" s="400" t="s">
        <v>389</v>
      </c>
      <c r="D57" s="403">
        <v>44644.006944444445</v>
      </c>
      <c r="E57" s="403">
        <v>44645.423611111109</v>
      </c>
      <c r="F57" s="403">
        <v>44645.555555555555</v>
      </c>
      <c r="G57" s="403">
        <v>44646.958333333336</v>
      </c>
      <c r="H57" s="403">
        <v>44647.003472222219</v>
      </c>
      <c r="I57" s="405">
        <f>+E57-D57+AH57+AK57</f>
        <v>1.4166666666642413</v>
      </c>
      <c r="J57" s="406">
        <f>G57-D57</f>
        <v>2.9513888888905058</v>
      </c>
      <c r="K57" s="407">
        <v>20000</v>
      </c>
      <c r="L57" s="408"/>
      <c r="M57" s="408">
        <v>20000</v>
      </c>
      <c r="N57" s="408">
        <f t="shared" si="137"/>
        <v>20000</v>
      </c>
      <c r="O57" s="409">
        <v>44646</v>
      </c>
      <c r="P57" s="407" t="s">
        <v>296</v>
      </c>
      <c r="Q57" s="407" t="s">
        <v>278</v>
      </c>
      <c r="R57" s="396" t="s">
        <v>183</v>
      </c>
      <c r="S57" s="396" t="s">
        <v>214</v>
      </c>
      <c r="T57" s="396" t="s">
        <v>228</v>
      </c>
      <c r="U57" s="396" t="s">
        <v>181</v>
      </c>
      <c r="V57" s="396" t="s">
        <v>184</v>
      </c>
      <c r="W57" s="407">
        <v>77509</v>
      </c>
      <c r="X57" s="407">
        <v>43462</v>
      </c>
      <c r="Y57" s="410">
        <v>229</v>
      </c>
      <c r="Z57" s="411">
        <v>7.3</v>
      </c>
      <c r="AA57" s="376">
        <f t="shared" ref="AA57" si="156">IF(E57="","",E57-D57+AH57+AK57)</f>
        <v>1.4166666666642413</v>
      </c>
      <c r="AB57" s="376">
        <f t="shared" ref="AB57" si="157">IF(G57="","",G57-D57)</f>
        <v>2.9513888888905058</v>
      </c>
      <c r="AC57" s="377">
        <f t="shared" ref="AC57" si="158">IF(H57="","",H57-D57)</f>
        <v>2.9965277777737356</v>
      </c>
      <c r="AD57" s="378">
        <f t="shared" ref="AD57" si="159">IF(N57=0,"",((N57/AE57)*24)/24)</f>
        <v>14257.425742541391</v>
      </c>
      <c r="AE57" s="412">
        <f t="shared" ref="AE57" si="160">IF(G57="",0,(G57-F57)-(AJ57-AI57)-(AG57-AF57))</f>
        <v>1.4027777777810115</v>
      </c>
      <c r="AF57" s="411"/>
      <c r="AG57" s="411"/>
      <c r="AH57" s="411">
        <f t="shared" ref="AH57" si="161">AG57-AF57</f>
        <v>0</v>
      </c>
      <c r="AI57" s="411"/>
      <c r="AJ57" s="411"/>
      <c r="AK57" s="411">
        <f t="shared" ref="AK57" si="162">AJ57-AI57</f>
        <v>0</v>
      </c>
      <c r="AL57" s="396"/>
      <c r="AM57" s="396" t="s">
        <v>391</v>
      </c>
      <c r="AN57" s="396" t="s">
        <v>392</v>
      </c>
      <c r="AO57" s="414" t="s">
        <v>288</v>
      </c>
      <c r="AP57" s="414" t="s">
        <v>284</v>
      </c>
      <c r="AQ57" s="413" t="s">
        <v>390</v>
      </c>
      <c r="AS57" s="82" t="str">
        <f t="shared" si="0"/>
        <v>남동발전</v>
      </c>
      <c r="AT57" s="311">
        <f t="shared" si="1"/>
        <v>20000</v>
      </c>
      <c r="AV57" s="218">
        <f t="shared" si="61"/>
        <v>0</v>
      </c>
      <c r="AW57" s="218">
        <f t="shared" si="61"/>
        <v>1</v>
      </c>
      <c r="AX57" s="219">
        <f t="shared" si="3"/>
        <v>0</v>
      </c>
      <c r="AY57" s="219">
        <f t="shared" si="4"/>
        <v>1</v>
      </c>
      <c r="AZ57" s="136">
        <f t="shared" si="5"/>
        <v>1</v>
      </c>
    </row>
    <row r="58" spans="2:52" s="82" customFormat="1" ht="17.45" hidden="1" customHeight="1" outlineLevel="1">
      <c r="B58" s="372"/>
      <c r="C58" s="400"/>
      <c r="D58" s="403"/>
      <c r="E58" s="403"/>
      <c r="F58" s="403"/>
      <c r="G58" s="403"/>
      <c r="H58" s="403"/>
      <c r="I58" s="405"/>
      <c r="J58" s="406"/>
      <c r="K58" s="407"/>
      <c r="L58" s="408"/>
      <c r="M58" s="408"/>
      <c r="N58" s="408">
        <f t="shared" si="137"/>
        <v>0</v>
      </c>
      <c r="O58" s="409"/>
      <c r="P58" s="409"/>
      <c r="Q58" s="407"/>
      <c r="R58" s="396"/>
      <c r="S58" s="396"/>
      <c r="T58" s="396"/>
      <c r="U58" s="396"/>
      <c r="V58" s="396"/>
      <c r="W58" s="407"/>
      <c r="X58" s="407"/>
      <c r="Y58" s="410"/>
      <c r="Z58" s="411"/>
      <c r="AA58" s="411"/>
      <c r="AB58" s="411"/>
      <c r="AC58" s="411"/>
      <c r="AD58" s="378"/>
      <c r="AE58" s="398"/>
      <c r="AF58" s="398"/>
      <c r="AG58" s="398"/>
      <c r="AH58" s="398"/>
      <c r="AI58" s="398"/>
      <c r="AJ58" s="398"/>
      <c r="AK58" s="398"/>
      <c r="AL58" s="396"/>
      <c r="AM58" s="396"/>
      <c r="AN58" s="396"/>
      <c r="AO58" s="414"/>
      <c r="AP58" s="414"/>
      <c r="AQ58" s="418"/>
      <c r="AS58" s="82">
        <f t="shared" si="0"/>
        <v>0</v>
      </c>
      <c r="AT58" s="311">
        <f t="shared" si="1"/>
        <v>0</v>
      </c>
      <c r="AV58" s="218">
        <f t="shared" si="61"/>
        <v>0</v>
      </c>
      <c r="AW58" s="218">
        <f t="shared" si="61"/>
        <v>0</v>
      </c>
      <c r="AX58" s="219">
        <f t="shared" si="3"/>
        <v>0</v>
      </c>
      <c r="AY58" s="219">
        <f t="shared" si="4"/>
        <v>0</v>
      </c>
      <c r="AZ58" s="136">
        <f t="shared" si="5"/>
        <v>0</v>
      </c>
    </row>
    <row r="59" spans="2:52" s="82" customFormat="1" ht="17.45" hidden="1" customHeight="1" outlineLevel="1" thickBot="1">
      <c r="B59" s="495"/>
      <c r="C59" s="480"/>
      <c r="D59" s="481"/>
      <c r="E59" s="481"/>
      <c r="F59" s="564"/>
      <c r="G59" s="481"/>
      <c r="H59" s="481"/>
      <c r="I59" s="493">
        <f>IFERROR(AVERAGE(I50:I58),0)</f>
        <v>4.242361111113496</v>
      </c>
      <c r="J59" s="493">
        <f>IFERROR(AVERAGE(J50:J58),0)</f>
        <v>7.8913194444467081</v>
      </c>
      <c r="K59" s="485">
        <f>SUM(K50:K58)</f>
        <v>235730</v>
      </c>
      <c r="L59" s="484">
        <f>SUM(L50:L58)</f>
        <v>96935</v>
      </c>
      <c r="M59" s="484">
        <f>SUM(M50:M58)</f>
        <v>138795</v>
      </c>
      <c r="N59" s="483">
        <f>SUM(N50:N58)</f>
        <v>235730</v>
      </c>
      <c r="O59" s="485"/>
      <c r="P59" s="485"/>
      <c r="Q59" s="485"/>
      <c r="R59" s="480"/>
      <c r="S59" s="480"/>
      <c r="T59" s="486"/>
      <c r="U59" s="487"/>
      <c r="V59" s="486"/>
      <c r="W59" s="488"/>
      <c r="X59" s="488"/>
      <c r="Y59" s="489"/>
      <c r="Z59" s="490"/>
      <c r="AA59" s="490"/>
      <c r="AB59" s="490"/>
      <c r="AC59" s="490"/>
      <c r="AD59" s="490"/>
      <c r="AE59" s="490"/>
      <c r="AF59" s="490"/>
      <c r="AG59" s="490"/>
      <c r="AH59" s="490"/>
      <c r="AI59" s="490"/>
      <c r="AJ59" s="490"/>
      <c r="AK59" s="490"/>
      <c r="AL59" s="491"/>
      <c r="AM59" s="491"/>
      <c r="AN59" s="491"/>
      <c r="AO59" s="487"/>
      <c r="AP59" s="487">
        <v>6</v>
      </c>
      <c r="AQ59" s="492"/>
      <c r="AS59" s="82">
        <f t="shared" si="0"/>
        <v>0</v>
      </c>
      <c r="AT59" s="311">
        <f t="shared" si="1"/>
        <v>235730</v>
      </c>
      <c r="AV59" s="218">
        <f t="shared" si="61"/>
        <v>1</v>
      </c>
      <c r="AW59" s="218">
        <f t="shared" si="61"/>
        <v>1</v>
      </c>
      <c r="AX59" s="219">
        <f t="shared" si="3"/>
        <v>0.5</v>
      </c>
      <c r="AY59" s="219">
        <f t="shared" si="4"/>
        <v>0.5</v>
      </c>
      <c r="AZ59" s="136">
        <f t="shared" si="5"/>
        <v>1</v>
      </c>
    </row>
    <row r="60" spans="2:52" ht="24.95" hidden="1" customHeight="1" outlineLevel="1" thickBot="1">
      <c r="B60" s="246" t="s">
        <v>244</v>
      </c>
      <c r="C60" s="117"/>
      <c r="D60" s="117"/>
      <c r="E60" s="117"/>
      <c r="F60" s="117"/>
      <c r="G60" s="117"/>
      <c r="H60" s="117"/>
      <c r="I60" s="117"/>
      <c r="J60" s="117"/>
      <c r="K60" s="117"/>
      <c r="L60" s="146"/>
      <c r="M60" s="146"/>
      <c r="N60" s="146"/>
      <c r="O60" s="117"/>
      <c r="P60" s="117"/>
      <c r="Q60" s="117"/>
      <c r="R60" s="117"/>
      <c r="S60" s="117"/>
      <c r="T60" s="475"/>
      <c r="U60" s="117"/>
      <c r="V60" s="117"/>
      <c r="W60" s="117"/>
      <c r="X60" s="117"/>
      <c r="Y60" s="208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7"/>
      <c r="AN60" s="117"/>
      <c r="AO60" s="117"/>
      <c r="AP60" s="117"/>
      <c r="AQ60" s="118"/>
      <c r="AS60" s="82" t="str">
        <f t="shared" si="0"/>
        <v>2022년 4월 반입 예정 선박리스트</v>
      </c>
      <c r="AT60" s="311">
        <f t="shared" si="1"/>
        <v>0</v>
      </c>
      <c r="AU60" s="82"/>
      <c r="AV60" s="218">
        <f t="shared" si="61"/>
        <v>0</v>
      </c>
      <c r="AW60" s="218">
        <f t="shared" si="61"/>
        <v>0</v>
      </c>
      <c r="AX60" s="219">
        <f t="shared" si="3"/>
        <v>0</v>
      </c>
      <c r="AY60" s="219">
        <f t="shared" si="4"/>
        <v>0</v>
      </c>
      <c r="AZ60" s="136">
        <f t="shared" si="5"/>
        <v>0</v>
      </c>
    </row>
    <row r="61" spans="2:52" s="82" customFormat="1" ht="17.45" hidden="1" customHeight="1" outlineLevel="1">
      <c r="B61" s="585"/>
      <c r="C61" s="586"/>
      <c r="D61" s="392"/>
      <c r="E61" s="392"/>
      <c r="F61" s="392"/>
      <c r="G61" s="392"/>
      <c r="H61" s="392"/>
      <c r="I61" s="392"/>
      <c r="J61" s="392"/>
      <c r="K61" s="587"/>
      <c r="L61" s="588"/>
      <c r="M61" s="588"/>
      <c r="N61" s="588"/>
      <c r="O61" s="587"/>
      <c r="P61" s="587"/>
      <c r="Q61" s="587"/>
      <c r="R61" s="589"/>
      <c r="S61" s="589"/>
      <c r="T61" s="589"/>
      <c r="U61" s="399"/>
      <c r="V61" s="399"/>
      <c r="W61" s="587"/>
      <c r="X61" s="587"/>
      <c r="Y61" s="590"/>
      <c r="Z61" s="460"/>
      <c r="AA61" s="460"/>
      <c r="AB61" s="460"/>
      <c r="AC61" s="460"/>
      <c r="AD61" s="460"/>
      <c r="AE61" s="460"/>
      <c r="AF61" s="460"/>
      <c r="AG61" s="460"/>
      <c r="AH61" s="460"/>
      <c r="AI61" s="460"/>
      <c r="AJ61" s="460"/>
      <c r="AK61" s="460"/>
      <c r="AL61" s="399"/>
      <c r="AM61" s="399"/>
      <c r="AN61" s="399"/>
      <c r="AO61" s="476"/>
      <c r="AP61" s="476"/>
      <c r="AQ61" s="591"/>
      <c r="AS61" s="82">
        <f t="shared" si="0"/>
        <v>0</v>
      </c>
      <c r="AT61" s="311">
        <f t="shared" si="1"/>
        <v>0</v>
      </c>
      <c r="AV61" s="218">
        <f t="shared" si="61"/>
        <v>0</v>
      </c>
      <c r="AW61" s="218">
        <f t="shared" si="61"/>
        <v>0</v>
      </c>
      <c r="AX61" s="219">
        <f t="shared" si="3"/>
        <v>0</v>
      </c>
      <c r="AY61" s="219">
        <f t="shared" si="4"/>
        <v>0</v>
      </c>
      <c r="AZ61" s="136">
        <f t="shared" si="5"/>
        <v>0</v>
      </c>
    </row>
    <row r="62" spans="2:52" s="82" customFormat="1" ht="17.45" hidden="1" customHeight="1" outlineLevel="1">
      <c r="B62" s="372" t="s">
        <v>194</v>
      </c>
      <c r="C62" s="400" t="s">
        <v>385</v>
      </c>
      <c r="D62" s="403">
        <v>44648.270833333336</v>
      </c>
      <c r="E62" s="403">
        <v>44661.833333333336</v>
      </c>
      <c r="F62" s="403">
        <v>44662.923611111109</v>
      </c>
      <c r="G62" s="403">
        <v>44664.652777777781</v>
      </c>
      <c r="H62" s="403">
        <v>44664.729166666664</v>
      </c>
      <c r="I62" s="405">
        <f>+E62-D62+AH62+AK62</f>
        <v>13.5625</v>
      </c>
      <c r="J62" s="406">
        <f>G62-D62</f>
        <v>16.381944444445253</v>
      </c>
      <c r="K62" s="407">
        <v>55000</v>
      </c>
      <c r="L62" s="408"/>
      <c r="M62" s="408">
        <v>55001</v>
      </c>
      <c r="N62" s="408">
        <f t="shared" ref="N62" si="163">L62+M62</f>
        <v>55001</v>
      </c>
      <c r="O62" s="409">
        <v>44677</v>
      </c>
      <c r="P62" s="407" t="s">
        <v>296</v>
      </c>
      <c r="Q62" s="407" t="s">
        <v>278</v>
      </c>
      <c r="R62" s="396" t="s">
        <v>183</v>
      </c>
      <c r="S62" s="396" t="s">
        <v>393</v>
      </c>
      <c r="T62" s="396" t="s">
        <v>394</v>
      </c>
      <c r="U62" s="396" t="s">
        <v>181</v>
      </c>
      <c r="V62" s="396" t="s">
        <v>184</v>
      </c>
      <c r="W62" s="407">
        <v>63371</v>
      </c>
      <c r="X62" s="407">
        <v>35953</v>
      </c>
      <c r="Y62" s="410">
        <v>199</v>
      </c>
      <c r="Z62" s="411">
        <v>11.3</v>
      </c>
      <c r="AA62" s="376">
        <f t="shared" ref="AA62" si="164">IF(E62="","",E62-D62+AH62+AK62)</f>
        <v>13.5625</v>
      </c>
      <c r="AB62" s="376">
        <f t="shared" ref="AB62" si="165">IF(G62="","",G62-D62)</f>
        <v>16.381944444445253</v>
      </c>
      <c r="AC62" s="377">
        <f t="shared" ref="AC62" si="166">IF(H62="","",H62-D62)</f>
        <v>16.458333333328483</v>
      </c>
      <c r="AD62" s="378">
        <f t="shared" ref="AD62" si="167">IF(N62=0,"",((N62/AE62)*24)/24)</f>
        <v>31807.807228826437</v>
      </c>
      <c r="AE62" s="412">
        <f t="shared" ref="AE62" si="168">IF(G62="",0,(G62-F62)-(AJ62-AI62)-(AG62-AF62))</f>
        <v>1.7291666666715173</v>
      </c>
      <c r="AF62" s="411"/>
      <c r="AG62" s="411"/>
      <c r="AH62" s="411">
        <f t="shared" ref="AH62:AH66" si="169">AG62-AF62</f>
        <v>0</v>
      </c>
      <c r="AI62" s="411"/>
      <c r="AJ62" s="411"/>
      <c r="AK62" s="411">
        <f t="shared" ref="AK62:AK66" si="170">AJ62-AI62</f>
        <v>0</v>
      </c>
      <c r="AL62" s="396"/>
      <c r="AM62" s="396" t="s">
        <v>387</v>
      </c>
      <c r="AN62" s="396" t="s">
        <v>388</v>
      </c>
      <c r="AO62" s="414" t="s">
        <v>209</v>
      </c>
      <c r="AP62" s="414"/>
      <c r="AQ62" s="413" t="s">
        <v>407</v>
      </c>
      <c r="AS62" s="82" t="str">
        <f t="shared" si="0"/>
        <v>SGC에너지</v>
      </c>
      <c r="AT62" s="311">
        <f t="shared" si="1"/>
        <v>55000</v>
      </c>
      <c r="AV62" s="218">
        <f t="shared" si="61"/>
        <v>0</v>
      </c>
      <c r="AW62" s="218">
        <f t="shared" si="61"/>
        <v>1</v>
      </c>
      <c r="AX62" s="219">
        <f t="shared" si="3"/>
        <v>0</v>
      </c>
      <c r="AY62" s="219">
        <f t="shared" si="4"/>
        <v>1</v>
      </c>
      <c r="AZ62" s="136">
        <f t="shared" si="5"/>
        <v>1</v>
      </c>
    </row>
    <row r="63" spans="2:52" s="82" customFormat="1" ht="14.25" hidden="1" outlineLevel="1" thickBot="1">
      <c r="B63" s="372"/>
      <c r="C63" s="400"/>
      <c r="D63" s="403"/>
      <c r="E63" s="403"/>
      <c r="F63" s="403"/>
      <c r="G63" s="403"/>
      <c r="H63" s="403"/>
      <c r="I63" s="405"/>
      <c r="J63" s="406"/>
      <c r="K63" s="407"/>
      <c r="L63" s="408"/>
      <c r="M63" s="408"/>
      <c r="N63" s="408">
        <v>0</v>
      </c>
      <c r="O63" s="409"/>
      <c r="P63" s="409"/>
      <c r="Q63" s="407"/>
      <c r="R63" s="396"/>
      <c r="S63" s="396"/>
      <c r="T63" s="396"/>
      <c r="U63" s="396"/>
      <c r="V63" s="396"/>
      <c r="W63" s="407"/>
      <c r="X63" s="407"/>
      <c r="Y63" s="410"/>
      <c r="Z63" s="411"/>
      <c r="AA63" s="411"/>
      <c r="AB63" s="411"/>
      <c r="AC63" s="411"/>
      <c r="AD63" s="378"/>
      <c r="AE63" s="398"/>
      <c r="AF63" s="398"/>
      <c r="AG63" s="398"/>
      <c r="AH63" s="398"/>
      <c r="AI63" s="398"/>
      <c r="AJ63" s="398"/>
      <c r="AK63" s="398"/>
      <c r="AL63" s="396"/>
      <c r="AM63" s="396"/>
      <c r="AN63" s="396"/>
      <c r="AO63" s="414"/>
      <c r="AP63" s="414"/>
      <c r="AQ63" s="418"/>
      <c r="AS63" s="82">
        <f t="shared" si="0"/>
        <v>0</v>
      </c>
      <c r="AT63" s="311">
        <f t="shared" si="1"/>
        <v>0</v>
      </c>
      <c r="AV63" s="218">
        <f t="shared" si="61"/>
        <v>0</v>
      </c>
      <c r="AW63" s="218">
        <f t="shared" si="61"/>
        <v>0</v>
      </c>
      <c r="AX63" s="219">
        <f t="shared" si="3"/>
        <v>0</v>
      </c>
      <c r="AY63" s="219">
        <f t="shared" si="4"/>
        <v>0</v>
      </c>
      <c r="AZ63" s="136">
        <f t="shared" si="5"/>
        <v>0</v>
      </c>
    </row>
    <row r="64" spans="2:52" s="82" customFormat="1" ht="17.45" hidden="1" customHeight="1" outlineLevel="1">
      <c r="B64" s="372" t="s">
        <v>182</v>
      </c>
      <c r="C64" s="400" t="s">
        <v>395</v>
      </c>
      <c r="D64" s="403">
        <v>44657.658333333333</v>
      </c>
      <c r="E64" s="403">
        <v>44661.595833333333</v>
      </c>
      <c r="F64" s="403">
        <v>44661.670138888891</v>
      </c>
      <c r="G64" s="403">
        <v>44663.444444444445</v>
      </c>
      <c r="H64" s="403">
        <v>44663.517361111109</v>
      </c>
      <c r="I64" s="405">
        <f>+E64-D64+AH64+AK64</f>
        <v>3.9375</v>
      </c>
      <c r="J64" s="406">
        <f>G64-D64</f>
        <v>5.7861111111124046</v>
      </c>
      <c r="K64" s="407">
        <v>52500</v>
      </c>
      <c r="L64" s="408">
        <v>52500</v>
      </c>
      <c r="M64" s="408"/>
      <c r="N64" s="408">
        <f t="shared" ref="N64" si="171">L64+M64</f>
        <v>52500</v>
      </c>
      <c r="O64" s="409">
        <v>44677</v>
      </c>
      <c r="P64" s="407" t="s">
        <v>296</v>
      </c>
      <c r="Q64" s="407" t="s">
        <v>413</v>
      </c>
      <c r="R64" s="396" t="s">
        <v>183</v>
      </c>
      <c r="S64" s="396" t="s">
        <v>374</v>
      </c>
      <c r="T64" s="396" t="s">
        <v>394</v>
      </c>
      <c r="U64" s="396" t="s">
        <v>181</v>
      </c>
      <c r="V64" s="396" t="s">
        <v>184</v>
      </c>
      <c r="W64" s="407">
        <v>56563</v>
      </c>
      <c r="X64" s="407">
        <v>32361</v>
      </c>
      <c r="Y64" s="410">
        <v>190</v>
      </c>
      <c r="Z64" s="411">
        <v>12.8</v>
      </c>
      <c r="AA64" s="376">
        <f t="shared" ref="AA64" si="172">IF(E64="","",E64-D64+AH64+AK64)</f>
        <v>3.9375</v>
      </c>
      <c r="AB64" s="376">
        <f t="shared" ref="AB64" si="173">IF(G64="","",G64-D64)</f>
        <v>5.7861111111124046</v>
      </c>
      <c r="AC64" s="377">
        <f t="shared" ref="AC64" si="174">IF(H64="","",H64-D64)</f>
        <v>5.859027777776646</v>
      </c>
      <c r="AD64" s="378">
        <f t="shared" ref="AD64" si="175">IF(N64=0,"",((N64/AE64)*24)/24)</f>
        <v>29589.041095903889</v>
      </c>
      <c r="AE64" s="412">
        <f t="shared" ref="AE64" si="176">IF(G64="",0,(G64-F64)-(AJ64-AI64)-(AG64-AF64))</f>
        <v>1.7743055555547471</v>
      </c>
      <c r="AF64" s="411"/>
      <c r="AG64" s="411"/>
      <c r="AH64" s="411">
        <f t="shared" ref="AH64" si="177">AG64-AF64</f>
        <v>0</v>
      </c>
      <c r="AI64" s="411"/>
      <c r="AJ64" s="411"/>
      <c r="AK64" s="411">
        <f t="shared" ref="AK64" si="178">AJ64-AI64</f>
        <v>0</v>
      </c>
      <c r="AL64" s="396"/>
      <c r="AM64" s="396" t="s">
        <v>396</v>
      </c>
      <c r="AN64" s="396" t="s">
        <v>397</v>
      </c>
      <c r="AO64" s="400" t="s">
        <v>398</v>
      </c>
      <c r="AP64" s="400"/>
      <c r="AQ64" s="401" t="s">
        <v>404</v>
      </c>
      <c r="AS64" s="82" t="str">
        <f t="shared" si="0"/>
        <v>OCI SE</v>
      </c>
      <c r="AT64" s="311">
        <f t="shared" si="1"/>
        <v>52500</v>
      </c>
      <c r="AV64" s="218">
        <f t="shared" si="61"/>
        <v>1</v>
      </c>
      <c r="AW64" s="218">
        <f t="shared" si="61"/>
        <v>0</v>
      </c>
      <c r="AX64" s="219">
        <f t="shared" si="3"/>
        <v>1</v>
      </c>
      <c r="AY64" s="219">
        <f t="shared" si="4"/>
        <v>0</v>
      </c>
      <c r="AZ64" s="136">
        <f t="shared" si="5"/>
        <v>1</v>
      </c>
    </row>
    <row r="65" spans="2:52" s="82" customFormat="1" ht="14.25" hidden="1" outlineLevel="1" thickBot="1">
      <c r="B65" s="372"/>
      <c r="C65" s="400"/>
      <c r="D65" s="403"/>
      <c r="E65" s="403"/>
      <c r="F65" s="403"/>
      <c r="G65" s="403"/>
      <c r="H65" s="403"/>
      <c r="I65" s="405"/>
      <c r="J65" s="406"/>
      <c r="K65" s="407"/>
      <c r="L65" s="408"/>
      <c r="M65" s="408"/>
      <c r="N65" s="408"/>
      <c r="O65" s="409"/>
      <c r="P65" s="409"/>
      <c r="Q65" s="407"/>
      <c r="R65" s="396"/>
      <c r="S65" s="396"/>
      <c r="T65" s="396"/>
      <c r="U65" s="396"/>
      <c r="V65" s="396"/>
      <c r="W65" s="407"/>
      <c r="X65" s="407"/>
      <c r="Y65" s="410"/>
      <c r="Z65" s="411"/>
      <c r="AA65" s="411"/>
      <c r="AB65" s="411"/>
      <c r="AC65" s="411"/>
      <c r="AD65" s="378"/>
      <c r="AE65" s="398"/>
      <c r="AF65" s="398"/>
      <c r="AG65" s="398"/>
      <c r="AH65" s="398"/>
      <c r="AI65" s="398"/>
      <c r="AJ65" s="398"/>
      <c r="AK65" s="398"/>
      <c r="AL65" s="396"/>
      <c r="AM65" s="396"/>
      <c r="AN65" s="396"/>
      <c r="AO65" s="414"/>
      <c r="AP65" s="414"/>
      <c r="AQ65" s="418"/>
      <c r="AS65" s="82">
        <f t="shared" si="0"/>
        <v>0</v>
      </c>
      <c r="AT65" s="311">
        <f t="shared" si="1"/>
        <v>0</v>
      </c>
      <c r="AV65" s="218">
        <f t="shared" si="61"/>
        <v>0</v>
      </c>
      <c r="AW65" s="218">
        <f t="shared" si="61"/>
        <v>0</v>
      </c>
      <c r="AX65" s="219">
        <f t="shared" si="3"/>
        <v>0</v>
      </c>
      <c r="AY65" s="219">
        <f t="shared" si="4"/>
        <v>0</v>
      </c>
      <c r="AZ65" s="136">
        <f t="shared" si="5"/>
        <v>0</v>
      </c>
    </row>
    <row r="66" spans="2:52" s="82" customFormat="1" ht="17.45" hidden="1" customHeight="1" outlineLevel="1">
      <c r="B66" s="372" t="s">
        <v>188</v>
      </c>
      <c r="C66" s="400" t="s">
        <v>371</v>
      </c>
      <c r="D66" s="403">
        <v>44659.236111111109</v>
      </c>
      <c r="E66" s="403">
        <v>44671.465277777781</v>
      </c>
      <c r="F66" s="403">
        <v>44671.909722222219</v>
      </c>
      <c r="G66" s="403">
        <v>44673.993055555555</v>
      </c>
      <c r="H66" s="403">
        <v>44674.048611111109</v>
      </c>
      <c r="I66" s="405">
        <f>+E66-D66+AH66+AK66</f>
        <v>12.229166666671517</v>
      </c>
      <c r="J66" s="406">
        <f>G66-D66</f>
        <v>14.756944444445253</v>
      </c>
      <c r="K66" s="407">
        <v>55000</v>
      </c>
      <c r="L66" s="408"/>
      <c r="M66" s="407">
        <v>55000</v>
      </c>
      <c r="N66" s="408">
        <f t="shared" ref="N66" si="179">L66+M66</f>
        <v>55000</v>
      </c>
      <c r="O66" s="409">
        <v>44677</v>
      </c>
      <c r="P66" s="407" t="s">
        <v>296</v>
      </c>
      <c r="Q66" s="407" t="s">
        <v>278</v>
      </c>
      <c r="R66" s="396" t="s">
        <v>189</v>
      </c>
      <c r="S66" s="396" t="s">
        <v>213</v>
      </c>
      <c r="T66" s="396" t="s">
        <v>190</v>
      </c>
      <c r="U66" s="396" t="s">
        <v>375</v>
      </c>
      <c r="V66" s="396" t="s">
        <v>184</v>
      </c>
      <c r="W66" s="407">
        <v>75443</v>
      </c>
      <c r="X66" s="407">
        <v>40913</v>
      </c>
      <c r="Y66" s="410">
        <v>225</v>
      </c>
      <c r="Z66" s="411">
        <v>12.2</v>
      </c>
      <c r="AA66" s="376">
        <f t="shared" ref="AA66" si="180">IF(E66="","",E66-D66+AH66+AK66)</f>
        <v>12.229166666671517</v>
      </c>
      <c r="AB66" s="376">
        <f t="shared" ref="AB66" si="181">IF(G66="","",G66-D66)</f>
        <v>14.756944444445253</v>
      </c>
      <c r="AC66" s="377">
        <f t="shared" ref="AC66" si="182">IF(H66="","",H66-D66)</f>
        <v>14.8125</v>
      </c>
      <c r="AD66" s="378">
        <f t="shared" ref="AD66" si="183">IF(N66=0,"",((N66/AE66)*24)/24)</f>
        <v>26399.999999969266</v>
      </c>
      <c r="AE66" s="412">
        <f t="shared" ref="AE66" si="184">IF(G66="",0,(G66-F66)-(AJ66-AI66)-(AG66-AF66))</f>
        <v>2.0833333333357587</v>
      </c>
      <c r="AF66" s="411"/>
      <c r="AG66" s="411"/>
      <c r="AH66" s="411">
        <f t="shared" si="169"/>
        <v>0</v>
      </c>
      <c r="AI66" s="411"/>
      <c r="AJ66" s="411"/>
      <c r="AK66" s="411">
        <f t="shared" si="170"/>
        <v>0</v>
      </c>
      <c r="AL66" s="396"/>
      <c r="AM66" s="396" t="s">
        <v>372</v>
      </c>
      <c r="AN66" s="396" t="s">
        <v>373</v>
      </c>
      <c r="AO66" s="400" t="s">
        <v>209</v>
      </c>
      <c r="AP66" s="400"/>
      <c r="AQ66" s="401" t="s">
        <v>420</v>
      </c>
      <c r="AS66" s="82" t="str">
        <f t="shared" si="0"/>
        <v>SNNC</v>
      </c>
      <c r="AT66" s="311">
        <f t="shared" si="1"/>
        <v>55000</v>
      </c>
      <c r="AV66" s="218">
        <f t="shared" si="61"/>
        <v>0</v>
      </c>
      <c r="AW66" s="218">
        <f t="shared" si="61"/>
        <v>1</v>
      </c>
      <c r="AX66" s="219">
        <f t="shared" si="3"/>
        <v>0</v>
      </c>
      <c r="AY66" s="219">
        <f t="shared" si="4"/>
        <v>1</v>
      </c>
      <c r="AZ66" s="136">
        <f t="shared" si="5"/>
        <v>1</v>
      </c>
    </row>
    <row r="67" spans="2:52" s="82" customFormat="1" ht="14.25" hidden="1" outlineLevel="1" thickBot="1">
      <c r="B67" s="372"/>
      <c r="C67" s="581"/>
      <c r="D67" s="403"/>
      <c r="E67" s="403"/>
      <c r="F67" s="403"/>
      <c r="G67" s="403"/>
      <c r="H67" s="403"/>
      <c r="I67" s="405"/>
      <c r="J67" s="406"/>
      <c r="K67" s="407"/>
      <c r="L67" s="408"/>
      <c r="M67" s="407"/>
      <c r="N67" s="408"/>
      <c r="O67" s="409"/>
      <c r="P67" s="407"/>
      <c r="Q67" s="407"/>
      <c r="R67" s="396"/>
      <c r="S67" s="396"/>
      <c r="T67" s="396"/>
      <c r="U67" s="396"/>
      <c r="V67" s="396"/>
      <c r="W67" s="407"/>
      <c r="X67" s="407"/>
      <c r="Y67" s="410"/>
      <c r="Z67" s="411"/>
      <c r="AA67" s="376"/>
      <c r="AB67" s="376"/>
      <c r="AC67" s="377"/>
      <c r="AD67" s="378"/>
      <c r="AE67" s="412"/>
      <c r="AF67" s="411"/>
      <c r="AG67" s="411"/>
      <c r="AH67" s="411"/>
      <c r="AI67" s="411"/>
      <c r="AJ67" s="411"/>
      <c r="AK67" s="411"/>
      <c r="AL67" s="396"/>
      <c r="AM67" s="396"/>
      <c r="AN67" s="396"/>
      <c r="AO67" s="400"/>
      <c r="AP67" s="400"/>
      <c r="AQ67" s="418"/>
      <c r="AS67" s="82">
        <f t="shared" si="0"/>
        <v>0</v>
      </c>
      <c r="AT67" s="311">
        <f t="shared" si="1"/>
        <v>0</v>
      </c>
      <c r="AV67" s="218">
        <f t="shared" si="61"/>
        <v>0</v>
      </c>
      <c r="AW67" s="218">
        <f t="shared" si="61"/>
        <v>0</v>
      </c>
      <c r="AX67" s="219">
        <f t="shared" si="3"/>
        <v>0</v>
      </c>
      <c r="AY67" s="219">
        <f t="shared" si="4"/>
        <v>0</v>
      </c>
      <c r="AZ67" s="136">
        <f t="shared" si="5"/>
        <v>0</v>
      </c>
    </row>
    <row r="68" spans="2:52" s="82" customFormat="1" ht="17.45" hidden="1" customHeight="1" outlineLevel="1" thickBot="1">
      <c r="B68" s="496"/>
      <c r="C68" s="480"/>
      <c r="D68" s="481"/>
      <c r="E68" s="481"/>
      <c r="F68" s="481"/>
      <c r="G68" s="481"/>
      <c r="H68" s="481"/>
      <c r="I68" s="493">
        <f>IFERROR(AVERAGE(I61:I67),0)</f>
        <v>9.9097222222238397</v>
      </c>
      <c r="J68" s="493">
        <f>IFERROR(AVERAGE(J61:J67),0)</f>
        <v>12.308333333334303</v>
      </c>
      <c r="K68" s="485">
        <f>SUM(K61:K67)</f>
        <v>162500</v>
      </c>
      <c r="L68" s="484">
        <f>SUM(L61:L67)</f>
        <v>52500</v>
      </c>
      <c r="M68" s="484">
        <f>SUM(M61:M67)</f>
        <v>110001</v>
      </c>
      <c r="N68" s="483">
        <f>SUM(N61:N67)</f>
        <v>162501</v>
      </c>
      <c r="O68" s="485"/>
      <c r="P68" s="485"/>
      <c r="Q68" s="485"/>
      <c r="R68" s="480"/>
      <c r="S68" s="480"/>
      <c r="T68" s="486"/>
      <c r="U68" s="487"/>
      <c r="V68" s="486"/>
      <c r="W68" s="488"/>
      <c r="X68" s="488"/>
      <c r="Y68" s="489"/>
      <c r="Z68" s="490"/>
      <c r="AA68" s="490"/>
      <c r="AB68" s="490"/>
      <c r="AC68" s="490"/>
      <c r="AD68" s="490"/>
      <c r="AE68" s="490"/>
      <c r="AF68" s="490"/>
      <c r="AG68" s="490"/>
      <c r="AH68" s="490"/>
      <c r="AI68" s="490"/>
      <c r="AJ68" s="490"/>
      <c r="AK68" s="490"/>
      <c r="AL68" s="491"/>
      <c r="AM68" s="491"/>
      <c r="AN68" s="491"/>
      <c r="AO68" s="487"/>
      <c r="AP68" s="487">
        <v>0</v>
      </c>
      <c r="AQ68" s="510"/>
      <c r="AS68" s="82">
        <f t="shared" si="0"/>
        <v>0</v>
      </c>
      <c r="AT68" s="311">
        <f t="shared" si="1"/>
        <v>162500</v>
      </c>
      <c r="AV68" s="218">
        <f t="shared" si="61"/>
        <v>1</v>
      </c>
      <c r="AW68" s="218">
        <f t="shared" si="61"/>
        <v>1</v>
      </c>
      <c r="AX68" s="219">
        <f t="shared" si="3"/>
        <v>0.5</v>
      </c>
      <c r="AY68" s="219">
        <f t="shared" si="4"/>
        <v>0.5</v>
      </c>
      <c r="AZ68" s="136">
        <f t="shared" si="5"/>
        <v>1</v>
      </c>
    </row>
    <row r="69" spans="2:52" ht="14.25" hidden="1" outlineLevel="1" thickBot="1">
      <c r="B69" s="246" t="s">
        <v>245</v>
      </c>
      <c r="C69" s="117"/>
      <c r="D69" s="117"/>
      <c r="E69" s="117"/>
      <c r="F69" s="117"/>
      <c r="G69" s="117"/>
      <c r="H69" s="117"/>
      <c r="I69" s="117"/>
      <c r="J69" s="117"/>
      <c r="K69" s="117"/>
      <c r="L69" s="146"/>
      <c r="M69" s="146"/>
      <c r="N69" s="146"/>
      <c r="O69" s="117"/>
      <c r="P69" s="117"/>
      <c r="Q69" s="117"/>
      <c r="R69" s="117"/>
      <c r="S69" s="117"/>
      <c r="T69" s="475"/>
      <c r="U69" s="117"/>
      <c r="V69" s="117"/>
      <c r="W69" s="117"/>
      <c r="X69" s="117"/>
      <c r="Y69" s="208"/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/>
      <c r="AL69" s="117"/>
      <c r="AM69" s="117"/>
      <c r="AN69" s="117"/>
      <c r="AO69" s="117"/>
      <c r="AP69" s="117"/>
      <c r="AQ69" s="118"/>
      <c r="AS69" s="82" t="str">
        <f t="shared" ref="AS69:AS132" si="185">B69</f>
        <v>2022년 5월 반입 예정 선박리스트</v>
      </c>
      <c r="AT69" s="311">
        <f t="shared" ref="AT69:AT132" si="186">K69</f>
        <v>0</v>
      </c>
      <c r="AU69" s="82"/>
      <c r="AV69" s="218">
        <f t="shared" si="61"/>
        <v>0</v>
      </c>
      <c r="AW69" s="218">
        <f t="shared" si="61"/>
        <v>0</v>
      </c>
      <c r="AX69" s="219">
        <f t="shared" ref="AX69:AX132" si="187">IF(AV69+AW69=2,0.5,AV69)</f>
        <v>0</v>
      </c>
      <c r="AY69" s="219">
        <f t="shared" ref="AY69:AY132" si="188">IF(AV69+AW69=2,0.5,AW69)</f>
        <v>0</v>
      </c>
      <c r="AZ69" s="136">
        <f t="shared" ref="AZ69:AZ132" si="189">AX69+AY69</f>
        <v>0</v>
      </c>
    </row>
    <row r="70" spans="2:52" s="82" customFormat="1" ht="14.25" hidden="1" outlineLevel="1" thickBot="1">
      <c r="B70" s="592"/>
      <c r="C70" s="390"/>
      <c r="D70" s="391"/>
      <c r="E70" s="391"/>
      <c r="F70" s="391"/>
      <c r="G70" s="391"/>
      <c r="H70" s="391"/>
      <c r="I70" s="392"/>
      <c r="J70" s="392"/>
      <c r="K70" s="393"/>
      <c r="L70" s="394"/>
      <c r="M70" s="394"/>
      <c r="N70" s="408">
        <f t="shared" ref="N70:N71" si="190">L70+M70</f>
        <v>0</v>
      </c>
      <c r="O70" s="393"/>
      <c r="P70" s="393"/>
      <c r="Q70" s="393"/>
      <c r="R70" s="395"/>
      <c r="S70" s="395"/>
      <c r="T70" s="395"/>
      <c r="U70" s="396"/>
      <c r="V70" s="396"/>
      <c r="W70" s="393"/>
      <c r="X70" s="393"/>
      <c r="Y70" s="397"/>
      <c r="Z70" s="398"/>
      <c r="AA70" s="460"/>
      <c r="AB70" s="460"/>
      <c r="AC70" s="460"/>
      <c r="AD70" s="460"/>
      <c r="AE70" s="460"/>
      <c r="AF70" s="460"/>
      <c r="AG70" s="460"/>
      <c r="AH70" s="460"/>
      <c r="AI70" s="460"/>
      <c r="AJ70" s="460"/>
      <c r="AK70" s="460"/>
      <c r="AL70" s="399"/>
      <c r="AM70" s="396"/>
      <c r="AN70" s="396"/>
      <c r="AO70" s="400"/>
      <c r="AP70" s="476"/>
      <c r="AQ70" s="401"/>
      <c r="AS70" s="82">
        <f t="shared" si="185"/>
        <v>0</v>
      </c>
      <c r="AT70" s="311">
        <f t="shared" si="186"/>
        <v>0</v>
      </c>
      <c r="AV70" s="218">
        <f t="shared" si="61"/>
        <v>0</v>
      </c>
      <c r="AW70" s="218">
        <f t="shared" si="61"/>
        <v>0</v>
      </c>
      <c r="AX70" s="219">
        <f t="shared" si="187"/>
        <v>0</v>
      </c>
      <c r="AY70" s="219">
        <f t="shared" si="188"/>
        <v>0</v>
      </c>
      <c r="AZ70" s="136">
        <f t="shared" si="189"/>
        <v>0</v>
      </c>
    </row>
    <row r="71" spans="2:52" s="82" customFormat="1" ht="14.25" hidden="1" outlineLevel="1" thickBot="1">
      <c r="B71" s="372" t="s">
        <v>185</v>
      </c>
      <c r="C71" s="400" t="s">
        <v>400</v>
      </c>
      <c r="D71" s="403">
        <v>44667.166666666664</v>
      </c>
      <c r="E71" s="403">
        <v>44681.512499999997</v>
      </c>
      <c r="F71" s="403">
        <v>44682.833333333336</v>
      </c>
      <c r="G71" s="403">
        <v>44685.055555555555</v>
      </c>
      <c r="H71" s="403">
        <v>44685.121527777781</v>
      </c>
      <c r="I71" s="405">
        <f>+E71-D71+AH71+AK71</f>
        <v>14.841666666667152</v>
      </c>
      <c r="J71" s="406">
        <f>G71-D71</f>
        <v>17.888888888890506</v>
      </c>
      <c r="K71" s="407">
        <v>73950</v>
      </c>
      <c r="L71" s="408"/>
      <c r="M71" s="408">
        <v>73950</v>
      </c>
      <c r="N71" s="408">
        <f t="shared" si="190"/>
        <v>73950</v>
      </c>
      <c r="O71" s="409">
        <v>44707</v>
      </c>
      <c r="P71" s="407" t="s">
        <v>296</v>
      </c>
      <c r="Q71" s="407" t="s">
        <v>413</v>
      </c>
      <c r="R71" s="396" t="s">
        <v>183</v>
      </c>
      <c r="S71" s="396" t="s">
        <v>214</v>
      </c>
      <c r="T71" s="396" t="s">
        <v>228</v>
      </c>
      <c r="U71" s="396" t="s">
        <v>192</v>
      </c>
      <c r="V71" s="396" t="s">
        <v>184</v>
      </c>
      <c r="W71" s="407">
        <v>75581</v>
      </c>
      <c r="X71" s="407">
        <v>41830</v>
      </c>
      <c r="Y71" s="410">
        <v>225</v>
      </c>
      <c r="Z71" s="411">
        <v>14.2</v>
      </c>
      <c r="AA71" s="376">
        <f t="shared" ref="AA71" si="191">IF(E71="","",E71-D71+AH71+AK71)</f>
        <v>14.841666666667152</v>
      </c>
      <c r="AB71" s="376">
        <f t="shared" ref="AB71" si="192">IF(G71="","",G71-D71)</f>
        <v>17.888888888890506</v>
      </c>
      <c r="AC71" s="377">
        <f t="shared" ref="AC71" si="193">IF(H71="","",H71-D71)</f>
        <v>17.95486111111677</v>
      </c>
      <c r="AD71" s="378">
        <f t="shared" ref="AD71" si="194">IF(N71=0,"",((N71/AE71)*24)/24)</f>
        <v>42835.076428101085</v>
      </c>
      <c r="AE71" s="412">
        <f t="shared" ref="AE71" si="195">IF(G71="",0,(G71-F71)-(AJ71-AI71)-(AG71-AF71))</f>
        <v>1.726388888884685</v>
      </c>
      <c r="AF71" s="403">
        <v>44682.25</v>
      </c>
      <c r="AG71" s="403">
        <v>44682.745833333334</v>
      </c>
      <c r="AH71" s="411">
        <f t="shared" ref="AH71:AH83" si="196">AG71-AF71</f>
        <v>0.49583333333430346</v>
      </c>
      <c r="AI71" s="411"/>
      <c r="AJ71" s="411"/>
      <c r="AK71" s="411">
        <f t="shared" ref="AK71:AK83" si="197">AJ71-AI71</f>
        <v>0</v>
      </c>
      <c r="AL71" s="396"/>
      <c r="AM71" s="396" t="s">
        <v>409</v>
      </c>
      <c r="AN71" s="396" t="s">
        <v>410</v>
      </c>
      <c r="AO71" s="414" t="s">
        <v>288</v>
      </c>
      <c r="AP71" s="414" t="s">
        <v>309</v>
      </c>
      <c r="AQ71" s="413" t="s">
        <v>431</v>
      </c>
      <c r="AS71" s="82" t="str">
        <f t="shared" si="185"/>
        <v>남동발전</v>
      </c>
      <c r="AT71" s="311">
        <f t="shared" si="186"/>
        <v>73950</v>
      </c>
      <c r="AV71" s="218">
        <f t="shared" si="61"/>
        <v>0</v>
      </c>
      <c r="AW71" s="218">
        <f t="shared" si="61"/>
        <v>1</v>
      </c>
      <c r="AX71" s="219">
        <f t="shared" si="187"/>
        <v>0</v>
      </c>
      <c r="AY71" s="219">
        <f t="shared" si="188"/>
        <v>1</v>
      </c>
      <c r="AZ71" s="136">
        <f t="shared" si="189"/>
        <v>1</v>
      </c>
    </row>
    <row r="72" spans="2:52" s="82" customFormat="1" ht="14.25" hidden="1" outlineLevel="1" thickBot="1">
      <c r="B72" s="372"/>
      <c r="C72" s="400"/>
      <c r="D72" s="403"/>
      <c r="E72" s="403"/>
      <c r="F72" s="403"/>
      <c r="G72" s="403"/>
      <c r="H72" s="403"/>
      <c r="I72" s="405"/>
      <c r="J72" s="406"/>
      <c r="K72" s="407"/>
      <c r="L72" s="408"/>
      <c r="M72" s="408"/>
      <c r="N72" s="408">
        <v>0</v>
      </c>
      <c r="O72" s="409"/>
      <c r="P72" s="409"/>
      <c r="Q72" s="407"/>
      <c r="R72" s="396"/>
      <c r="S72" s="396"/>
      <c r="T72" s="396"/>
      <c r="U72" s="396"/>
      <c r="V72" s="396"/>
      <c r="W72" s="407"/>
      <c r="X72" s="407"/>
      <c r="Y72" s="410"/>
      <c r="Z72" s="411"/>
      <c r="AA72" s="411"/>
      <c r="AB72" s="411"/>
      <c r="AC72" s="411"/>
      <c r="AD72" s="378"/>
      <c r="AE72" s="398"/>
      <c r="AF72" s="398"/>
      <c r="AG72" s="398"/>
      <c r="AH72" s="398"/>
      <c r="AI72" s="398"/>
      <c r="AJ72" s="398"/>
      <c r="AK72" s="398"/>
      <c r="AL72" s="396"/>
      <c r="AM72" s="396"/>
      <c r="AN72" s="396"/>
      <c r="AO72" s="414"/>
      <c r="AP72" s="414"/>
      <c r="AQ72" s="418"/>
      <c r="AS72" s="82">
        <f t="shared" si="185"/>
        <v>0</v>
      </c>
      <c r="AT72" s="311">
        <f t="shared" si="186"/>
        <v>0</v>
      </c>
      <c r="AV72" s="218">
        <f t="shared" si="61"/>
        <v>0</v>
      </c>
      <c r="AW72" s="218">
        <f t="shared" si="61"/>
        <v>0</v>
      </c>
      <c r="AX72" s="219">
        <f t="shared" si="187"/>
        <v>0</v>
      </c>
      <c r="AY72" s="219">
        <f t="shared" si="188"/>
        <v>0</v>
      </c>
      <c r="AZ72" s="136">
        <f t="shared" si="189"/>
        <v>0</v>
      </c>
    </row>
    <row r="73" spans="2:52" s="82" customFormat="1" ht="14.25" hidden="1" outlineLevel="1" thickBot="1">
      <c r="B73" s="372" t="s">
        <v>194</v>
      </c>
      <c r="C73" s="400" t="s">
        <v>405</v>
      </c>
      <c r="D73" s="403">
        <v>44673.279166666667</v>
      </c>
      <c r="E73" s="403">
        <v>44685.35833333333</v>
      </c>
      <c r="F73" s="403">
        <v>44686.104166666664</v>
      </c>
      <c r="G73" s="403">
        <v>44689.0625</v>
      </c>
      <c r="H73" s="403">
        <v>44689.121527777781</v>
      </c>
      <c r="I73" s="405">
        <f>+E73-D73+AH73+AK73</f>
        <v>12.079166666662786</v>
      </c>
      <c r="J73" s="406">
        <f>G73-D73</f>
        <v>15.783333333332848</v>
      </c>
      <c r="K73" s="407">
        <v>65000</v>
      </c>
      <c r="L73" s="408"/>
      <c r="M73" s="408">
        <v>65000</v>
      </c>
      <c r="N73" s="408">
        <f t="shared" ref="N73:N75" si="198">L73+M73</f>
        <v>65000</v>
      </c>
      <c r="O73" s="409">
        <v>44707</v>
      </c>
      <c r="P73" s="407" t="s">
        <v>296</v>
      </c>
      <c r="Q73" s="407" t="s">
        <v>278</v>
      </c>
      <c r="R73" s="396" t="s">
        <v>183</v>
      </c>
      <c r="S73" s="396" t="s">
        <v>393</v>
      </c>
      <c r="T73" s="396" t="s">
        <v>394</v>
      </c>
      <c r="U73" s="396" t="s">
        <v>181</v>
      </c>
      <c r="V73" s="396" t="s">
        <v>184</v>
      </c>
      <c r="W73" s="407">
        <v>79454</v>
      </c>
      <c r="X73" s="407">
        <v>43502</v>
      </c>
      <c r="Y73" s="410">
        <v>229</v>
      </c>
      <c r="Z73" s="411">
        <v>14.6</v>
      </c>
      <c r="AA73" s="376">
        <f t="shared" ref="AA73" si="199">IF(E73="","",E73-D73+AH73+AK73)</f>
        <v>12.079166666662786</v>
      </c>
      <c r="AB73" s="376">
        <f t="shared" ref="AB73" si="200">IF(G73="","",G73-D73)</f>
        <v>15.783333333332848</v>
      </c>
      <c r="AC73" s="377">
        <f t="shared" ref="AC73" si="201">IF(H73="","",H73-D73)</f>
        <v>15.84236111111386</v>
      </c>
      <c r="AD73" s="378">
        <f t="shared" ref="AD73" si="202">IF(N73=0,"",((N73/AE73)*24)/24)</f>
        <v>21971.830985897479</v>
      </c>
      <c r="AE73" s="412">
        <f t="shared" ref="AE73:AE75" si="203">IF(G73="",0,(G73-F73)-(AJ73-AI73)-(AG73-AF73))</f>
        <v>2.9583333333357587</v>
      </c>
      <c r="AF73" s="411"/>
      <c r="AG73" s="411"/>
      <c r="AH73" s="411">
        <f t="shared" si="196"/>
        <v>0</v>
      </c>
      <c r="AI73" s="411"/>
      <c r="AJ73" s="411"/>
      <c r="AK73" s="411">
        <f t="shared" si="197"/>
        <v>0</v>
      </c>
      <c r="AL73" s="396"/>
      <c r="AM73" s="396" t="s">
        <v>411</v>
      </c>
      <c r="AN73" s="396" t="s">
        <v>412</v>
      </c>
      <c r="AO73" s="414" t="s">
        <v>209</v>
      </c>
      <c r="AP73" s="414" t="s">
        <v>309</v>
      </c>
      <c r="AQ73" s="413" t="s">
        <v>407</v>
      </c>
      <c r="AS73" s="82" t="str">
        <f t="shared" si="185"/>
        <v>SGC에너지</v>
      </c>
      <c r="AT73" s="311">
        <f t="shared" si="186"/>
        <v>65000</v>
      </c>
      <c r="AV73" s="218">
        <f t="shared" si="61"/>
        <v>0</v>
      </c>
      <c r="AW73" s="218">
        <f t="shared" si="61"/>
        <v>1</v>
      </c>
      <c r="AX73" s="219">
        <f t="shared" si="187"/>
        <v>0</v>
      </c>
      <c r="AY73" s="219">
        <f t="shared" si="188"/>
        <v>1</v>
      </c>
      <c r="AZ73" s="136">
        <f t="shared" si="189"/>
        <v>1</v>
      </c>
    </row>
    <row r="74" spans="2:52" s="82" customFormat="1" ht="14.25" hidden="1" outlineLevel="1" thickBot="1">
      <c r="B74" s="372"/>
      <c r="C74" s="400"/>
      <c r="D74" s="403"/>
      <c r="E74" s="403"/>
      <c r="F74" s="403"/>
      <c r="G74" s="403"/>
      <c r="H74" s="403"/>
      <c r="I74" s="405"/>
      <c r="J74" s="406"/>
      <c r="K74" s="407"/>
      <c r="L74" s="408"/>
      <c r="M74" s="408"/>
      <c r="N74" s="408">
        <f t="shared" si="198"/>
        <v>0</v>
      </c>
      <c r="O74" s="409"/>
      <c r="P74" s="409"/>
      <c r="Q74" s="407"/>
      <c r="R74" s="396"/>
      <c r="S74" s="396"/>
      <c r="T74" s="396"/>
      <c r="U74" s="396"/>
      <c r="V74" s="396"/>
      <c r="W74" s="407"/>
      <c r="X74" s="407"/>
      <c r="Y74" s="410"/>
      <c r="Z74" s="411"/>
      <c r="AA74" s="411"/>
      <c r="AB74" s="411"/>
      <c r="AC74" s="411"/>
      <c r="AD74" s="378"/>
      <c r="AE74" s="398"/>
      <c r="AF74" s="398"/>
      <c r="AG74" s="398"/>
      <c r="AH74" s="398"/>
      <c r="AI74" s="398"/>
      <c r="AJ74" s="398"/>
      <c r="AK74" s="398"/>
      <c r="AL74" s="396"/>
      <c r="AM74" s="396"/>
      <c r="AN74" s="396"/>
      <c r="AO74" s="414"/>
      <c r="AP74" s="414"/>
      <c r="AQ74" s="418"/>
      <c r="AS74" s="82">
        <f t="shared" si="185"/>
        <v>0</v>
      </c>
      <c r="AT74" s="311">
        <f t="shared" si="186"/>
        <v>0</v>
      </c>
      <c r="AV74" s="218">
        <f t="shared" si="61"/>
        <v>0</v>
      </c>
      <c r="AW74" s="218">
        <f t="shared" si="61"/>
        <v>0</v>
      </c>
      <c r="AX74" s="219">
        <f t="shared" si="187"/>
        <v>0</v>
      </c>
      <c r="AY74" s="219">
        <f t="shared" si="188"/>
        <v>0</v>
      </c>
      <c r="AZ74" s="136">
        <f t="shared" si="189"/>
        <v>0</v>
      </c>
    </row>
    <row r="75" spans="2:52" s="82" customFormat="1" ht="14.25" hidden="1" outlineLevel="1" thickBot="1">
      <c r="B75" s="372" t="s">
        <v>194</v>
      </c>
      <c r="C75" s="400" t="s">
        <v>429</v>
      </c>
      <c r="D75" s="403">
        <v>44689.05</v>
      </c>
      <c r="E75" s="403">
        <v>44691.737500000003</v>
      </c>
      <c r="F75" s="403">
        <v>44691.961805555555</v>
      </c>
      <c r="G75" s="403">
        <v>44695.388888888891</v>
      </c>
      <c r="H75" s="403">
        <v>44695.458333333336</v>
      </c>
      <c r="I75" s="405">
        <f>+E75-D75+AH75+AK75</f>
        <v>2.6875</v>
      </c>
      <c r="J75" s="406">
        <f>G75-D75</f>
        <v>6.3388888888875954</v>
      </c>
      <c r="K75" s="407">
        <v>88000</v>
      </c>
      <c r="L75" s="408">
        <v>88000</v>
      </c>
      <c r="M75" s="408"/>
      <c r="N75" s="408">
        <f t="shared" si="198"/>
        <v>88000</v>
      </c>
      <c r="O75" s="409">
        <v>44707</v>
      </c>
      <c r="P75" s="407" t="s">
        <v>296</v>
      </c>
      <c r="Q75" s="407" t="s">
        <v>287</v>
      </c>
      <c r="R75" s="396" t="s">
        <v>180</v>
      </c>
      <c r="S75" s="396" t="s">
        <v>316</v>
      </c>
      <c r="T75" s="396" t="s">
        <v>432</v>
      </c>
      <c r="U75" s="396" t="s">
        <v>181</v>
      </c>
      <c r="V75" s="396" t="s">
        <v>184</v>
      </c>
      <c r="W75" s="407">
        <v>91439</v>
      </c>
      <c r="X75" s="407">
        <v>50464</v>
      </c>
      <c r="Y75" s="410">
        <v>235</v>
      </c>
      <c r="Z75" s="411">
        <v>12.92</v>
      </c>
      <c r="AA75" s="376">
        <f t="shared" ref="AA75" si="204">IF(E75="","",E75-D75+AH75+AK75)</f>
        <v>2.6875</v>
      </c>
      <c r="AB75" s="376">
        <f t="shared" ref="AB75" si="205">IF(G75="","",G75-D75)</f>
        <v>6.3388888888875954</v>
      </c>
      <c r="AC75" s="377">
        <f t="shared" ref="AC75" si="206">IF(H75="","",H75-D75)</f>
        <v>6.4083333333328483</v>
      </c>
      <c r="AD75" s="378">
        <f t="shared" ref="AD75" si="207">IF(N75=0,"",((N75/AE75)*24)/24)</f>
        <v>25677.811550133803</v>
      </c>
      <c r="AE75" s="412">
        <f t="shared" si="203"/>
        <v>3.4270833333357587</v>
      </c>
      <c r="AF75" s="411"/>
      <c r="AG75" s="411"/>
      <c r="AH75" s="411">
        <f t="shared" si="196"/>
        <v>0</v>
      </c>
      <c r="AI75" s="411"/>
      <c r="AJ75" s="411"/>
      <c r="AK75" s="411">
        <f t="shared" si="197"/>
        <v>0</v>
      </c>
      <c r="AL75" s="396"/>
      <c r="AM75" s="396" t="s">
        <v>422</v>
      </c>
      <c r="AN75" s="396" t="s">
        <v>423</v>
      </c>
      <c r="AO75" s="414" t="s">
        <v>318</v>
      </c>
      <c r="AP75" s="414" t="s">
        <v>309</v>
      </c>
      <c r="AQ75" s="413" t="s">
        <v>406</v>
      </c>
      <c r="AS75" s="82" t="str">
        <f t="shared" si="185"/>
        <v>SGC에너지</v>
      </c>
      <c r="AT75" s="311">
        <f t="shared" si="186"/>
        <v>88000</v>
      </c>
      <c r="AV75" s="218">
        <f t="shared" si="61"/>
        <v>1</v>
      </c>
      <c r="AW75" s="218">
        <f t="shared" si="61"/>
        <v>0</v>
      </c>
      <c r="AX75" s="219">
        <f t="shared" si="187"/>
        <v>1</v>
      </c>
      <c r="AY75" s="219">
        <f t="shared" si="188"/>
        <v>0</v>
      </c>
      <c r="AZ75" s="136">
        <f t="shared" si="189"/>
        <v>1</v>
      </c>
    </row>
    <row r="76" spans="2:52" s="82" customFormat="1" ht="14.25" hidden="1" outlineLevel="1" thickBot="1">
      <c r="B76" s="372"/>
      <c r="C76" s="400"/>
      <c r="D76" s="403"/>
      <c r="E76" s="403"/>
      <c r="F76" s="403"/>
      <c r="G76" s="403"/>
      <c r="H76" s="403"/>
      <c r="I76" s="405"/>
      <c r="J76" s="406"/>
      <c r="K76" s="407"/>
      <c r="L76" s="408"/>
      <c r="M76" s="408"/>
      <c r="N76" s="408">
        <v>0</v>
      </c>
      <c r="O76" s="409"/>
      <c r="P76" s="409"/>
      <c r="Q76" s="407"/>
      <c r="R76" s="396"/>
      <c r="S76" s="396"/>
      <c r="T76" s="396"/>
      <c r="U76" s="396"/>
      <c r="V76" s="396"/>
      <c r="W76" s="407"/>
      <c r="X76" s="407"/>
      <c r="Y76" s="410"/>
      <c r="Z76" s="411"/>
      <c r="AA76" s="411"/>
      <c r="AB76" s="411"/>
      <c r="AC76" s="411"/>
      <c r="AD76" s="378"/>
      <c r="AE76" s="398"/>
      <c r="AF76" s="398"/>
      <c r="AG76" s="398"/>
      <c r="AH76" s="398"/>
      <c r="AI76" s="398"/>
      <c r="AJ76" s="398"/>
      <c r="AK76" s="398"/>
      <c r="AL76" s="396"/>
      <c r="AM76" s="396"/>
      <c r="AN76" s="396"/>
      <c r="AO76" s="414"/>
      <c r="AP76" s="414"/>
      <c r="AQ76" s="418"/>
      <c r="AS76" s="82">
        <f t="shared" si="185"/>
        <v>0</v>
      </c>
      <c r="AT76" s="311">
        <f t="shared" si="186"/>
        <v>0</v>
      </c>
      <c r="AV76" s="218">
        <f t="shared" si="61"/>
        <v>0</v>
      </c>
      <c r="AW76" s="218">
        <f t="shared" si="61"/>
        <v>0</v>
      </c>
      <c r="AX76" s="219">
        <f t="shared" si="187"/>
        <v>0</v>
      </c>
      <c r="AY76" s="219">
        <f t="shared" si="188"/>
        <v>0</v>
      </c>
      <c r="AZ76" s="136">
        <f t="shared" si="189"/>
        <v>0</v>
      </c>
    </row>
    <row r="77" spans="2:52" s="82" customFormat="1" ht="14.25" hidden="1" outlineLevel="1" thickBot="1">
      <c r="B77" s="402" t="s">
        <v>443</v>
      </c>
      <c r="C77" s="400" t="s">
        <v>162</v>
      </c>
      <c r="D77" s="403">
        <v>44693.5</v>
      </c>
      <c r="E77" s="404"/>
      <c r="F77" s="404" t="s">
        <v>441</v>
      </c>
      <c r="G77" s="403">
        <v>44693.5</v>
      </c>
      <c r="H77" s="404"/>
      <c r="I77" s="405"/>
      <c r="J77" s="406"/>
      <c r="K77" s="407">
        <v>8000</v>
      </c>
      <c r="L77" s="407"/>
      <c r="M77" s="407">
        <v>7954</v>
      </c>
      <c r="N77" s="408">
        <f t="shared" ref="N77:N84" si="208">L77+M77</f>
        <v>7954</v>
      </c>
      <c r="O77" s="409">
        <v>44707</v>
      </c>
      <c r="P77" s="409"/>
      <c r="Q77" s="407" t="s">
        <v>162</v>
      </c>
      <c r="R77" s="396" t="s">
        <v>444</v>
      </c>
      <c r="S77" s="396" t="s">
        <v>445</v>
      </c>
      <c r="T77" s="396"/>
      <c r="U77" s="396"/>
      <c r="V77" s="396"/>
      <c r="W77" s="415"/>
      <c r="X77" s="415"/>
      <c r="Y77" s="416"/>
      <c r="Z77" s="417"/>
      <c r="AA77" s="376"/>
      <c r="AB77" s="376"/>
      <c r="AC77" s="377"/>
      <c r="AD77" s="378"/>
      <c r="AE77" s="412"/>
      <c r="AF77" s="411"/>
      <c r="AG77" s="411"/>
      <c r="AH77" s="411">
        <f t="shared" si="196"/>
        <v>0</v>
      </c>
      <c r="AI77" s="411"/>
      <c r="AJ77" s="411"/>
      <c r="AK77" s="411">
        <f t="shared" si="197"/>
        <v>0</v>
      </c>
      <c r="AL77" s="396"/>
      <c r="AM77" s="421"/>
      <c r="AN77" s="421"/>
      <c r="AO77" s="414" t="s">
        <v>442</v>
      </c>
      <c r="AP77" s="414" t="s">
        <v>284</v>
      </c>
      <c r="AQ77" s="413" t="s">
        <v>446</v>
      </c>
      <c r="AS77" s="82" t="str">
        <f t="shared" si="185"/>
        <v>도하기업</v>
      </c>
      <c r="AT77" s="311">
        <f t="shared" si="186"/>
        <v>8000</v>
      </c>
      <c r="AV77" s="218">
        <f t="shared" si="61"/>
        <v>0</v>
      </c>
      <c r="AW77" s="218">
        <f t="shared" si="61"/>
        <v>1</v>
      </c>
      <c r="AX77" s="219">
        <f t="shared" si="187"/>
        <v>0</v>
      </c>
      <c r="AY77" s="219">
        <f t="shared" si="188"/>
        <v>1</v>
      </c>
      <c r="AZ77" s="136">
        <f t="shared" si="189"/>
        <v>1</v>
      </c>
    </row>
    <row r="78" spans="2:52" s="82" customFormat="1" ht="14.25" hidden="1" outlineLevel="1" thickBot="1">
      <c r="B78" s="402"/>
      <c r="C78" s="400"/>
      <c r="D78" s="403"/>
      <c r="E78" s="404"/>
      <c r="F78" s="404"/>
      <c r="G78" s="404"/>
      <c r="H78" s="404"/>
      <c r="I78" s="405"/>
      <c r="J78" s="406"/>
      <c r="K78" s="407"/>
      <c r="L78" s="408"/>
      <c r="M78" s="408"/>
      <c r="N78" s="408">
        <f t="shared" si="208"/>
        <v>0</v>
      </c>
      <c r="O78" s="409"/>
      <c r="P78" s="409"/>
      <c r="Q78" s="407"/>
      <c r="R78" s="396"/>
      <c r="S78" s="396"/>
      <c r="T78" s="396"/>
      <c r="U78" s="396"/>
      <c r="V78" s="396"/>
      <c r="W78" s="415"/>
      <c r="X78" s="415"/>
      <c r="Y78" s="416"/>
      <c r="Z78" s="417"/>
      <c r="AA78" s="376"/>
      <c r="AB78" s="376"/>
      <c r="AC78" s="377"/>
      <c r="AD78" s="378"/>
      <c r="AE78" s="412"/>
      <c r="AF78" s="411"/>
      <c r="AG78" s="411"/>
      <c r="AH78" s="411"/>
      <c r="AI78" s="411"/>
      <c r="AJ78" s="411"/>
      <c r="AK78" s="411"/>
      <c r="AL78" s="396"/>
      <c r="AM78" s="421"/>
      <c r="AN78" s="421"/>
      <c r="AO78" s="414"/>
      <c r="AP78" s="414"/>
      <c r="AQ78" s="418"/>
      <c r="AS78" s="82">
        <f t="shared" si="185"/>
        <v>0</v>
      </c>
      <c r="AT78" s="311">
        <f t="shared" si="186"/>
        <v>0</v>
      </c>
      <c r="AV78" s="218">
        <f t="shared" si="61"/>
        <v>0</v>
      </c>
      <c r="AW78" s="218">
        <f t="shared" si="61"/>
        <v>0</v>
      </c>
      <c r="AX78" s="219">
        <f t="shared" si="187"/>
        <v>0</v>
      </c>
      <c r="AY78" s="219">
        <f t="shared" si="188"/>
        <v>0</v>
      </c>
      <c r="AZ78" s="136">
        <f t="shared" si="189"/>
        <v>0</v>
      </c>
    </row>
    <row r="79" spans="2:52" s="82" customFormat="1" ht="27.75" hidden="1" outlineLevel="1" thickBot="1">
      <c r="B79" s="372" t="s">
        <v>188</v>
      </c>
      <c r="C79" s="400" t="s">
        <v>430</v>
      </c>
      <c r="D79" s="403">
        <v>44697.25</v>
      </c>
      <c r="E79" s="403">
        <v>44708.379166666666</v>
      </c>
      <c r="F79" s="403">
        <v>44708.444444444445</v>
      </c>
      <c r="G79" s="403">
        <v>44712.368055555555</v>
      </c>
      <c r="H79" s="403">
        <v>44712.420138888891</v>
      </c>
      <c r="I79" s="405">
        <f>+E79-D79+AH79+AK79</f>
        <v>11.129166666665697</v>
      </c>
      <c r="J79" s="406">
        <f>G79-D79</f>
        <v>15.118055555554747</v>
      </c>
      <c r="K79" s="407">
        <v>55000</v>
      </c>
      <c r="L79" s="408">
        <v>55000</v>
      </c>
      <c r="M79" s="407"/>
      <c r="N79" s="408">
        <f t="shared" si="208"/>
        <v>55000</v>
      </c>
      <c r="O79" s="409">
        <v>44707</v>
      </c>
      <c r="P79" s="407"/>
      <c r="Q79" s="407" t="s">
        <v>287</v>
      </c>
      <c r="R79" s="396" t="s">
        <v>189</v>
      </c>
      <c r="S79" s="396" t="s">
        <v>356</v>
      </c>
      <c r="T79" s="396" t="s">
        <v>324</v>
      </c>
      <c r="U79" s="396" t="s">
        <v>436</v>
      </c>
      <c r="V79" s="396" t="s">
        <v>191</v>
      </c>
      <c r="W79" s="407">
        <v>178050</v>
      </c>
      <c r="X79" s="407">
        <v>91385</v>
      </c>
      <c r="Y79" s="410">
        <v>292</v>
      </c>
      <c r="Z79" s="411">
        <v>18.2</v>
      </c>
      <c r="AA79" s="376">
        <f t="shared" ref="AA79" si="209">IF(E79="","",E79-D79+AH79+AK79)</f>
        <v>11.129166666665697</v>
      </c>
      <c r="AB79" s="376">
        <f t="shared" ref="AB79" si="210">IF(G79="","",G79-D79)</f>
        <v>15.118055555554747</v>
      </c>
      <c r="AC79" s="377">
        <f t="shared" ref="AC79" si="211">IF(H79="","",H79-D79)</f>
        <v>15.170138888890506</v>
      </c>
      <c r="AD79" s="378">
        <f t="shared" ref="AD79" si="212">IF(N79=0,"",((N79/AE79)*24)/24)</f>
        <v>14017.699115050023</v>
      </c>
      <c r="AE79" s="412">
        <f t="shared" ref="AE79:AE81" si="213">IF(G79="",0,(G79-F79)-(AJ79-AI79)-(AG79-AF79))</f>
        <v>3.9236111111094942</v>
      </c>
      <c r="AF79" s="411"/>
      <c r="AG79" s="411"/>
      <c r="AH79" s="411">
        <f t="shared" si="196"/>
        <v>0</v>
      </c>
      <c r="AI79" s="411"/>
      <c r="AJ79" s="411"/>
      <c r="AK79" s="411">
        <f t="shared" si="197"/>
        <v>0</v>
      </c>
      <c r="AL79" s="396"/>
      <c r="AM79" s="396" t="s">
        <v>433</v>
      </c>
      <c r="AN79" s="396" t="s">
        <v>434</v>
      </c>
      <c r="AO79" s="400" t="s">
        <v>336</v>
      </c>
      <c r="AP79" s="400" t="s">
        <v>284</v>
      </c>
      <c r="AQ79" s="413" t="s">
        <v>457</v>
      </c>
      <c r="AS79" s="82" t="str">
        <f t="shared" si="185"/>
        <v>SNNC</v>
      </c>
      <c r="AT79" s="311">
        <f t="shared" si="186"/>
        <v>55000</v>
      </c>
      <c r="AV79" s="218">
        <f t="shared" si="61"/>
        <v>1</v>
      </c>
      <c r="AW79" s="218">
        <f t="shared" si="61"/>
        <v>0</v>
      </c>
      <c r="AX79" s="219">
        <f t="shared" si="187"/>
        <v>1</v>
      </c>
      <c r="AY79" s="219">
        <f t="shared" si="188"/>
        <v>0</v>
      </c>
      <c r="AZ79" s="136">
        <f t="shared" si="189"/>
        <v>1</v>
      </c>
    </row>
    <row r="80" spans="2:52" s="82" customFormat="1" ht="14.25" hidden="1" outlineLevel="1" thickBot="1">
      <c r="B80" s="372"/>
      <c r="C80" s="581"/>
      <c r="D80" s="403"/>
      <c r="E80" s="403"/>
      <c r="F80" s="403"/>
      <c r="G80" s="403"/>
      <c r="H80" s="403"/>
      <c r="I80" s="405"/>
      <c r="J80" s="406"/>
      <c r="K80" s="407"/>
      <c r="L80" s="408"/>
      <c r="M80" s="407"/>
      <c r="N80" s="408"/>
      <c r="O80" s="409"/>
      <c r="P80" s="407"/>
      <c r="Q80" s="407"/>
      <c r="R80" s="396"/>
      <c r="S80" s="396"/>
      <c r="T80" s="396"/>
      <c r="U80" s="396"/>
      <c r="V80" s="396"/>
      <c r="W80" s="407"/>
      <c r="X80" s="407"/>
      <c r="Y80" s="410"/>
      <c r="Z80" s="411"/>
      <c r="AA80" s="376"/>
      <c r="AB80" s="376"/>
      <c r="AC80" s="377"/>
      <c r="AD80" s="378"/>
      <c r="AE80" s="412"/>
      <c r="AF80" s="411"/>
      <c r="AG80" s="411"/>
      <c r="AH80" s="411"/>
      <c r="AI80" s="411"/>
      <c r="AJ80" s="411"/>
      <c r="AK80" s="411"/>
      <c r="AL80" s="396"/>
      <c r="AM80" s="396"/>
      <c r="AN80" s="396"/>
      <c r="AO80" s="400"/>
      <c r="AP80" s="400"/>
      <c r="AQ80" s="418"/>
      <c r="AS80" s="82">
        <f t="shared" si="185"/>
        <v>0</v>
      </c>
      <c r="AT80" s="311">
        <f t="shared" si="186"/>
        <v>0</v>
      </c>
      <c r="AV80" s="218">
        <f t="shared" si="61"/>
        <v>0</v>
      </c>
      <c r="AW80" s="218">
        <f t="shared" si="61"/>
        <v>0</v>
      </c>
      <c r="AX80" s="219">
        <f t="shared" si="187"/>
        <v>0</v>
      </c>
      <c r="AY80" s="219">
        <f t="shared" si="188"/>
        <v>0</v>
      </c>
      <c r="AZ80" s="136">
        <f t="shared" si="189"/>
        <v>0</v>
      </c>
    </row>
    <row r="81" spans="2:52" s="82" customFormat="1" ht="14.25" hidden="1" outlineLevel="1" thickBot="1">
      <c r="B81" s="372" t="s">
        <v>182</v>
      </c>
      <c r="C81" s="400" t="s">
        <v>421</v>
      </c>
      <c r="D81" s="403">
        <v>44701.6875</v>
      </c>
      <c r="E81" s="403">
        <v>44708.097222222219</v>
      </c>
      <c r="F81" s="403">
        <v>44708.618055555555</v>
      </c>
      <c r="G81" s="403">
        <v>44710.388888888891</v>
      </c>
      <c r="H81" s="403">
        <v>44710.447916666664</v>
      </c>
      <c r="I81" s="405">
        <f>+E81-D81+AH81+AK81</f>
        <v>6.4097222222189885</v>
      </c>
      <c r="J81" s="406">
        <f>G81-D81</f>
        <v>8.7013888888905058</v>
      </c>
      <c r="K81" s="407">
        <v>52500</v>
      </c>
      <c r="L81" s="408"/>
      <c r="M81" s="408">
        <v>52500</v>
      </c>
      <c r="N81" s="408">
        <f t="shared" si="208"/>
        <v>52500</v>
      </c>
      <c r="O81" s="409">
        <v>44707</v>
      </c>
      <c r="P81" s="407" t="s">
        <v>296</v>
      </c>
      <c r="Q81" s="407" t="s">
        <v>278</v>
      </c>
      <c r="R81" s="396" t="s">
        <v>183</v>
      </c>
      <c r="S81" s="396" t="s">
        <v>374</v>
      </c>
      <c r="T81" s="396" t="s">
        <v>424</v>
      </c>
      <c r="U81" s="396" t="s">
        <v>181</v>
      </c>
      <c r="V81" s="396" t="s">
        <v>184</v>
      </c>
      <c r="W81" s="407">
        <v>55946</v>
      </c>
      <c r="X81" s="407">
        <v>31754</v>
      </c>
      <c r="Y81" s="410">
        <v>190</v>
      </c>
      <c r="Z81" s="411">
        <v>12.7</v>
      </c>
      <c r="AA81" s="376">
        <f t="shared" ref="AA81" si="214">IF(E81="","",E81-D81+AH81+AK81)</f>
        <v>6.4097222222189885</v>
      </c>
      <c r="AB81" s="376">
        <f t="shared" ref="AB81" si="215">IF(G81="","",G81-D81)</f>
        <v>8.7013888888905058</v>
      </c>
      <c r="AC81" s="377">
        <f t="shared" ref="AC81" si="216">IF(H81="","",H81-D81)</f>
        <v>8.7604166666642413</v>
      </c>
      <c r="AD81" s="378">
        <f t="shared" ref="AD81" si="217">IF(N81=0,"",((N81/AE81)*24)/24)</f>
        <v>29647.058823488809</v>
      </c>
      <c r="AE81" s="412">
        <f t="shared" si="213"/>
        <v>1.7708333333357587</v>
      </c>
      <c r="AF81" s="411"/>
      <c r="AG81" s="411"/>
      <c r="AH81" s="411">
        <f t="shared" si="196"/>
        <v>0</v>
      </c>
      <c r="AI81" s="411"/>
      <c r="AJ81" s="411"/>
      <c r="AK81" s="411">
        <f t="shared" si="197"/>
        <v>0</v>
      </c>
      <c r="AL81" s="396"/>
      <c r="AM81" s="396" t="s">
        <v>425</v>
      </c>
      <c r="AN81" s="396" t="s">
        <v>426</v>
      </c>
      <c r="AO81" s="414" t="s">
        <v>307</v>
      </c>
      <c r="AP81" s="414" t="s">
        <v>309</v>
      </c>
      <c r="AQ81" s="413" t="s">
        <v>454</v>
      </c>
      <c r="AS81" s="82" t="str">
        <f t="shared" si="185"/>
        <v>OCI SE</v>
      </c>
      <c r="AT81" s="311">
        <f t="shared" si="186"/>
        <v>52500</v>
      </c>
      <c r="AV81" s="218">
        <f t="shared" si="61"/>
        <v>0</v>
      </c>
      <c r="AW81" s="218">
        <f t="shared" si="61"/>
        <v>1</v>
      </c>
      <c r="AX81" s="219">
        <f t="shared" si="187"/>
        <v>0</v>
      </c>
      <c r="AY81" s="219">
        <f t="shared" si="188"/>
        <v>1</v>
      </c>
      <c r="AZ81" s="136">
        <f t="shared" si="189"/>
        <v>1</v>
      </c>
    </row>
    <row r="82" spans="2:52" s="82" customFormat="1" ht="14.25" hidden="1" outlineLevel="1" thickBot="1">
      <c r="B82" s="372"/>
      <c r="C82" s="400"/>
      <c r="D82" s="403"/>
      <c r="E82" s="403"/>
      <c r="F82" s="403"/>
      <c r="G82" s="403"/>
      <c r="H82" s="403"/>
      <c r="I82" s="405"/>
      <c r="J82" s="406"/>
      <c r="K82" s="407"/>
      <c r="L82" s="408"/>
      <c r="M82" s="408"/>
      <c r="N82" s="408">
        <v>0</v>
      </c>
      <c r="O82" s="409"/>
      <c r="P82" s="409"/>
      <c r="Q82" s="407"/>
      <c r="R82" s="396"/>
      <c r="S82" s="396"/>
      <c r="T82" s="396"/>
      <c r="U82" s="396"/>
      <c r="V82" s="396"/>
      <c r="W82" s="407"/>
      <c r="X82" s="407"/>
      <c r="Y82" s="410"/>
      <c r="Z82" s="411"/>
      <c r="AA82" s="411"/>
      <c r="AB82" s="411"/>
      <c r="AC82" s="411"/>
      <c r="AD82" s="378"/>
      <c r="AE82" s="398"/>
      <c r="AF82" s="398"/>
      <c r="AG82" s="398"/>
      <c r="AH82" s="398"/>
      <c r="AI82" s="398"/>
      <c r="AJ82" s="398"/>
      <c r="AK82" s="398"/>
      <c r="AL82" s="396"/>
      <c r="AM82" s="396"/>
      <c r="AN82" s="396"/>
      <c r="AO82" s="414"/>
      <c r="AP82" s="414"/>
      <c r="AQ82" s="418"/>
      <c r="AS82" s="82">
        <f t="shared" si="185"/>
        <v>0</v>
      </c>
      <c r="AT82" s="311">
        <f t="shared" si="186"/>
        <v>0</v>
      </c>
      <c r="AV82" s="218">
        <f t="shared" si="61"/>
        <v>0</v>
      </c>
      <c r="AW82" s="218">
        <f t="shared" si="61"/>
        <v>0</v>
      </c>
      <c r="AX82" s="219">
        <f t="shared" si="187"/>
        <v>0</v>
      </c>
      <c r="AY82" s="219">
        <f t="shared" si="188"/>
        <v>0</v>
      </c>
      <c r="AZ82" s="136">
        <f t="shared" si="189"/>
        <v>0</v>
      </c>
    </row>
    <row r="83" spans="2:52" s="82" customFormat="1" ht="14.25" hidden="1" outlineLevel="1" thickBot="1">
      <c r="B83" s="372" t="s">
        <v>185</v>
      </c>
      <c r="C83" s="400" t="s">
        <v>455</v>
      </c>
      <c r="D83" s="403">
        <v>44704.074999999997</v>
      </c>
      <c r="E83" s="403">
        <v>44707.8</v>
      </c>
      <c r="F83" s="403">
        <v>44707.847222222219</v>
      </c>
      <c r="G83" s="403">
        <v>44708.166666666664</v>
      </c>
      <c r="H83" s="403">
        <v>44708.246527777781</v>
      </c>
      <c r="I83" s="405">
        <f>+E83-D83+AH83+AK83</f>
        <v>3.7250000000058208</v>
      </c>
      <c r="J83" s="406">
        <f>G83-D83</f>
        <v>4.0916666666671517</v>
      </c>
      <c r="K83" s="407">
        <v>18000</v>
      </c>
      <c r="L83" s="408"/>
      <c r="M83" s="408">
        <v>18000</v>
      </c>
      <c r="N83" s="408">
        <f t="shared" si="208"/>
        <v>18000</v>
      </c>
      <c r="O83" s="409">
        <v>44707</v>
      </c>
      <c r="P83" s="407" t="s">
        <v>296</v>
      </c>
      <c r="Q83" s="407" t="s">
        <v>287</v>
      </c>
      <c r="R83" s="396" t="s">
        <v>183</v>
      </c>
      <c r="S83" s="396" t="s">
        <v>458</v>
      </c>
      <c r="T83" s="396" t="s">
        <v>228</v>
      </c>
      <c r="U83" s="396" t="s">
        <v>181</v>
      </c>
      <c r="V83" s="396" t="s">
        <v>184</v>
      </c>
      <c r="W83" s="407">
        <v>93328</v>
      </c>
      <c r="X83" s="407">
        <v>51158</v>
      </c>
      <c r="Y83" s="410">
        <v>229</v>
      </c>
      <c r="Z83" s="411">
        <v>14.8</v>
      </c>
      <c r="AA83" s="376">
        <f t="shared" ref="AA83" si="218">IF(E83="","",E83-D83+AH83+AK83)</f>
        <v>3.7250000000058208</v>
      </c>
      <c r="AB83" s="376">
        <f t="shared" ref="AB83" si="219">IF(G83="","",G83-D83)</f>
        <v>4.0916666666671517</v>
      </c>
      <c r="AC83" s="377">
        <f t="shared" ref="AC83" si="220">IF(H83="","",H83-D83)</f>
        <v>4.1715277777839219</v>
      </c>
      <c r="AD83" s="378">
        <f t="shared" ref="AD83" si="221">IF(N83=0,"",((N83/AE83)*24)/24)</f>
        <v>56347.826086813911</v>
      </c>
      <c r="AE83" s="412">
        <f t="shared" ref="AE83" si="222">IF(G83="",0,(G83-F83)-(AJ83-AI83)-(AG83-AF83))</f>
        <v>0.31944444444525288</v>
      </c>
      <c r="AF83" s="411"/>
      <c r="AG83" s="411"/>
      <c r="AH83" s="411">
        <f t="shared" si="196"/>
        <v>0</v>
      </c>
      <c r="AI83" s="411"/>
      <c r="AJ83" s="411"/>
      <c r="AK83" s="411">
        <f t="shared" si="197"/>
        <v>0</v>
      </c>
      <c r="AL83" s="396"/>
      <c r="AM83" s="396" t="s">
        <v>217</v>
      </c>
      <c r="AN83" s="396" t="s">
        <v>218</v>
      </c>
      <c r="AO83" s="414" t="s">
        <v>288</v>
      </c>
      <c r="AP83" s="414" t="s">
        <v>309</v>
      </c>
      <c r="AQ83" s="413" t="s">
        <v>459</v>
      </c>
      <c r="AS83" s="82" t="str">
        <f t="shared" si="185"/>
        <v>남동발전</v>
      </c>
      <c r="AT83" s="311">
        <f t="shared" si="186"/>
        <v>18000</v>
      </c>
      <c r="AV83" s="218">
        <f t="shared" si="61"/>
        <v>0</v>
      </c>
      <c r="AW83" s="218">
        <f t="shared" si="61"/>
        <v>1</v>
      </c>
      <c r="AX83" s="219">
        <f t="shared" si="187"/>
        <v>0</v>
      </c>
      <c r="AY83" s="219">
        <f t="shared" si="188"/>
        <v>1</v>
      </c>
      <c r="AZ83" s="136">
        <f t="shared" si="189"/>
        <v>1</v>
      </c>
    </row>
    <row r="84" spans="2:52" s="82" customFormat="1" ht="14.25" hidden="1" outlineLevel="1" thickBot="1">
      <c r="B84" s="372"/>
      <c r="C84" s="400"/>
      <c r="D84" s="403"/>
      <c r="E84" s="403"/>
      <c r="F84" s="403"/>
      <c r="G84" s="403"/>
      <c r="H84" s="403"/>
      <c r="I84" s="405"/>
      <c r="J84" s="406"/>
      <c r="K84" s="407"/>
      <c r="L84" s="408"/>
      <c r="M84" s="408"/>
      <c r="N84" s="408">
        <f t="shared" si="208"/>
        <v>0</v>
      </c>
      <c r="O84" s="409"/>
      <c r="P84" s="409"/>
      <c r="Q84" s="407"/>
      <c r="R84" s="396"/>
      <c r="S84" s="396"/>
      <c r="T84" s="396"/>
      <c r="U84" s="396"/>
      <c r="V84" s="396"/>
      <c r="W84" s="407"/>
      <c r="X84" s="407"/>
      <c r="Y84" s="410"/>
      <c r="Z84" s="411"/>
      <c r="AA84" s="411"/>
      <c r="AB84" s="411"/>
      <c r="AC84" s="411"/>
      <c r="AD84" s="378"/>
      <c r="AE84" s="398"/>
      <c r="AF84" s="398"/>
      <c r="AG84" s="398"/>
      <c r="AH84" s="398"/>
      <c r="AI84" s="398"/>
      <c r="AJ84" s="398"/>
      <c r="AK84" s="398"/>
      <c r="AL84" s="396"/>
      <c r="AM84" s="396"/>
      <c r="AN84" s="396"/>
      <c r="AO84" s="414"/>
      <c r="AP84" s="414"/>
      <c r="AQ84" s="418"/>
      <c r="AS84" s="82">
        <f t="shared" si="185"/>
        <v>0</v>
      </c>
      <c r="AT84" s="311">
        <f t="shared" si="186"/>
        <v>0</v>
      </c>
      <c r="AV84" s="218">
        <f t="shared" si="61"/>
        <v>0</v>
      </c>
      <c r="AW84" s="218">
        <f t="shared" si="61"/>
        <v>0</v>
      </c>
      <c r="AX84" s="219">
        <f t="shared" si="187"/>
        <v>0</v>
      </c>
      <c r="AY84" s="219">
        <f t="shared" si="188"/>
        <v>0</v>
      </c>
      <c r="AZ84" s="136">
        <f t="shared" si="189"/>
        <v>0</v>
      </c>
    </row>
    <row r="85" spans="2:52" s="82" customFormat="1" ht="14.25" hidden="1" outlineLevel="1" thickBot="1">
      <c r="B85" s="495"/>
      <c r="C85" s="480"/>
      <c r="D85" s="481"/>
      <c r="E85" s="481"/>
      <c r="F85" s="481"/>
      <c r="G85" s="481"/>
      <c r="H85" s="481"/>
      <c r="I85" s="493">
        <f>IFERROR(AVERAGE(I70:I84),0)</f>
        <v>8.4787037037034079</v>
      </c>
      <c r="J85" s="493">
        <f>IFERROR(AVERAGE(J70:J84),0)</f>
        <v>11.32037037037056</v>
      </c>
      <c r="K85" s="485">
        <f>SUM(K70:K84)</f>
        <v>360450</v>
      </c>
      <c r="L85" s="484">
        <f>SUM(L70:L84)</f>
        <v>143000</v>
      </c>
      <c r="M85" s="484">
        <f>SUM(M70:M84)</f>
        <v>217404</v>
      </c>
      <c r="N85" s="483">
        <f>SUM(N70:N84)</f>
        <v>360404</v>
      </c>
      <c r="O85" s="485"/>
      <c r="P85" s="485"/>
      <c r="Q85" s="485"/>
      <c r="R85" s="480"/>
      <c r="S85" s="480"/>
      <c r="T85" s="486"/>
      <c r="U85" s="487"/>
      <c r="V85" s="486"/>
      <c r="W85" s="488"/>
      <c r="X85" s="488"/>
      <c r="Y85" s="489"/>
      <c r="Z85" s="490"/>
      <c r="AA85" s="490"/>
      <c r="AB85" s="490"/>
      <c r="AC85" s="490"/>
      <c r="AD85" s="490"/>
      <c r="AE85" s="490"/>
      <c r="AF85" s="490"/>
      <c r="AG85" s="490"/>
      <c r="AH85" s="490"/>
      <c r="AI85" s="490"/>
      <c r="AJ85" s="490"/>
      <c r="AK85" s="490"/>
      <c r="AL85" s="491"/>
      <c r="AM85" s="491"/>
      <c r="AN85" s="491"/>
      <c r="AO85" s="487"/>
      <c r="AP85" s="487"/>
      <c r="AQ85" s="492"/>
      <c r="AS85" s="82">
        <f t="shared" si="185"/>
        <v>0</v>
      </c>
      <c r="AT85" s="311">
        <f t="shared" si="186"/>
        <v>360450</v>
      </c>
      <c r="AV85" s="218">
        <f t="shared" ref="AV85:AW150" si="223">IF(L85=0,0,1)</f>
        <v>1</v>
      </c>
      <c r="AW85" s="218">
        <f t="shared" si="223"/>
        <v>1</v>
      </c>
      <c r="AX85" s="219">
        <f t="shared" si="187"/>
        <v>0.5</v>
      </c>
      <c r="AY85" s="219">
        <f t="shared" si="188"/>
        <v>0.5</v>
      </c>
      <c r="AZ85" s="136">
        <f t="shared" si="189"/>
        <v>1</v>
      </c>
    </row>
    <row r="86" spans="2:52" ht="24.95" hidden="1" customHeight="1" outlineLevel="1" thickBot="1">
      <c r="B86" s="246" t="s">
        <v>246</v>
      </c>
      <c r="C86" s="117"/>
      <c r="D86" s="117"/>
      <c r="E86" s="117"/>
      <c r="F86" s="117"/>
      <c r="G86" s="117"/>
      <c r="H86" s="117"/>
      <c r="I86" s="117"/>
      <c r="J86" s="117"/>
      <c r="K86" s="117"/>
      <c r="L86" s="146"/>
      <c r="M86" s="146"/>
      <c r="N86" s="146"/>
      <c r="O86" s="117"/>
      <c r="P86" s="117"/>
      <c r="Q86" s="117"/>
      <c r="R86" s="117"/>
      <c r="S86" s="117"/>
      <c r="T86" s="475"/>
      <c r="U86" s="117"/>
      <c r="V86" s="117"/>
      <c r="W86" s="117"/>
      <c r="X86" s="117"/>
      <c r="Y86" s="208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7"/>
      <c r="AL86" s="117"/>
      <c r="AM86" s="117"/>
      <c r="AN86" s="117"/>
      <c r="AO86" s="117"/>
      <c r="AP86" s="117"/>
      <c r="AQ86" s="118"/>
      <c r="AS86" s="82" t="str">
        <f t="shared" si="185"/>
        <v>2022년 6월 반입 예정 선박리스트</v>
      </c>
      <c r="AT86" s="311">
        <f t="shared" si="186"/>
        <v>0</v>
      </c>
      <c r="AU86" s="82"/>
      <c r="AV86" s="218">
        <f t="shared" si="223"/>
        <v>0</v>
      </c>
      <c r="AW86" s="218">
        <f t="shared" si="223"/>
        <v>0</v>
      </c>
      <c r="AX86" s="219">
        <f t="shared" si="187"/>
        <v>0</v>
      </c>
      <c r="AY86" s="219">
        <f t="shared" si="188"/>
        <v>0</v>
      </c>
      <c r="AZ86" s="136">
        <f t="shared" si="189"/>
        <v>0</v>
      </c>
    </row>
    <row r="87" spans="2:52" ht="17.45" hidden="1" customHeight="1" outlineLevel="1">
      <c r="B87" s="389"/>
      <c r="C87" s="390"/>
      <c r="D87" s="391"/>
      <c r="E87" s="391"/>
      <c r="F87" s="391"/>
      <c r="G87" s="391"/>
      <c r="H87" s="391"/>
      <c r="I87" s="392"/>
      <c r="J87" s="392"/>
      <c r="K87" s="393"/>
      <c r="L87" s="394"/>
      <c r="M87" s="394"/>
      <c r="N87" s="394"/>
      <c r="O87" s="393"/>
      <c r="P87" s="393"/>
      <c r="Q87" s="393"/>
      <c r="R87" s="395"/>
      <c r="S87" s="395"/>
      <c r="T87" s="395"/>
      <c r="U87" s="396"/>
      <c r="V87" s="396"/>
      <c r="W87" s="393"/>
      <c r="X87" s="393"/>
      <c r="Y87" s="397"/>
      <c r="Z87" s="398"/>
      <c r="AA87" s="460"/>
      <c r="AB87" s="460"/>
      <c r="AC87" s="460"/>
      <c r="AD87" s="460"/>
      <c r="AE87" s="460"/>
      <c r="AF87" s="460"/>
      <c r="AG87" s="460"/>
      <c r="AH87" s="460"/>
      <c r="AI87" s="460"/>
      <c r="AJ87" s="460"/>
      <c r="AK87" s="460"/>
      <c r="AL87" s="399"/>
      <c r="AM87" s="396"/>
      <c r="AN87" s="396"/>
      <c r="AO87" s="400"/>
      <c r="AP87" s="476"/>
      <c r="AQ87" s="401"/>
      <c r="AS87" s="82">
        <f t="shared" si="185"/>
        <v>0</v>
      </c>
      <c r="AT87" s="311">
        <f t="shared" si="186"/>
        <v>0</v>
      </c>
      <c r="AU87" s="82"/>
      <c r="AV87" s="218">
        <f t="shared" si="223"/>
        <v>0</v>
      </c>
      <c r="AW87" s="218">
        <f t="shared" si="223"/>
        <v>0</v>
      </c>
      <c r="AX87" s="219">
        <f t="shared" si="187"/>
        <v>0</v>
      </c>
      <c r="AY87" s="219">
        <f t="shared" si="188"/>
        <v>0</v>
      </c>
      <c r="AZ87" s="136">
        <f t="shared" si="189"/>
        <v>0</v>
      </c>
    </row>
    <row r="88" spans="2:52" s="82" customFormat="1" ht="17.45" hidden="1" customHeight="1" outlineLevel="1">
      <c r="B88" s="372" t="s">
        <v>187</v>
      </c>
      <c r="C88" s="400" t="s">
        <v>449</v>
      </c>
      <c r="D88" s="403">
        <v>44702.85833333333</v>
      </c>
      <c r="E88" s="403">
        <v>44712.469444444447</v>
      </c>
      <c r="F88" s="403">
        <v>44712.5625</v>
      </c>
      <c r="G88" s="403">
        <v>44713.152777777781</v>
      </c>
      <c r="H88" s="403">
        <v>44713.203472222223</v>
      </c>
      <c r="I88" s="405">
        <f>+E88-D88+AH88+AK88</f>
        <v>9.6111111111167702</v>
      </c>
      <c r="J88" s="406">
        <f>G88-D88</f>
        <v>10.294444444451074</v>
      </c>
      <c r="K88" s="407">
        <v>35000</v>
      </c>
      <c r="L88" s="408">
        <v>35195</v>
      </c>
      <c r="M88" s="408"/>
      <c r="N88" s="408">
        <f t="shared" ref="N88" si="224">L88+M88</f>
        <v>35195</v>
      </c>
      <c r="O88" s="409">
        <v>44738</v>
      </c>
      <c r="P88" s="407" t="s">
        <v>296</v>
      </c>
      <c r="Q88" s="407" t="s">
        <v>287</v>
      </c>
      <c r="R88" s="396" t="s">
        <v>183</v>
      </c>
      <c r="S88" s="396" t="s">
        <v>450</v>
      </c>
      <c r="T88" s="396" t="s">
        <v>394</v>
      </c>
      <c r="U88" s="396" t="s">
        <v>315</v>
      </c>
      <c r="V88" s="396" t="s">
        <v>184</v>
      </c>
      <c r="W88" s="407">
        <v>74694</v>
      </c>
      <c r="X88" s="407">
        <v>38898</v>
      </c>
      <c r="Y88" s="410">
        <v>225</v>
      </c>
      <c r="Z88" s="411">
        <v>7.3</v>
      </c>
      <c r="AA88" s="376">
        <f t="shared" ref="AA88" si="225">IF(E88="","",E88-D88+AH88+AK88)</f>
        <v>9.6111111111167702</v>
      </c>
      <c r="AB88" s="376">
        <f t="shared" ref="AB88" si="226">IF(G88="","",G88-D88)</f>
        <v>10.294444444451074</v>
      </c>
      <c r="AC88" s="377">
        <f t="shared" ref="AC88" si="227">IF(H88="","",H88-D88)</f>
        <v>10.345138888893416</v>
      </c>
      <c r="AD88" s="378">
        <f t="shared" ref="AD88" si="228">IF(N88=0,"",((N88/AE88)*24)/24)</f>
        <v>59624.470587908647</v>
      </c>
      <c r="AE88" s="412">
        <f t="shared" ref="AE88:AE92" si="229">IF(G88="",0,(G88-F88)-(AJ88-AI88)-(AG88-AF88))</f>
        <v>0.59027777778101154</v>
      </c>
      <c r="AF88" s="411"/>
      <c r="AG88" s="411"/>
      <c r="AH88" s="411">
        <f t="shared" ref="AH88:AH96" si="230">AG88-AF88</f>
        <v>0</v>
      </c>
      <c r="AI88" s="411"/>
      <c r="AJ88" s="411"/>
      <c r="AK88" s="411">
        <f t="shared" ref="AK88:AK96" si="231">AJ88-AI88</f>
        <v>0</v>
      </c>
      <c r="AL88" s="396"/>
      <c r="AM88" s="396" t="s">
        <v>451</v>
      </c>
      <c r="AN88" s="396" t="s">
        <v>452</v>
      </c>
      <c r="AO88" s="414" t="s">
        <v>456</v>
      </c>
      <c r="AP88" s="414" t="s">
        <v>284</v>
      </c>
      <c r="AQ88" s="413" t="s">
        <v>453</v>
      </c>
      <c r="AS88" s="82" t="str">
        <f t="shared" si="185"/>
        <v>한화에너지</v>
      </c>
      <c r="AT88" s="311">
        <f t="shared" si="186"/>
        <v>35000</v>
      </c>
      <c r="AV88" s="218">
        <f t="shared" si="223"/>
        <v>1</v>
      </c>
      <c r="AW88" s="218">
        <f t="shared" si="223"/>
        <v>0</v>
      </c>
      <c r="AX88" s="219">
        <f t="shared" si="187"/>
        <v>1</v>
      </c>
      <c r="AY88" s="219">
        <f t="shared" si="188"/>
        <v>0</v>
      </c>
      <c r="AZ88" s="136">
        <f t="shared" si="189"/>
        <v>1</v>
      </c>
    </row>
    <row r="89" spans="2:52" s="82" customFormat="1" ht="17.45" hidden="1" customHeight="1" outlineLevel="1">
      <c r="B89" s="372"/>
      <c r="C89" s="400"/>
      <c r="D89" s="403"/>
      <c r="E89" s="403"/>
      <c r="F89" s="403"/>
      <c r="G89" s="403"/>
      <c r="H89" s="403"/>
      <c r="I89" s="405"/>
      <c r="J89" s="406"/>
      <c r="K89" s="407"/>
      <c r="L89" s="408"/>
      <c r="M89" s="408"/>
      <c r="N89" s="408">
        <v>0</v>
      </c>
      <c r="O89" s="409"/>
      <c r="P89" s="409"/>
      <c r="Q89" s="407"/>
      <c r="R89" s="396"/>
      <c r="S89" s="396"/>
      <c r="T89" s="396"/>
      <c r="U89" s="396"/>
      <c r="V89" s="396"/>
      <c r="W89" s="407"/>
      <c r="X89" s="407"/>
      <c r="Y89" s="410"/>
      <c r="Z89" s="411"/>
      <c r="AA89" s="411"/>
      <c r="AB89" s="411"/>
      <c r="AC89" s="411"/>
      <c r="AD89" s="378"/>
      <c r="AE89" s="398"/>
      <c r="AF89" s="398"/>
      <c r="AG89" s="398"/>
      <c r="AH89" s="398"/>
      <c r="AI89" s="398"/>
      <c r="AJ89" s="398"/>
      <c r="AK89" s="398"/>
      <c r="AL89" s="396"/>
      <c r="AM89" s="396"/>
      <c r="AN89" s="396"/>
      <c r="AO89" s="414"/>
      <c r="AP89" s="414"/>
      <c r="AQ89" s="418"/>
      <c r="AS89" s="82">
        <f t="shared" si="185"/>
        <v>0</v>
      </c>
      <c r="AT89" s="311">
        <f t="shared" si="186"/>
        <v>0</v>
      </c>
      <c r="AV89" s="218">
        <f t="shared" si="223"/>
        <v>0</v>
      </c>
      <c r="AW89" s="218">
        <f t="shared" si="223"/>
        <v>0</v>
      </c>
      <c r="AX89" s="219">
        <f t="shared" si="187"/>
        <v>0</v>
      </c>
      <c r="AY89" s="219">
        <f t="shared" si="188"/>
        <v>0</v>
      </c>
      <c r="AZ89" s="136">
        <f t="shared" si="189"/>
        <v>0</v>
      </c>
    </row>
    <row r="90" spans="2:52" s="82" customFormat="1" ht="17.45" hidden="1" customHeight="1" outlineLevel="1">
      <c r="B90" s="372" t="s">
        <v>188</v>
      </c>
      <c r="C90" s="400" t="s">
        <v>483</v>
      </c>
      <c r="D90" s="403">
        <v>44718.104166666664</v>
      </c>
      <c r="E90" s="403">
        <v>44718.166666666664</v>
      </c>
      <c r="F90" s="403">
        <v>44718.229166666664</v>
      </c>
      <c r="G90" s="403">
        <v>44718.958333333336</v>
      </c>
      <c r="H90" s="403">
        <v>44719.041666666664</v>
      </c>
      <c r="I90" s="405">
        <f>+E90-D90+AH90+AK90</f>
        <v>6.25E-2</v>
      </c>
      <c r="J90" s="406">
        <f>G90-D90</f>
        <v>0.85416666667151731</v>
      </c>
      <c r="K90" s="407">
        <v>10904</v>
      </c>
      <c r="L90" s="408"/>
      <c r="M90" s="408">
        <v>10904</v>
      </c>
      <c r="N90" s="408">
        <f t="shared" ref="N90" si="232">L90+M90</f>
        <v>10904</v>
      </c>
      <c r="O90" s="409">
        <v>44738</v>
      </c>
      <c r="P90" s="407" t="s">
        <v>296</v>
      </c>
      <c r="Q90" s="407" t="s">
        <v>413</v>
      </c>
      <c r="R90" s="396" t="s">
        <v>475</v>
      </c>
      <c r="S90" s="396" t="s">
        <v>476</v>
      </c>
      <c r="T90" s="396" t="s">
        <v>477</v>
      </c>
      <c r="U90" s="396" t="s">
        <v>482</v>
      </c>
      <c r="V90" s="396" t="s">
        <v>193</v>
      </c>
      <c r="W90" s="407">
        <v>12850</v>
      </c>
      <c r="X90" s="407">
        <v>8850</v>
      </c>
      <c r="Y90" s="410">
        <v>139.69999999999999</v>
      </c>
      <c r="Z90" s="411">
        <v>7.88</v>
      </c>
      <c r="AA90" s="376">
        <f t="shared" ref="AA90" si="233">IF(E90="","",E90-D90+AH90+AK90)</f>
        <v>6.25E-2</v>
      </c>
      <c r="AB90" s="376">
        <f t="shared" ref="AB90" si="234">IF(G90="","",G90-D90)</f>
        <v>0.85416666667151731</v>
      </c>
      <c r="AC90" s="377">
        <f t="shared" ref="AC90" si="235">IF(H90="","",H90-D90)</f>
        <v>0.9375</v>
      </c>
      <c r="AD90" s="378">
        <f t="shared" ref="AD90" si="236">IF(N90=0,"",((N90/AE90)*24)/24)</f>
        <v>14954.057142757663</v>
      </c>
      <c r="AE90" s="412">
        <f t="shared" si="229"/>
        <v>0.72916666667151731</v>
      </c>
      <c r="AF90" s="411"/>
      <c r="AG90" s="411"/>
      <c r="AH90" s="411">
        <f t="shared" si="230"/>
        <v>0</v>
      </c>
      <c r="AI90" s="411"/>
      <c r="AJ90" s="411"/>
      <c r="AK90" s="411">
        <f t="shared" si="231"/>
        <v>0</v>
      </c>
      <c r="AL90" s="396"/>
      <c r="AM90" s="396" t="s">
        <v>478</v>
      </c>
      <c r="AN90" s="396" t="s">
        <v>479</v>
      </c>
      <c r="AO90" s="414" t="s">
        <v>209</v>
      </c>
      <c r="AP90" s="414" t="s">
        <v>284</v>
      </c>
      <c r="AQ90" s="584" t="s">
        <v>480</v>
      </c>
      <c r="AS90" s="82" t="str">
        <f t="shared" si="185"/>
        <v>SNNC</v>
      </c>
      <c r="AT90" s="311">
        <f t="shared" si="186"/>
        <v>10904</v>
      </c>
      <c r="AV90" s="218">
        <f t="shared" si="223"/>
        <v>0</v>
      </c>
      <c r="AW90" s="218">
        <f t="shared" si="223"/>
        <v>1</v>
      </c>
      <c r="AX90" s="219">
        <f t="shared" si="187"/>
        <v>0</v>
      </c>
      <c r="AY90" s="219">
        <f t="shared" si="188"/>
        <v>1</v>
      </c>
      <c r="AZ90" s="136">
        <f t="shared" si="189"/>
        <v>1</v>
      </c>
    </row>
    <row r="91" spans="2:52" s="82" customFormat="1" ht="17.45" hidden="1" customHeight="1" outlineLevel="1">
      <c r="B91" s="372"/>
      <c r="C91" s="400"/>
      <c r="D91" s="403"/>
      <c r="E91" s="403"/>
      <c r="F91" s="403"/>
      <c r="G91" s="403"/>
      <c r="H91" s="403"/>
      <c r="I91" s="405"/>
      <c r="J91" s="406"/>
      <c r="K91" s="407"/>
      <c r="L91" s="408"/>
      <c r="M91" s="408"/>
      <c r="N91" s="408">
        <v>0</v>
      </c>
      <c r="O91" s="409"/>
      <c r="P91" s="409"/>
      <c r="Q91" s="407"/>
      <c r="R91" s="396"/>
      <c r="S91" s="396"/>
      <c r="T91" s="396"/>
      <c r="U91" s="396"/>
      <c r="V91" s="396"/>
      <c r="W91" s="407"/>
      <c r="X91" s="407"/>
      <c r="Y91" s="410"/>
      <c r="Z91" s="411"/>
      <c r="AA91" s="411"/>
      <c r="AB91" s="411"/>
      <c r="AC91" s="411"/>
      <c r="AD91" s="378"/>
      <c r="AE91" s="398"/>
      <c r="AF91" s="398"/>
      <c r="AG91" s="398"/>
      <c r="AH91" s="398"/>
      <c r="AI91" s="398"/>
      <c r="AJ91" s="398"/>
      <c r="AK91" s="398"/>
      <c r="AL91" s="396"/>
      <c r="AM91" s="396"/>
      <c r="AN91" s="396"/>
      <c r="AO91" s="414"/>
      <c r="AP91" s="414"/>
      <c r="AQ91" s="418"/>
      <c r="AS91" s="82">
        <f t="shared" si="185"/>
        <v>0</v>
      </c>
      <c r="AT91" s="311">
        <f t="shared" si="186"/>
        <v>0</v>
      </c>
      <c r="AV91" s="218">
        <f t="shared" si="223"/>
        <v>0</v>
      </c>
      <c r="AW91" s="218">
        <f t="shared" si="223"/>
        <v>0</v>
      </c>
      <c r="AX91" s="219">
        <f t="shared" si="187"/>
        <v>0</v>
      </c>
      <c r="AY91" s="219">
        <f t="shared" si="188"/>
        <v>0</v>
      </c>
      <c r="AZ91" s="136">
        <f t="shared" si="189"/>
        <v>0</v>
      </c>
    </row>
    <row r="92" spans="2:52" s="82" customFormat="1" ht="17.45" hidden="1" customHeight="1" outlineLevel="1">
      <c r="B92" s="372" t="s">
        <v>187</v>
      </c>
      <c r="C92" s="400" t="s">
        <v>447</v>
      </c>
      <c r="D92" s="403">
        <v>44723.291666666664</v>
      </c>
      <c r="E92" s="403">
        <v>44723.383333333331</v>
      </c>
      <c r="F92" s="403">
        <v>44723.444444444445</v>
      </c>
      <c r="G92" s="403">
        <v>44725.493055555555</v>
      </c>
      <c r="H92" s="403">
        <v>44725.548611111109</v>
      </c>
      <c r="I92" s="405">
        <f>+E92-D92+AH92+AK92</f>
        <v>0.14722222222189885</v>
      </c>
      <c r="J92" s="406">
        <f>G92-D92</f>
        <v>2.2013888888905058</v>
      </c>
      <c r="K92" s="407">
        <v>77000</v>
      </c>
      <c r="L92" s="408">
        <v>77006</v>
      </c>
      <c r="M92" s="408"/>
      <c r="N92" s="408">
        <f t="shared" ref="N92:N97" si="237">L92+M92</f>
        <v>77006</v>
      </c>
      <c r="O92" s="409">
        <v>44738</v>
      </c>
      <c r="P92" s="407"/>
      <c r="Q92" s="407" t="s">
        <v>287</v>
      </c>
      <c r="R92" s="396" t="s">
        <v>189</v>
      </c>
      <c r="S92" s="396" t="s">
        <v>356</v>
      </c>
      <c r="T92" s="396" t="s">
        <v>427</v>
      </c>
      <c r="U92" s="396" t="s">
        <v>436</v>
      </c>
      <c r="V92" s="396" t="s">
        <v>184</v>
      </c>
      <c r="W92" s="407">
        <v>81569</v>
      </c>
      <c r="X92" s="407">
        <v>44603</v>
      </c>
      <c r="Y92" s="410">
        <v>229</v>
      </c>
      <c r="Z92" s="411">
        <v>12.2</v>
      </c>
      <c r="AA92" s="376">
        <f t="shared" ref="AA92" si="238">IF(E92="","",E92-D92+AH92+AK92)</f>
        <v>0.14722222222189885</v>
      </c>
      <c r="AB92" s="376">
        <f t="shared" ref="AB92" si="239">IF(G92="","",G92-D92)</f>
        <v>2.2013888888905058</v>
      </c>
      <c r="AC92" s="377">
        <f t="shared" ref="AC92" si="240">IF(H92="","",H92-D92)</f>
        <v>2.2569444444452529</v>
      </c>
      <c r="AD92" s="378">
        <f t="shared" ref="AD92" si="241">IF(N92=0,"",((N92/AE92)*24)/24)</f>
        <v>38637.156794440758</v>
      </c>
      <c r="AE92" s="412">
        <f t="shared" si="229"/>
        <v>1.9930555555547471</v>
      </c>
      <c r="AF92" s="411"/>
      <c r="AG92" s="411"/>
      <c r="AH92" s="411">
        <f t="shared" si="230"/>
        <v>0</v>
      </c>
      <c r="AI92" s="403">
        <v>44724.590277777781</v>
      </c>
      <c r="AJ92" s="403">
        <v>44724.645833333336</v>
      </c>
      <c r="AK92" s="411">
        <f t="shared" si="231"/>
        <v>5.5555555554747116E-2</v>
      </c>
      <c r="AL92" s="396"/>
      <c r="AM92" s="396" t="s">
        <v>411</v>
      </c>
      <c r="AN92" s="396" t="s">
        <v>412</v>
      </c>
      <c r="AO92" s="414" t="s">
        <v>384</v>
      </c>
      <c r="AP92" s="414" t="s">
        <v>284</v>
      </c>
      <c r="AQ92" s="413" t="s">
        <v>401</v>
      </c>
      <c r="AS92" s="82" t="str">
        <f t="shared" si="185"/>
        <v>한화에너지</v>
      </c>
      <c r="AT92" s="311">
        <f t="shared" si="186"/>
        <v>77000</v>
      </c>
      <c r="AV92" s="218">
        <f t="shared" si="223"/>
        <v>1</v>
      </c>
      <c r="AW92" s="218">
        <f t="shared" si="223"/>
        <v>0</v>
      </c>
      <c r="AX92" s="219">
        <f t="shared" si="187"/>
        <v>1</v>
      </c>
      <c r="AY92" s="219">
        <f t="shared" si="188"/>
        <v>0</v>
      </c>
      <c r="AZ92" s="136">
        <f t="shared" si="189"/>
        <v>1</v>
      </c>
    </row>
    <row r="93" spans="2:52" s="82" customFormat="1" ht="17.45" hidden="1" customHeight="1" outlineLevel="1">
      <c r="B93" s="372"/>
      <c r="C93" s="400"/>
      <c r="D93" s="403"/>
      <c r="E93" s="403"/>
      <c r="F93" s="403"/>
      <c r="G93" s="403"/>
      <c r="H93" s="403"/>
      <c r="I93" s="405"/>
      <c r="J93" s="406"/>
      <c r="K93" s="407"/>
      <c r="L93" s="408"/>
      <c r="M93" s="408"/>
      <c r="N93" s="408">
        <f t="shared" si="237"/>
        <v>0</v>
      </c>
      <c r="O93" s="409"/>
      <c r="P93" s="409"/>
      <c r="Q93" s="407"/>
      <c r="R93" s="396"/>
      <c r="S93" s="396"/>
      <c r="T93" s="396"/>
      <c r="U93" s="396"/>
      <c r="V93" s="396"/>
      <c r="W93" s="407"/>
      <c r="X93" s="407"/>
      <c r="Y93" s="410"/>
      <c r="Z93" s="411"/>
      <c r="AA93" s="411"/>
      <c r="AB93" s="411"/>
      <c r="AC93" s="411"/>
      <c r="AD93" s="378"/>
      <c r="AE93" s="398"/>
      <c r="AF93" s="398"/>
      <c r="AG93" s="398"/>
      <c r="AH93" s="398"/>
      <c r="AI93" s="398"/>
      <c r="AJ93" s="398"/>
      <c r="AK93" s="398"/>
      <c r="AL93" s="396"/>
      <c r="AM93" s="396"/>
      <c r="AN93" s="396"/>
      <c r="AO93" s="414"/>
      <c r="AP93" s="414"/>
      <c r="AQ93" s="418"/>
      <c r="AS93" s="82">
        <f t="shared" si="185"/>
        <v>0</v>
      </c>
      <c r="AT93" s="311">
        <f t="shared" si="186"/>
        <v>0</v>
      </c>
      <c r="AV93" s="218">
        <f t="shared" si="223"/>
        <v>0</v>
      </c>
      <c r="AW93" s="218">
        <f t="shared" si="223"/>
        <v>0</v>
      </c>
      <c r="AX93" s="219">
        <f t="shared" si="187"/>
        <v>0</v>
      </c>
      <c r="AY93" s="219">
        <f t="shared" si="188"/>
        <v>0</v>
      </c>
      <c r="AZ93" s="136">
        <f t="shared" si="189"/>
        <v>0</v>
      </c>
    </row>
    <row r="94" spans="2:52" s="82" customFormat="1" ht="17.45" hidden="1" customHeight="1" outlineLevel="1">
      <c r="B94" s="372" t="s">
        <v>185</v>
      </c>
      <c r="C94" s="400" t="s">
        <v>491</v>
      </c>
      <c r="D94" s="403">
        <v>44730.666666666664</v>
      </c>
      <c r="E94" s="403">
        <v>44731.529166666667</v>
      </c>
      <c r="F94" s="403">
        <v>44731.5625</v>
      </c>
      <c r="G94" s="403">
        <v>44732.9375</v>
      </c>
      <c r="H94" s="403">
        <v>44733.038194444445</v>
      </c>
      <c r="I94" s="405">
        <f>+E94-D94+AH94+AK94</f>
        <v>0.86250000000291038</v>
      </c>
      <c r="J94" s="406">
        <f>G94-D94</f>
        <v>2.2708333333357587</v>
      </c>
      <c r="K94" s="407">
        <v>30000</v>
      </c>
      <c r="L94" s="408"/>
      <c r="M94" s="408">
        <v>30000</v>
      </c>
      <c r="N94" s="408">
        <f t="shared" si="237"/>
        <v>30000</v>
      </c>
      <c r="O94" s="409">
        <v>44738</v>
      </c>
      <c r="P94" s="407"/>
      <c r="Q94" s="407" t="s">
        <v>120</v>
      </c>
      <c r="R94" s="396" t="s">
        <v>183</v>
      </c>
      <c r="S94" s="396" t="s">
        <v>214</v>
      </c>
      <c r="T94" s="396" t="s">
        <v>357</v>
      </c>
      <c r="U94" s="396" t="s">
        <v>181</v>
      </c>
      <c r="V94" s="396" t="s">
        <v>184</v>
      </c>
      <c r="W94" s="407">
        <v>80886</v>
      </c>
      <c r="X94" s="407">
        <v>43989</v>
      </c>
      <c r="Y94" s="410">
        <v>229</v>
      </c>
      <c r="Z94" s="411">
        <v>14.5</v>
      </c>
      <c r="AA94" s="376">
        <f t="shared" ref="AA94" si="242">IF(E94="","",E94-D94+AH94+AK94)</f>
        <v>0.86250000000291038</v>
      </c>
      <c r="AB94" s="376">
        <f t="shared" ref="AB94" si="243">IF(G94="","",G94-D94)</f>
        <v>2.2708333333357587</v>
      </c>
      <c r="AC94" s="377">
        <f t="shared" ref="AC94" si="244">IF(H94="","",H94-D94)</f>
        <v>2.3715277777810115</v>
      </c>
      <c r="AD94" s="378">
        <f t="shared" ref="AD94" si="245">IF(N94=0,"",((N94/AE94)*24)/24)</f>
        <v>21818.18181818182</v>
      </c>
      <c r="AE94" s="412">
        <f t="shared" ref="AE94" si="246">IF(G94="",0,(G94-F94)-(AJ94-AI94)-(AG94-AF94))</f>
        <v>1.375</v>
      </c>
      <c r="AF94" s="411"/>
      <c r="AG94" s="411"/>
      <c r="AH94" s="411">
        <f t="shared" si="230"/>
        <v>0</v>
      </c>
      <c r="AI94" s="411"/>
      <c r="AJ94" s="411"/>
      <c r="AK94" s="411">
        <f t="shared" si="231"/>
        <v>0</v>
      </c>
      <c r="AL94" s="396"/>
      <c r="AM94" s="396" t="s">
        <v>488</v>
      </c>
      <c r="AN94" s="396" t="s">
        <v>489</v>
      </c>
      <c r="AO94" s="414" t="s">
        <v>209</v>
      </c>
      <c r="AP94" s="400" t="s">
        <v>493</v>
      </c>
      <c r="AQ94" s="413" t="s">
        <v>492</v>
      </c>
      <c r="AS94" s="82" t="str">
        <f t="shared" si="185"/>
        <v>남동발전</v>
      </c>
      <c r="AT94" s="311">
        <f t="shared" si="186"/>
        <v>30000</v>
      </c>
      <c r="AV94" s="218">
        <f t="shared" si="223"/>
        <v>0</v>
      </c>
      <c r="AW94" s="218">
        <f t="shared" si="223"/>
        <v>1</v>
      </c>
      <c r="AX94" s="219">
        <f t="shared" si="187"/>
        <v>0</v>
      </c>
      <c r="AY94" s="219">
        <f t="shared" si="188"/>
        <v>1</v>
      </c>
      <c r="AZ94" s="136">
        <f t="shared" si="189"/>
        <v>1</v>
      </c>
    </row>
    <row r="95" spans="2:52" s="82" customFormat="1" ht="17.45" hidden="1" customHeight="1" outlineLevel="1">
      <c r="B95" s="372"/>
      <c r="C95" s="400"/>
      <c r="D95" s="403"/>
      <c r="E95" s="403"/>
      <c r="F95" s="403"/>
      <c r="G95" s="403"/>
      <c r="H95" s="403"/>
      <c r="I95" s="405"/>
      <c r="J95" s="406"/>
      <c r="K95" s="407"/>
      <c r="L95" s="408"/>
      <c r="M95" s="408"/>
      <c r="N95" s="408">
        <f t="shared" si="237"/>
        <v>0</v>
      </c>
      <c r="O95" s="409"/>
      <c r="P95" s="409"/>
      <c r="Q95" s="407"/>
      <c r="R95" s="396"/>
      <c r="S95" s="396"/>
      <c r="T95" s="396"/>
      <c r="U95" s="396"/>
      <c r="V95" s="396"/>
      <c r="W95" s="407"/>
      <c r="X95" s="407"/>
      <c r="Y95" s="410"/>
      <c r="Z95" s="411"/>
      <c r="AA95" s="411"/>
      <c r="AB95" s="411"/>
      <c r="AC95" s="411"/>
      <c r="AD95" s="378"/>
      <c r="AE95" s="398"/>
      <c r="AF95" s="398"/>
      <c r="AG95" s="398"/>
      <c r="AH95" s="398"/>
      <c r="AI95" s="398"/>
      <c r="AJ95" s="398"/>
      <c r="AK95" s="398"/>
      <c r="AL95" s="396"/>
      <c r="AM95" s="396"/>
      <c r="AN95" s="396"/>
      <c r="AO95" s="414"/>
      <c r="AP95" s="414"/>
      <c r="AQ95" s="418"/>
      <c r="AS95" s="82">
        <f t="shared" si="185"/>
        <v>0</v>
      </c>
      <c r="AT95" s="311">
        <f t="shared" si="186"/>
        <v>0</v>
      </c>
      <c r="AV95" s="218">
        <f t="shared" si="223"/>
        <v>0</v>
      </c>
      <c r="AW95" s="218">
        <f t="shared" si="223"/>
        <v>0</v>
      </c>
      <c r="AX95" s="219">
        <f t="shared" si="187"/>
        <v>0</v>
      </c>
      <c r="AY95" s="219">
        <f t="shared" si="188"/>
        <v>0</v>
      </c>
      <c r="AZ95" s="136">
        <f t="shared" si="189"/>
        <v>0</v>
      </c>
    </row>
    <row r="96" spans="2:52" s="82" customFormat="1" ht="17.45" hidden="1" customHeight="1" outlineLevel="1">
      <c r="B96" s="372" t="s">
        <v>78</v>
      </c>
      <c r="C96" s="400" t="s">
        <v>486</v>
      </c>
      <c r="D96" s="403">
        <v>44736.50277777778</v>
      </c>
      <c r="E96" s="403">
        <v>44736.570833333331</v>
      </c>
      <c r="F96" s="403">
        <v>44736.652777777781</v>
      </c>
      <c r="G96" s="403">
        <v>44737.4375</v>
      </c>
      <c r="H96" s="403">
        <v>44737.559027777781</v>
      </c>
      <c r="I96" s="405">
        <f>+E96-D96+AH96+AK96</f>
        <v>6.8055555551836733E-2</v>
      </c>
      <c r="J96" s="406">
        <f>G96-D96</f>
        <v>0.93472222222044365</v>
      </c>
      <c r="K96" s="407">
        <v>23990</v>
      </c>
      <c r="L96" s="408"/>
      <c r="M96" s="408">
        <v>23990</v>
      </c>
      <c r="N96" s="408">
        <f t="shared" si="237"/>
        <v>23990</v>
      </c>
      <c r="O96" s="409">
        <v>44738</v>
      </c>
      <c r="P96" s="407"/>
      <c r="Q96" s="407" t="s">
        <v>287</v>
      </c>
      <c r="R96" s="396" t="s">
        <v>180</v>
      </c>
      <c r="S96" s="396" t="s">
        <v>487</v>
      </c>
      <c r="T96" s="396" t="s">
        <v>485</v>
      </c>
      <c r="U96" s="396" t="s">
        <v>181</v>
      </c>
      <c r="V96" s="396" t="s">
        <v>193</v>
      </c>
      <c r="W96" s="407">
        <v>27112</v>
      </c>
      <c r="X96" s="407">
        <v>16418</v>
      </c>
      <c r="Y96" s="410">
        <v>165</v>
      </c>
      <c r="Z96" s="411">
        <v>11</v>
      </c>
      <c r="AA96" s="376">
        <f t="shared" ref="AA96" si="247">IF(E96="","",E96-D96+AH96+AK96)</f>
        <v>6.8055555551836733E-2</v>
      </c>
      <c r="AB96" s="376">
        <f t="shared" ref="AB96" si="248">IF(G96="","",G96-D96)</f>
        <v>0.93472222222044365</v>
      </c>
      <c r="AC96" s="377">
        <f t="shared" ref="AC96" si="249">IF(H96="","",H96-D96)</f>
        <v>1.0562500000014552</v>
      </c>
      <c r="AD96" s="378">
        <f t="shared" ref="AD96" si="250">IF(N96=0,"",((N96/AE96)*24)/24)</f>
        <v>30571.327433754301</v>
      </c>
      <c r="AE96" s="412">
        <f t="shared" ref="AE96" si="251">IF(G96="",0,(G96-F96)-(AJ96-AI96)-(AG96-AF96))</f>
        <v>0.78472222221898846</v>
      </c>
      <c r="AF96" s="411"/>
      <c r="AG96" s="411"/>
      <c r="AH96" s="411">
        <f t="shared" si="230"/>
        <v>0</v>
      </c>
      <c r="AI96" s="411"/>
      <c r="AJ96" s="411"/>
      <c r="AK96" s="411">
        <f t="shared" si="231"/>
        <v>0</v>
      </c>
      <c r="AL96" s="396"/>
      <c r="AM96" s="396" t="s">
        <v>488</v>
      </c>
      <c r="AN96" s="396" t="s">
        <v>489</v>
      </c>
      <c r="AO96" s="414" t="s">
        <v>288</v>
      </c>
      <c r="AP96" s="414" t="s">
        <v>309</v>
      </c>
      <c r="AQ96" s="413" t="s">
        <v>401</v>
      </c>
      <c r="AS96" s="82" t="str">
        <f t="shared" si="185"/>
        <v>삼영산업</v>
      </c>
      <c r="AT96" s="311">
        <f t="shared" si="186"/>
        <v>23990</v>
      </c>
      <c r="AV96" s="218">
        <f t="shared" si="223"/>
        <v>0</v>
      </c>
      <c r="AW96" s="218">
        <f t="shared" si="223"/>
        <v>1</v>
      </c>
      <c r="AX96" s="219">
        <f t="shared" si="187"/>
        <v>0</v>
      </c>
      <c r="AY96" s="219">
        <f t="shared" si="188"/>
        <v>1</v>
      </c>
      <c r="AZ96" s="136">
        <f t="shared" si="189"/>
        <v>1</v>
      </c>
    </row>
    <row r="97" spans="2:52" s="82" customFormat="1" ht="14.25" hidden="1" outlineLevel="1" thickBot="1">
      <c r="B97" s="372"/>
      <c r="C97" s="400"/>
      <c r="D97" s="403"/>
      <c r="E97" s="403"/>
      <c r="F97" s="403"/>
      <c r="G97" s="403"/>
      <c r="H97" s="403"/>
      <c r="I97" s="405"/>
      <c r="J97" s="406"/>
      <c r="K97" s="407"/>
      <c r="L97" s="408"/>
      <c r="M97" s="408"/>
      <c r="N97" s="408">
        <f t="shared" si="237"/>
        <v>0</v>
      </c>
      <c r="O97" s="409"/>
      <c r="P97" s="409"/>
      <c r="Q97" s="407"/>
      <c r="R97" s="396"/>
      <c r="S97" s="396"/>
      <c r="T97" s="396"/>
      <c r="U97" s="396"/>
      <c r="V97" s="396"/>
      <c r="W97" s="407"/>
      <c r="X97" s="407"/>
      <c r="Y97" s="410"/>
      <c r="Z97" s="411"/>
      <c r="AA97" s="411"/>
      <c r="AB97" s="411"/>
      <c r="AC97" s="411"/>
      <c r="AD97" s="378"/>
      <c r="AE97" s="398"/>
      <c r="AF97" s="398"/>
      <c r="AG97" s="398"/>
      <c r="AH97" s="398"/>
      <c r="AI97" s="398"/>
      <c r="AJ97" s="398"/>
      <c r="AK97" s="398"/>
      <c r="AL97" s="396"/>
      <c r="AM97" s="396"/>
      <c r="AN97" s="396"/>
      <c r="AO97" s="414"/>
      <c r="AP97" s="414"/>
      <c r="AQ97" s="418"/>
      <c r="AS97" s="82">
        <f t="shared" si="185"/>
        <v>0</v>
      </c>
      <c r="AT97" s="311">
        <f t="shared" si="186"/>
        <v>0</v>
      </c>
      <c r="AV97" s="218">
        <f t="shared" si="223"/>
        <v>0</v>
      </c>
      <c r="AW97" s="218">
        <f t="shared" si="223"/>
        <v>0</v>
      </c>
      <c r="AX97" s="219">
        <f t="shared" si="187"/>
        <v>0</v>
      </c>
      <c r="AY97" s="219">
        <f t="shared" si="188"/>
        <v>0</v>
      </c>
      <c r="AZ97" s="136">
        <f t="shared" si="189"/>
        <v>0</v>
      </c>
    </row>
    <row r="98" spans="2:52" s="82" customFormat="1" ht="17.45" hidden="1" customHeight="1" outlineLevel="1" thickBot="1">
      <c r="B98" s="495"/>
      <c r="C98" s="480"/>
      <c r="D98" s="481"/>
      <c r="E98" s="481"/>
      <c r="F98" s="481"/>
      <c r="G98" s="481"/>
      <c r="H98" s="481"/>
      <c r="I98" s="493">
        <f>IFERROR(AVERAGE(I87:I97),0)</f>
        <v>2.1502777777786832</v>
      </c>
      <c r="J98" s="493">
        <f>IFERROR(AVERAGE(J87:J97),0)</f>
        <v>3.3111111111138598</v>
      </c>
      <c r="K98" s="485">
        <f>SUM(K87:K97)</f>
        <v>176894</v>
      </c>
      <c r="L98" s="484">
        <f>SUM(L87:L97)</f>
        <v>112201</v>
      </c>
      <c r="M98" s="484">
        <f>SUM(M87:M97)</f>
        <v>64894</v>
      </c>
      <c r="N98" s="483">
        <f>SUM(N87:N97)</f>
        <v>177095</v>
      </c>
      <c r="O98" s="485"/>
      <c r="P98" s="485"/>
      <c r="Q98" s="485"/>
      <c r="R98" s="480"/>
      <c r="S98" s="480"/>
      <c r="T98" s="486"/>
      <c r="U98" s="487"/>
      <c r="V98" s="486"/>
      <c r="W98" s="488"/>
      <c r="X98" s="488"/>
      <c r="Y98" s="489"/>
      <c r="Z98" s="490"/>
      <c r="AA98" s="490"/>
      <c r="AB98" s="490"/>
      <c r="AC98" s="490"/>
      <c r="AD98" s="490"/>
      <c r="AE98" s="490"/>
      <c r="AF98" s="490"/>
      <c r="AG98" s="490"/>
      <c r="AH98" s="490"/>
      <c r="AI98" s="490"/>
      <c r="AJ98" s="490"/>
      <c r="AK98" s="490"/>
      <c r="AL98" s="491"/>
      <c r="AM98" s="491"/>
      <c r="AN98" s="491"/>
      <c r="AO98" s="487"/>
      <c r="AP98" s="487"/>
      <c r="AQ98" s="492"/>
      <c r="AS98" s="82">
        <f t="shared" si="185"/>
        <v>0</v>
      </c>
      <c r="AT98" s="311">
        <f t="shared" si="186"/>
        <v>176894</v>
      </c>
      <c r="AV98" s="218">
        <f t="shared" si="223"/>
        <v>1</v>
      </c>
      <c r="AW98" s="218">
        <f t="shared" si="223"/>
        <v>1</v>
      </c>
      <c r="AX98" s="219">
        <f t="shared" si="187"/>
        <v>0.5</v>
      </c>
      <c r="AY98" s="219">
        <f t="shared" si="188"/>
        <v>0.5</v>
      </c>
      <c r="AZ98" s="136">
        <f t="shared" si="189"/>
        <v>1</v>
      </c>
    </row>
    <row r="99" spans="2:52" ht="24.95" customHeight="1" collapsed="1" thickBot="1">
      <c r="B99" s="246" t="s">
        <v>247</v>
      </c>
      <c r="C99" s="117"/>
      <c r="D99" s="117"/>
      <c r="E99" s="117"/>
      <c r="F99" s="117"/>
      <c r="G99" s="117"/>
      <c r="H99" s="117"/>
      <c r="I99" s="117"/>
      <c r="J99" s="117"/>
      <c r="K99" s="117"/>
      <c r="L99" s="146"/>
      <c r="M99" s="146"/>
      <c r="N99" s="146"/>
      <c r="O99" s="117"/>
      <c r="P99" s="117"/>
      <c r="Q99" s="117"/>
      <c r="R99" s="117"/>
      <c r="S99" s="117"/>
      <c r="T99" s="475"/>
      <c r="U99" s="117"/>
      <c r="V99" s="117"/>
      <c r="W99" s="117"/>
      <c r="X99" s="117"/>
      <c r="Y99" s="208"/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7"/>
      <c r="AM99" s="117"/>
      <c r="AN99" s="117"/>
      <c r="AO99" s="117"/>
      <c r="AP99" s="117"/>
      <c r="AQ99" s="118"/>
      <c r="AS99" s="82" t="str">
        <f t="shared" si="185"/>
        <v>2022년 7월 반입 예정 선박리스트</v>
      </c>
      <c r="AT99" s="311">
        <f t="shared" si="186"/>
        <v>0</v>
      </c>
      <c r="AU99" s="82"/>
      <c r="AV99" s="218">
        <f t="shared" si="223"/>
        <v>0</v>
      </c>
      <c r="AW99" s="218">
        <f t="shared" si="223"/>
        <v>0</v>
      </c>
      <c r="AX99" s="219">
        <f t="shared" si="187"/>
        <v>0</v>
      </c>
      <c r="AY99" s="219">
        <f t="shared" si="188"/>
        <v>0</v>
      </c>
      <c r="AZ99" s="136">
        <f t="shared" si="189"/>
        <v>0</v>
      </c>
    </row>
    <row r="100" spans="2:52" ht="17.45" customHeight="1">
      <c r="B100" s="594"/>
      <c r="C100" s="595"/>
      <c r="D100" s="596"/>
      <c r="E100" s="596"/>
      <c r="F100" s="596"/>
      <c r="G100" s="596"/>
      <c r="H100" s="596"/>
      <c r="I100" s="597"/>
      <c r="J100" s="597"/>
      <c r="K100" s="598"/>
      <c r="L100" s="599"/>
      <c r="M100" s="599"/>
      <c r="N100" s="599"/>
      <c r="O100" s="598"/>
      <c r="P100" s="598"/>
      <c r="Q100" s="598"/>
      <c r="R100" s="600"/>
      <c r="S100" s="600"/>
      <c r="T100" s="600"/>
      <c r="U100" s="601"/>
      <c r="V100" s="601"/>
      <c r="W100" s="598"/>
      <c r="X100" s="598"/>
      <c r="Y100" s="602"/>
      <c r="Z100" s="603"/>
      <c r="AA100" s="604"/>
      <c r="AB100" s="604"/>
      <c r="AC100" s="604"/>
      <c r="AD100" s="604"/>
      <c r="AE100" s="604"/>
      <c r="AF100" s="604"/>
      <c r="AG100" s="604"/>
      <c r="AH100" s="604"/>
      <c r="AI100" s="604"/>
      <c r="AJ100" s="604"/>
      <c r="AK100" s="604"/>
      <c r="AL100" s="605"/>
      <c r="AM100" s="601"/>
      <c r="AN100" s="601"/>
      <c r="AO100" s="606"/>
      <c r="AP100" s="607"/>
      <c r="AQ100" s="608"/>
      <c r="AS100" s="82">
        <f t="shared" si="185"/>
        <v>0</v>
      </c>
      <c r="AT100" s="311">
        <f t="shared" si="186"/>
        <v>0</v>
      </c>
      <c r="AU100" s="82"/>
      <c r="AV100" s="218">
        <f t="shared" si="223"/>
        <v>0</v>
      </c>
      <c r="AW100" s="218">
        <f t="shared" si="223"/>
        <v>0</v>
      </c>
      <c r="AX100" s="219">
        <f t="shared" si="187"/>
        <v>0</v>
      </c>
      <c r="AY100" s="219">
        <f t="shared" si="188"/>
        <v>0</v>
      </c>
      <c r="AZ100" s="136">
        <f t="shared" si="189"/>
        <v>0</v>
      </c>
    </row>
    <row r="101" spans="2:52" s="82" customFormat="1" ht="17.45" customHeight="1">
      <c r="B101" s="609" t="s">
        <v>185</v>
      </c>
      <c r="C101" s="606" t="s">
        <v>460</v>
      </c>
      <c r="D101" s="610">
        <v>44743.333333333336</v>
      </c>
      <c r="E101" s="610">
        <v>44746.529166666667</v>
      </c>
      <c r="F101" s="610">
        <v>44746.586805555555</v>
      </c>
      <c r="G101" s="610">
        <v>44752.649305555555</v>
      </c>
      <c r="H101" s="610">
        <v>44752.736111111109</v>
      </c>
      <c r="I101" s="611">
        <f>+E101-D101+AH101+AK101</f>
        <v>5.4124999999985448</v>
      </c>
      <c r="J101" s="612">
        <f>G101-D101</f>
        <v>9.3159722222189885</v>
      </c>
      <c r="K101" s="613">
        <v>79055</v>
      </c>
      <c r="L101" s="614"/>
      <c r="M101" s="614">
        <v>79055</v>
      </c>
      <c r="N101" s="614">
        <f t="shared" ref="N101:N103" si="252">L101+M101</f>
        <v>79055</v>
      </c>
      <c r="O101" s="615">
        <v>44768</v>
      </c>
      <c r="P101" s="613" t="s">
        <v>296</v>
      </c>
      <c r="Q101" s="613" t="s">
        <v>413</v>
      </c>
      <c r="R101" s="601" t="s">
        <v>183</v>
      </c>
      <c r="S101" s="601" t="s">
        <v>214</v>
      </c>
      <c r="T101" s="601" t="s">
        <v>228</v>
      </c>
      <c r="U101" s="601" t="s">
        <v>181</v>
      </c>
      <c r="V101" s="601" t="s">
        <v>184</v>
      </c>
      <c r="W101" s="613">
        <v>81604</v>
      </c>
      <c r="X101" s="613">
        <v>43974</v>
      </c>
      <c r="Y101" s="616">
        <v>229</v>
      </c>
      <c r="Z101" s="617">
        <v>12.2</v>
      </c>
      <c r="AA101" s="618">
        <f t="shared" ref="AA101" si="253">IF(E101="","",E101-D101+AH101+AK101)</f>
        <v>5.4124999999985448</v>
      </c>
      <c r="AB101" s="618">
        <f t="shared" ref="AB101" si="254">IF(G101="","",G101-D101)</f>
        <v>9.3159722222189885</v>
      </c>
      <c r="AC101" s="619">
        <f t="shared" ref="AC101" si="255">IF(H101="","",H101-D101)</f>
        <v>9.4027777777737356</v>
      </c>
      <c r="AD101" s="620">
        <f t="shared" ref="AD101" si="256">IF(N101=0,"",((N101/AE101)*24)/24)</f>
        <v>20556.013001086016</v>
      </c>
      <c r="AE101" s="621">
        <f t="shared" ref="AE101" si="257">IF(G101="",0,(G101-F101)-(AJ101-AI101)-(AG101-AF101))</f>
        <v>3.8458333333328483</v>
      </c>
      <c r="AF101" s="610">
        <v>44747.479166666664</v>
      </c>
      <c r="AG101" s="610">
        <v>44749.695833333331</v>
      </c>
      <c r="AH101" s="617">
        <f t="shared" ref="AH101:AH107" si="258">AG101-AF101</f>
        <v>2.2166666666671517</v>
      </c>
      <c r="AI101" s="617"/>
      <c r="AJ101" s="617"/>
      <c r="AK101" s="617">
        <f t="shared" ref="AK101:AK107" si="259">AJ101-AI101</f>
        <v>0</v>
      </c>
      <c r="AL101" s="601"/>
      <c r="AM101" s="601" t="s">
        <v>215</v>
      </c>
      <c r="AN101" s="601" t="s">
        <v>481</v>
      </c>
      <c r="AO101" s="622" t="s">
        <v>288</v>
      </c>
      <c r="AP101" s="622" t="s">
        <v>309</v>
      </c>
      <c r="AQ101" s="623" t="s">
        <v>401</v>
      </c>
      <c r="AS101" s="82" t="str">
        <f t="shared" si="185"/>
        <v>남동발전</v>
      </c>
      <c r="AT101" s="311">
        <f t="shared" si="186"/>
        <v>79055</v>
      </c>
      <c r="AV101" s="218">
        <f t="shared" si="223"/>
        <v>0</v>
      </c>
      <c r="AW101" s="218">
        <f t="shared" si="223"/>
        <v>1</v>
      </c>
      <c r="AX101" s="219">
        <f t="shared" si="187"/>
        <v>0</v>
      </c>
      <c r="AY101" s="219">
        <f t="shared" si="188"/>
        <v>1</v>
      </c>
      <c r="AZ101" s="136">
        <f t="shared" si="189"/>
        <v>1</v>
      </c>
    </row>
    <row r="102" spans="2:52" s="82" customFormat="1" ht="13.5">
      <c r="B102" s="609"/>
      <c r="C102" s="606"/>
      <c r="D102" s="610"/>
      <c r="E102" s="610"/>
      <c r="F102" s="610"/>
      <c r="G102" s="610"/>
      <c r="H102" s="610"/>
      <c r="I102" s="611"/>
      <c r="J102" s="612"/>
      <c r="K102" s="613"/>
      <c r="L102" s="614"/>
      <c r="M102" s="614"/>
      <c r="N102" s="614">
        <f t="shared" si="252"/>
        <v>0</v>
      </c>
      <c r="O102" s="615"/>
      <c r="P102" s="615"/>
      <c r="Q102" s="613"/>
      <c r="R102" s="601"/>
      <c r="S102" s="601"/>
      <c r="T102" s="601"/>
      <c r="U102" s="601"/>
      <c r="V102" s="601"/>
      <c r="W102" s="613"/>
      <c r="X102" s="613"/>
      <c r="Y102" s="616"/>
      <c r="Z102" s="617"/>
      <c r="AA102" s="617"/>
      <c r="AB102" s="617"/>
      <c r="AC102" s="617"/>
      <c r="AD102" s="620"/>
      <c r="AE102" s="603"/>
      <c r="AF102" s="603"/>
      <c r="AG102" s="603"/>
      <c r="AH102" s="603"/>
      <c r="AI102" s="603"/>
      <c r="AJ102" s="603"/>
      <c r="AK102" s="603"/>
      <c r="AL102" s="601"/>
      <c r="AM102" s="601"/>
      <c r="AN102" s="601"/>
      <c r="AO102" s="622"/>
      <c r="AP102" s="622"/>
      <c r="AQ102" s="624"/>
      <c r="AS102" s="82">
        <f t="shared" si="185"/>
        <v>0</v>
      </c>
      <c r="AT102" s="311">
        <f t="shared" si="186"/>
        <v>0</v>
      </c>
      <c r="AV102" s="218">
        <f t="shared" si="223"/>
        <v>0</v>
      </c>
      <c r="AW102" s="218">
        <f t="shared" si="223"/>
        <v>0</v>
      </c>
      <c r="AX102" s="219">
        <f t="shared" si="187"/>
        <v>0</v>
      </c>
      <c r="AY102" s="219">
        <f t="shared" si="188"/>
        <v>0</v>
      </c>
      <c r="AZ102" s="136">
        <f t="shared" si="189"/>
        <v>0</v>
      </c>
    </row>
    <row r="103" spans="2:52" s="82" customFormat="1" ht="17.45" customHeight="1">
      <c r="B103" s="609" t="s">
        <v>222</v>
      </c>
      <c r="C103" s="606" t="s">
        <v>465</v>
      </c>
      <c r="D103" s="610">
        <v>44747.5625</v>
      </c>
      <c r="E103" s="610">
        <v>44752.46875</v>
      </c>
      <c r="F103" s="610">
        <v>44752.59375</v>
      </c>
      <c r="G103" s="610">
        <v>44753.756944444445</v>
      </c>
      <c r="H103" s="610">
        <v>44754.048611111109</v>
      </c>
      <c r="I103" s="611">
        <f>+E103-D103+AH103+AK103</f>
        <v>4.90625</v>
      </c>
      <c r="J103" s="612">
        <f>G103-D103</f>
        <v>6.1944444444452529</v>
      </c>
      <c r="K103" s="613">
        <v>32100</v>
      </c>
      <c r="L103" s="614">
        <v>31855</v>
      </c>
      <c r="M103" s="614"/>
      <c r="N103" s="614">
        <f t="shared" si="252"/>
        <v>31855</v>
      </c>
      <c r="O103" s="615">
        <v>44768</v>
      </c>
      <c r="P103" s="613" t="s">
        <v>296</v>
      </c>
      <c r="Q103" s="613" t="s">
        <v>413</v>
      </c>
      <c r="R103" s="601" t="s">
        <v>279</v>
      </c>
      <c r="S103" s="601" t="s">
        <v>291</v>
      </c>
      <c r="T103" s="601" t="s">
        <v>466</v>
      </c>
      <c r="U103" s="601" t="s">
        <v>192</v>
      </c>
      <c r="V103" s="601" t="s">
        <v>193</v>
      </c>
      <c r="W103" s="613">
        <v>33199</v>
      </c>
      <c r="X103" s="613">
        <v>21265</v>
      </c>
      <c r="Y103" s="616">
        <v>180</v>
      </c>
      <c r="Z103" s="617">
        <v>10</v>
      </c>
      <c r="AA103" s="618">
        <f t="shared" ref="AA103" si="260">IF(E103="","",E103-D103+AH103+AK103)</f>
        <v>4.90625</v>
      </c>
      <c r="AB103" s="618">
        <f t="shared" ref="AB103" si="261">IF(G103="","",G103-D103)</f>
        <v>6.1944444444452529</v>
      </c>
      <c r="AC103" s="619">
        <f t="shared" ref="AC103" si="262">IF(H103="","",H103-D103)</f>
        <v>6.4861111111094942</v>
      </c>
      <c r="AD103" s="620">
        <f t="shared" ref="AD103" si="263">IF(N103=0,"",((N103/AE103)*24)/24)</f>
        <v>27385.791044757087</v>
      </c>
      <c r="AE103" s="621">
        <f t="shared" ref="AE103:AE107" si="264">IF(G103="",0,(G103-F103)-(AJ103-AI103)-(AG103-AF103))</f>
        <v>1.1631944444452529</v>
      </c>
      <c r="AF103" s="617"/>
      <c r="AG103" s="617"/>
      <c r="AH103" s="617">
        <f t="shared" si="258"/>
        <v>0</v>
      </c>
      <c r="AI103" s="617"/>
      <c r="AJ103" s="617"/>
      <c r="AK103" s="617">
        <f t="shared" si="259"/>
        <v>0</v>
      </c>
      <c r="AL103" s="601"/>
      <c r="AM103" s="601" t="s">
        <v>467</v>
      </c>
      <c r="AN103" s="601" t="s">
        <v>468</v>
      </c>
      <c r="AO103" s="622" t="s">
        <v>323</v>
      </c>
      <c r="AP103" s="622" t="s">
        <v>519</v>
      </c>
      <c r="AQ103" s="623" t="s">
        <v>401</v>
      </c>
      <c r="AS103" s="82" t="str">
        <f t="shared" si="185"/>
        <v>태경비케이</v>
      </c>
      <c r="AT103" s="311">
        <f t="shared" si="186"/>
        <v>32100</v>
      </c>
      <c r="AV103" s="218">
        <f t="shared" si="223"/>
        <v>1</v>
      </c>
      <c r="AW103" s="218">
        <f t="shared" si="223"/>
        <v>0</v>
      </c>
      <c r="AX103" s="219">
        <f t="shared" si="187"/>
        <v>1</v>
      </c>
      <c r="AY103" s="219">
        <f t="shared" si="188"/>
        <v>0</v>
      </c>
      <c r="AZ103" s="136">
        <f t="shared" si="189"/>
        <v>1</v>
      </c>
    </row>
    <row r="104" spans="2:52" s="82" customFormat="1" ht="13.5">
      <c r="B104" s="609"/>
      <c r="C104" s="606"/>
      <c r="D104" s="610"/>
      <c r="E104" s="610"/>
      <c r="F104" s="610"/>
      <c r="G104" s="610"/>
      <c r="H104" s="610"/>
      <c r="I104" s="611"/>
      <c r="J104" s="612"/>
      <c r="K104" s="613"/>
      <c r="L104" s="614"/>
      <c r="M104" s="614"/>
      <c r="N104" s="614">
        <v>0</v>
      </c>
      <c r="O104" s="615"/>
      <c r="P104" s="615"/>
      <c r="Q104" s="613"/>
      <c r="R104" s="601"/>
      <c r="S104" s="601"/>
      <c r="T104" s="601"/>
      <c r="U104" s="601"/>
      <c r="V104" s="601"/>
      <c r="W104" s="613"/>
      <c r="X104" s="613"/>
      <c r="Y104" s="616"/>
      <c r="Z104" s="617"/>
      <c r="AA104" s="617"/>
      <c r="AB104" s="617"/>
      <c r="AC104" s="617"/>
      <c r="AD104" s="620"/>
      <c r="AE104" s="603"/>
      <c r="AF104" s="603"/>
      <c r="AG104" s="603"/>
      <c r="AH104" s="603"/>
      <c r="AI104" s="603"/>
      <c r="AJ104" s="603"/>
      <c r="AK104" s="603"/>
      <c r="AL104" s="601"/>
      <c r="AM104" s="601"/>
      <c r="AN104" s="601"/>
      <c r="AO104" s="622"/>
      <c r="AP104" s="622"/>
      <c r="AQ104" s="624"/>
      <c r="AS104" s="82">
        <f t="shared" si="185"/>
        <v>0</v>
      </c>
      <c r="AT104" s="311">
        <f t="shared" si="186"/>
        <v>0</v>
      </c>
      <c r="AV104" s="218">
        <f t="shared" si="223"/>
        <v>0</v>
      </c>
      <c r="AW104" s="218">
        <f t="shared" si="223"/>
        <v>0</v>
      </c>
      <c r="AX104" s="219">
        <f t="shared" si="187"/>
        <v>0</v>
      </c>
      <c r="AY104" s="219">
        <f t="shared" si="188"/>
        <v>0</v>
      </c>
      <c r="AZ104" s="136">
        <f t="shared" si="189"/>
        <v>0</v>
      </c>
    </row>
    <row r="105" spans="2:52" s="82" customFormat="1" ht="17.45" customHeight="1">
      <c r="B105" s="609" t="s">
        <v>194</v>
      </c>
      <c r="C105" s="606" t="s">
        <v>509</v>
      </c>
      <c r="D105" s="610">
        <v>44752.791666666664</v>
      </c>
      <c r="E105" s="610">
        <v>44758.451388888891</v>
      </c>
      <c r="F105" s="610">
        <v>44758.708333333336</v>
      </c>
      <c r="G105" s="610">
        <v>44761.131944444445</v>
      </c>
      <c r="H105" s="610">
        <v>44761.208333333336</v>
      </c>
      <c r="I105" s="611">
        <f>+E105-D105+AH105+AK105</f>
        <v>5.6597222222262644</v>
      </c>
      <c r="J105" s="612">
        <f>G105-D105</f>
        <v>8.3402777777810115</v>
      </c>
      <c r="K105" s="613">
        <v>52100</v>
      </c>
      <c r="L105" s="614"/>
      <c r="M105" s="614">
        <v>52100</v>
      </c>
      <c r="N105" s="614">
        <f t="shared" ref="N105:N107" si="265">L105+M105</f>
        <v>52100</v>
      </c>
      <c r="O105" s="615">
        <v>44768</v>
      </c>
      <c r="P105" s="613"/>
      <c r="Q105" s="613" t="s">
        <v>278</v>
      </c>
      <c r="R105" s="601" t="s">
        <v>180</v>
      </c>
      <c r="S105" s="601" t="s">
        <v>498</v>
      </c>
      <c r="T105" s="601" t="s">
        <v>516</v>
      </c>
      <c r="U105" s="601" t="s">
        <v>181</v>
      </c>
      <c r="V105" s="601" t="s">
        <v>184</v>
      </c>
      <c r="W105" s="613">
        <v>53591</v>
      </c>
      <c r="X105" s="613">
        <v>31261</v>
      </c>
      <c r="Y105" s="616">
        <v>190</v>
      </c>
      <c r="Z105" s="617">
        <v>10</v>
      </c>
      <c r="AA105" s="618">
        <f t="shared" ref="AA105" si="266">IF(E105="","",E105-D105+AH105+AK105)</f>
        <v>5.6597222222262644</v>
      </c>
      <c r="AB105" s="618">
        <f t="shared" ref="AB105" si="267">IF(G105="","",G105-D105)</f>
        <v>8.3402777777810115</v>
      </c>
      <c r="AC105" s="619">
        <f t="shared" ref="AC105" si="268">IF(H105="","",H105-D105)</f>
        <v>8.4166666666715173</v>
      </c>
      <c r="AD105" s="620">
        <f t="shared" ref="AD105" si="269">IF(N105=0,"",((N105/AE105)*24)/24)</f>
        <v>21496.848137550158</v>
      </c>
      <c r="AE105" s="621">
        <f t="shared" si="264"/>
        <v>2.4236111111094942</v>
      </c>
      <c r="AF105" s="617"/>
      <c r="AG105" s="617"/>
      <c r="AH105" s="617">
        <f t="shared" si="258"/>
        <v>0</v>
      </c>
      <c r="AI105" s="617"/>
      <c r="AJ105" s="617"/>
      <c r="AK105" s="617">
        <f t="shared" si="259"/>
        <v>0</v>
      </c>
      <c r="AL105" s="601"/>
      <c r="AM105" s="601" t="s">
        <v>510</v>
      </c>
      <c r="AN105" s="601" t="s">
        <v>511</v>
      </c>
      <c r="AO105" s="622" t="s">
        <v>209</v>
      </c>
      <c r="AP105" s="622" t="s">
        <v>309</v>
      </c>
      <c r="AQ105" s="623" t="s">
        <v>401</v>
      </c>
      <c r="AS105" s="82" t="str">
        <f t="shared" si="185"/>
        <v>SGC에너지</v>
      </c>
      <c r="AT105" s="311">
        <f t="shared" si="186"/>
        <v>52100</v>
      </c>
      <c r="AV105" s="218">
        <f t="shared" si="223"/>
        <v>0</v>
      </c>
      <c r="AW105" s="218">
        <f t="shared" si="223"/>
        <v>1</v>
      </c>
      <c r="AX105" s="219">
        <f t="shared" si="187"/>
        <v>0</v>
      </c>
      <c r="AY105" s="219">
        <f t="shared" si="188"/>
        <v>1</v>
      </c>
      <c r="AZ105" s="136">
        <f t="shared" si="189"/>
        <v>1</v>
      </c>
    </row>
    <row r="106" spans="2:52" s="82" customFormat="1" ht="13.5">
      <c r="B106" s="609"/>
      <c r="C106" s="606"/>
      <c r="D106" s="610"/>
      <c r="E106" s="610"/>
      <c r="F106" s="610"/>
      <c r="G106" s="610"/>
      <c r="H106" s="610"/>
      <c r="I106" s="611"/>
      <c r="J106" s="612"/>
      <c r="K106" s="613"/>
      <c r="L106" s="614"/>
      <c r="M106" s="614"/>
      <c r="N106" s="614">
        <f t="shared" si="265"/>
        <v>0</v>
      </c>
      <c r="O106" s="615"/>
      <c r="P106" s="615"/>
      <c r="Q106" s="613"/>
      <c r="R106" s="601"/>
      <c r="S106" s="601"/>
      <c r="T106" s="601"/>
      <c r="U106" s="601"/>
      <c r="V106" s="601"/>
      <c r="W106" s="613"/>
      <c r="X106" s="613"/>
      <c r="Y106" s="616"/>
      <c r="Z106" s="617"/>
      <c r="AA106" s="617"/>
      <c r="AB106" s="617"/>
      <c r="AC106" s="617"/>
      <c r="AD106" s="620"/>
      <c r="AE106" s="603"/>
      <c r="AF106" s="603"/>
      <c r="AG106" s="603"/>
      <c r="AH106" s="603"/>
      <c r="AI106" s="603"/>
      <c r="AJ106" s="603"/>
      <c r="AK106" s="603"/>
      <c r="AL106" s="601"/>
      <c r="AM106" s="601"/>
      <c r="AN106" s="601"/>
      <c r="AO106" s="622"/>
      <c r="AP106" s="622"/>
      <c r="AQ106" s="624"/>
      <c r="AS106" s="82">
        <f t="shared" si="185"/>
        <v>0</v>
      </c>
      <c r="AT106" s="311">
        <f t="shared" si="186"/>
        <v>0</v>
      </c>
      <c r="AV106" s="218">
        <f t="shared" si="223"/>
        <v>0</v>
      </c>
      <c r="AW106" s="218">
        <f t="shared" si="223"/>
        <v>0</v>
      </c>
      <c r="AX106" s="219">
        <f t="shared" si="187"/>
        <v>0</v>
      </c>
      <c r="AY106" s="219">
        <f t="shared" si="188"/>
        <v>0</v>
      </c>
      <c r="AZ106" s="136">
        <f t="shared" si="189"/>
        <v>0</v>
      </c>
    </row>
    <row r="107" spans="2:52" s="82" customFormat="1" ht="26.25" customHeight="1">
      <c r="B107" s="609" t="s">
        <v>188</v>
      </c>
      <c r="C107" s="606" t="s">
        <v>461</v>
      </c>
      <c r="D107" s="610">
        <v>44753.666666666664</v>
      </c>
      <c r="E107" s="610">
        <v>44753.762499999997</v>
      </c>
      <c r="F107" s="610">
        <v>44753.826388888891</v>
      </c>
      <c r="G107" s="610">
        <v>44758.15625</v>
      </c>
      <c r="H107" s="610">
        <v>44758.229166666664</v>
      </c>
      <c r="I107" s="611">
        <f>+E107-D107+AH107+AK107</f>
        <v>0.125</v>
      </c>
      <c r="J107" s="612">
        <f>G107-D107</f>
        <v>4.4895833333357587</v>
      </c>
      <c r="K107" s="613">
        <v>44872</v>
      </c>
      <c r="L107" s="614">
        <v>44872</v>
      </c>
      <c r="M107" s="614"/>
      <c r="N107" s="614">
        <f t="shared" si="265"/>
        <v>44872</v>
      </c>
      <c r="O107" s="615">
        <v>44768</v>
      </c>
      <c r="P107" s="613"/>
      <c r="Q107" s="613" t="s">
        <v>285</v>
      </c>
      <c r="R107" s="601" t="s">
        <v>189</v>
      </c>
      <c r="S107" s="601" t="s">
        <v>356</v>
      </c>
      <c r="T107" s="601" t="s">
        <v>324</v>
      </c>
      <c r="U107" s="601" t="s">
        <v>350</v>
      </c>
      <c r="V107" s="601" t="s">
        <v>191</v>
      </c>
      <c r="W107" s="613">
        <v>179135</v>
      </c>
      <c r="X107" s="613">
        <v>95432</v>
      </c>
      <c r="Y107" s="616">
        <v>291.97000000000003</v>
      </c>
      <c r="Z107" s="617">
        <v>18.221499999999999</v>
      </c>
      <c r="AA107" s="618">
        <f t="shared" ref="AA107" si="270">IF(E107="","",E107-D107+AH107+AK107)</f>
        <v>0.125</v>
      </c>
      <c r="AB107" s="618">
        <f t="shared" ref="AB107" si="271">IF(G107="","",G107-D107)</f>
        <v>4.4895833333357587</v>
      </c>
      <c r="AC107" s="619">
        <f t="shared" ref="AC107" si="272">IF(H107="","",H107-D107)</f>
        <v>4.5625</v>
      </c>
      <c r="AD107" s="620">
        <f t="shared" ref="AD107" si="273">IF(N107=0,"",((N107/AE107)*24)/24)</f>
        <v>10433.663813988629</v>
      </c>
      <c r="AE107" s="621">
        <f t="shared" si="264"/>
        <v>4.3006944444423425</v>
      </c>
      <c r="AF107" s="617"/>
      <c r="AG107" s="617"/>
      <c r="AH107" s="617">
        <f t="shared" si="258"/>
        <v>0</v>
      </c>
      <c r="AI107" s="610">
        <v>44754.574999999997</v>
      </c>
      <c r="AJ107" s="610">
        <v>44754.604166666664</v>
      </c>
      <c r="AK107" s="617">
        <f t="shared" si="259"/>
        <v>2.9166666667151731E-2</v>
      </c>
      <c r="AL107" s="601"/>
      <c r="AM107" s="601" t="s">
        <v>462</v>
      </c>
      <c r="AN107" s="601" t="s">
        <v>463</v>
      </c>
      <c r="AO107" s="622" t="s">
        <v>336</v>
      </c>
      <c r="AP107" s="622" t="s">
        <v>309</v>
      </c>
      <c r="AQ107" s="625" t="s">
        <v>520</v>
      </c>
      <c r="AS107" s="82" t="str">
        <f t="shared" si="185"/>
        <v>SNNC</v>
      </c>
      <c r="AT107" s="311">
        <f t="shared" si="186"/>
        <v>44872</v>
      </c>
      <c r="AV107" s="218">
        <f t="shared" si="223"/>
        <v>1</v>
      </c>
      <c r="AW107" s="218">
        <f t="shared" si="223"/>
        <v>0</v>
      </c>
      <c r="AX107" s="219">
        <f t="shared" si="187"/>
        <v>1</v>
      </c>
      <c r="AY107" s="219">
        <f t="shared" si="188"/>
        <v>0</v>
      </c>
      <c r="AZ107" s="136">
        <f t="shared" si="189"/>
        <v>1</v>
      </c>
    </row>
    <row r="108" spans="2:52" s="82" customFormat="1" ht="13.5">
      <c r="B108" s="609"/>
      <c r="C108" s="606"/>
      <c r="D108" s="610"/>
      <c r="E108" s="610"/>
      <c r="F108" s="610"/>
      <c r="G108" s="610"/>
      <c r="H108" s="610"/>
      <c r="I108" s="611"/>
      <c r="J108" s="612"/>
      <c r="K108" s="613"/>
      <c r="L108" s="614"/>
      <c r="M108" s="614"/>
      <c r="N108" s="614">
        <v>0</v>
      </c>
      <c r="O108" s="615"/>
      <c r="P108" s="615"/>
      <c r="Q108" s="613"/>
      <c r="R108" s="601"/>
      <c r="S108" s="601"/>
      <c r="T108" s="601"/>
      <c r="U108" s="601"/>
      <c r="V108" s="601"/>
      <c r="W108" s="613"/>
      <c r="X108" s="613"/>
      <c r="Y108" s="616"/>
      <c r="Z108" s="617"/>
      <c r="AA108" s="617"/>
      <c r="AB108" s="617"/>
      <c r="AC108" s="617"/>
      <c r="AD108" s="620"/>
      <c r="AE108" s="603"/>
      <c r="AF108" s="603"/>
      <c r="AG108" s="603"/>
      <c r="AH108" s="603"/>
      <c r="AI108" s="603"/>
      <c r="AJ108" s="603"/>
      <c r="AK108" s="603"/>
      <c r="AL108" s="601"/>
      <c r="AM108" s="601"/>
      <c r="AN108" s="601"/>
      <c r="AO108" s="622"/>
      <c r="AP108" s="622"/>
      <c r="AQ108" s="624"/>
      <c r="AS108" s="82">
        <f t="shared" si="185"/>
        <v>0</v>
      </c>
      <c r="AT108" s="311">
        <f t="shared" si="186"/>
        <v>0</v>
      </c>
      <c r="AV108" s="218">
        <f t="shared" si="223"/>
        <v>0</v>
      </c>
      <c r="AW108" s="218">
        <f t="shared" si="223"/>
        <v>0</v>
      </c>
      <c r="AX108" s="219">
        <f t="shared" si="187"/>
        <v>0</v>
      </c>
      <c r="AY108" s="219">
        <f t="shared" si="188"/>
        <v>0</v>
      </c>
      <c r="AZ108" s="136">
        <f t="shared" si="189"/>
        <v>0</v>
      </c>
    </row>
    <row r="109" spans="2:52" s="82" customFormat="1" ht="17.45" customHeight="1">
      <c r="B109" s="593" t="s">
        <v>194</v>
      </c>
      <c r="C109" s="524" t="s">
        <v>494</v>
      </c>
      <c r="D109" s="497">
        <v>44759.451388888891</v>
      </c>
      <c r="E109" s="497">
        <v>44759.529166666667</v>
      </c>
      <c r="F109" s="497">
        <v>44759.583333333336</v>
      </c>
      <c r="G109" s="403"/>
      <c r="H109" s="403"/>
      <c r="I109" s="405">
        <f>+E109-D109+AH109+AK109</f>
        <v>7.7777777776645962E-2</v>
      </c>
      <c r="J109" s="406"/>
      <c r="K109" s="407">
        <v>76828</v>
      </c>
      <c r="L109" s="408"/>
      <c r="M109" s="408"/>
      <c r="N109" s="408">
        <f t="shared" ref="N109:N110" si="274">L109+M109</f>
        <v>0</v>
      </c>
      <c r="O109" s="409"/>
      <c r="P109" s="407"/>
      <c r="Q109" s="407" t="s">
        <v>285</v>
      </c>
      <c r="R109" s="396" t="s">
        <v>183</v>
      </c>
      <c r="S109" s="396" t="s">
        <v>523</v>
      </c>
      <c r="T109" s="396" t="s">
        <v>228</v>
      </c>
      <c r="U109" s="396" t="s">
        <v>181</v>
      </c>
      <c r="V109" s="396" t="s">
        <v>184</v>
      </c>
      <c r="W109" s="407">
        <v>82025</v>
      </c>
      <c r="X109" s="407">
        <v>44114</v>
      </c>
      <c r="Y109" s="410">
        <v>229</v>
      </c>
      <c r="Z109" s="411">
        <v>12.2</v>
      </c>
      <c r="AA109" s="376">
        <f t="shared" ref="AA109" si="275">IF(E109="","",E109-D109+AH109+AK109)</f>
        <v>7.7777777776645962E-2</v>
      </c>
      <c r="AB109" s="376" t="str">
        <f t="shared" ref="AB109" si="276">IF(G109="","",G109-D109)</f>
        <v/>
      </c>
      <c r="AC109" s="377" t="str">
        <f t="shared" ref="AC109" si="277">IF(H109="","",H109-D109)</f>
        <v/>
      </c>
      <c r="AD109" s="378" t="str">
        <f t="shared" ref="AD109" si="278">IF(N109=0,"",((N109/AE109)*24)/24)</f>
        <v/>
      </c>
      <c r="AE109" s="412">
        <f t="shared" ref="AE109" si="279">IF(G109="",0,(G109-F109)-(AJ109-AI109)-(AG109-AF109))</f>
        <v>0</v>
      </c>
      <c r="AF109" s="411"/>
      <c r="AG109" s="411"/>
      <c r="AH109" s="411">
        <f t="shared" ref="AH109" si="280">AG109-AF109</f>
        <v>0</v>
      </c>
      <c r="AI109" s="411"/>
      <c r="AJ109" s="411"/>
      <c r="AK109" s="411">
        <f t="shared" ref="AK109" si="281">AJ109-AI109</f>
        <v>0</v>
      </c>
      <c r="AL109" s="396"/>
      <c r="AM109" s="396" t="s">
        <v>495</v>
      </c>
      <c r="AN109" s="396" t="s">
        <v>496</v>
      </c>
      <c r="AO109" s="414" t="s">
        <v>384</v>
      </c>
      <c r="AP109" s="414" t="s">
        <v>399</v>
      </c>
      <c r="AQ109" s="413" t="s">
        <v>497</v>
      </c>
      <c r="AS109" s="82" t="str">
        <f t="shared" si="185"/>
        <v>SGC에너지</v>
      </c>
      <c r="AT109" s="311">
        <f t="shared" si="186"/>
        <v>76828</v>
      </c>
      <c r="AV109" s="218">
        <f t="shared" si="223"/>
        <v>0</v>
      </c>
      <c r="AW109" s="218">
        <f t="shared" si="223"/>
        <v>0</v>
      </c>
      <c r="AX109" s="219">
        <f t="shared" si="187"/>
        <v>0</v>
      </c>
      <c r="AY109" s="219">
        <f t="shared" si="188"/>
        <v>0</v>
      </c>
      <c r="AZ109" s="136">
        <f t="shared" si="189"/>
        <v>0</v>
      </c>
    </row>
    <row r="110" spans="2:52" s="82" customFormat="1" ht="40.5">
      <c r="B110" s="593"/>
      <c r="C110" s="524"/>
      <c r="D110" s="497"/>
      <c r="E110" s="497"/>
      <c r="F110" s="497"/>
      <c r="G110" s="403"/>
      <c r="H110" s="403"/>
      <c r="I110" s="405"/>
      <c r="J110" s="406"/>
      <c r="K110" s="407"/>
      <c r="L110" s="408"/>
      <c r="M110" s="408"/>
      <c r="N110" s="408">
        <f t="shared" si="274"/>
        <v>0</v>
      </c>
      <c r="O110" s="409"/>
      <c r="P110" s="409"/>
      <c r="Q110" s="407"/>
      <c r="R110" s="396"/>
      <c r="S110" s="396"/>
      <c r="T110" s="396"/>
      <c r="U110" s="396"/>
      <c r="V110" s="396"/>
      <c r="W110" s="407"/>
      <c r="X110" s="407"/>
      <c r="Y110" s="410"/>
      <c r="Z110" s="411"/>
      <c r="AA110" s="411"/>
      <c r="AB110" s="411"/>
      <c r="AC110" s="411"/>
      <c r="AD110" s="378"/>
      <c r="AE110" s="398"/>
      <c r="AF110" s="398"/>
      <c r="AG110" s="398"/>
      <c r="AH110" s="398"/>
      <c r="AI110" s="398"/>
      <c r="AJ110" s="398"/>
      <c r="AK110" s="398"/>
      <c r="AL110" s="396"/>
      <c r="AM110" s="396"/>
      <c r="AN110" s="396"/>
      <c r="AO110" s="414"/>
      <c r="AP110" s="414"/>
      <c r="AQ110" s="106" t="s">
        <v>524</v>
      </c>
      <c r="AS110" s="82">
        <f t="shared" si="185"/>
        <v>0</v>
      </c>
      <c r="AT110" s="311">
        <f t="shared" si="186"/>
        <v>0</v>
      </c>
      <c r="AV110" s="218">
        <f t="shared" si="223"/>
        <v>0</v>
      </c>
      <c r="AW110" s="218">
        <f t="shared" si="223"/>
        <v>0</v>
      </c>
      <c r="AX110" s="219">
        <f t="shared" si="187"/>
        <v>0</v>
      </c>
      <c r="AY110" s="219">
        <f t="shared" si="188"/>
        <v>0</v>
      </c>
      <c r="AZ110" s="136">
        <f t="shared" si="189"/>
        <v>0</v>
      </c>
    </row>
    <row r="111" spans="2:52" s="82" customFormat="1" ht="17.45" customHeight="1">
      <c r="B111" s="372" t="s">
        <v>185</v>
      </c>
      <c r="C111" s="71" t="s">
        <v>525</v>
      </c>
      <c r="D111" s="64">
        <v>44768.833333333336</v>
      </c>
      <c r="E111" s="508"/>
      <c r="F111" s="403"/>
      <c r="G111" s="403"/>
      <c r="H111" s="403"/>
      <c r="I111" s="405"/>
      <c r="J111" s="406"/>
      <c r="K111" s="407">
        <v>79487</v>
      </c>
      <c r="L111" s="408"/>
      <c r="M111" s="408"/>
      <c r="N111" s="408">
        <v>0</v>
      </c>
      <c r="O111" s="409"/>
      <c r="P111" s="407"/>
      <c r="Q111" s="407" t="s">
        <v>278</v>
      </c>
      <c r="R111" s="396" t="s">
        <v>183</v>
      </c>
      <c r="S111" s="396" t="s">
        <v>354</v>
      </c>
      <c r="T111" s="396" t="s">
        <v>228</v>
      </c>
      <c r="U111" s="396" t="s">
        <v>181</v>
      </c>
      <c r="V111" s="396" t="s">
        <v>184</v>
      </c>
      <c r="W111" s="83">
        <v>81399</v>
      </c>
      <c r="X111" s="83">
        <v>44102</v>
      </c>
      <c r="Y111" s="206">
        <v>229</v>
      </c>
      <c r="Z111" s="84">
        <v>14.52</v>
      </c>
      <c r="AA111" s="192" t="str">
        <f t="shared" ref="AA111" si="282">IF(E111="","",E111-D111+AH111+AK111)</f>
        <v/>
      </c>
      <c r="AB111" s="192" t="str">
        <f t="shared" ref="AB111" si="283">IF(G111="","",G111-D111)</f>
        <v/>
      </c>
      <c r="AC111" s="193" t="str">
        <f t="shared" ref="AC111" si="284">IF(H111="","",H111-D111)</f>
        <v/>
      </c>
      <c r="AD111" s="89" t="str">
        <f t="shared" ref="AD111" si="285">IF(N111=0,"",((N111/AE111)*24)/24)</f>
        <v/>
      </c>
      <c r="AE111" s="194">
        <f t="shared" ref="AE111" si="286">IF(G111="",0,(G111-F111)-(AJ111-AI111)-(AG111-AF111))</f>
        <v>0</v>
      </c>
      <c r="AF111" s="72"/>
      <c r="AG111" s="72"/>
      <c r="AH111" s="72">
        <f t="shared" ref="AH111" si="287">AG111-AF111</f>
        <v>0</v>
      </c>
      <c r="AI111" s="72"/>
      <c r="AJ111" s="72"/>
      <c r="AK111" s="72">
        <f t="shared" ref="AK111" si="288">AJ111-AI111</f>
        <v>0</v>
      </c>
      <c r="AL111" s="70"/>
      <c r="AM111" s="73" t="s">
        <v>526</v>
      </c>
      <c r="AN111" s="73" t="s">
        <v>527</v>
      </c>
      <c r="AO111" s="414" t="s">
        <v>288</v>
      </c>
      <c r="AP111" s="414" t="s">
        <v>309</v>
      </c>
      <c r="AQ111" s="413" t="s">
        <v>401</v>
      </c>
      <c r="AS111" s="82" t="str">
        <f t="shared" si="185"/>
        <v>남동발전</v>
      </c>
      <c r="AT111" s="311">
        <f t="shared" si="186"/>
        <v>79487</v>
      </c>
      <c r="AV111" s="218">
        <f t="shared" si="223"/>
        <v>0</v>
      </c>
      <c r="AW111" s="218">
        <f t="shared" si="223"/>
        <v>0</v>
      </c>
      <c r="AX111" s="219">
        <f t="shared" si="187"/>
        <v>0</v>
      </c>
      <c r="AY111" s="219">
        <f t="shared" si="188"/>
        <v>0</v>
      </c>
      <c r="AZ111" s="136">
        <f t="shared" si="189"/>
        <v>0</v>
      </c>
    </row>
    <row r="112" spans="2:52" s="82" customFormat="1" ht="27">
      <c r="B112" s="372"/>
      <c r="C112" s="400"/>
      <c r="D112" s="403"/>
      <c r="E112" s="403"/>
      <c r="F112" s="403"/>
      <c r="G112" s="403"/>
      <c r="H112" s="403"/>
      <c r="I112" s="405"/>
      <c r="J112" s="406"/>
      <c r="K112" s="407"/>
      <c r="L112" s="408"/>
      <c r="M112" s="408"/>
      <c r="N112" s="408">
        <v>0</v>
      </c>
      <c r="O112" s="409"/>
      <c r="P112" s="409"/>
      <c r="Q112" s="407"/>
      <c r="R112" s="396"/>
      <c r="S112" s="396"/>
      <c r="T112" s="396"/>
      <c r="U112" s="396"/>
      <c r="V112" s="396"/>
      <c r="W112" s="407"/>
      <c r="X112" s="407"/>
      <c r="Y112" s="410"/>
      <c r="Z112" s="411"/>
      <c r="AA112" s="411"/>
      <c r="AB112" s="411"/>
      <c r="AC112" s="411"/>
      <c r="AD112" s="378"/>
      <c r="AE112" s="398"/>
      <c r="AF112" s="398"/>
      <c r="AG112" s="398"/>
      <c r="AH112" s="398"/>
      <c r="AI112" s="398"/>
      <c r="AJ112" s="398"/>
      <c r="AK112" s="398"/>
      <c r="AL112" s="396"/>
      <c r="AM112" s="396"/>
      <c r="AN112" s="396"/>
      <c r="AO112" s="414"/>
      <c r="AP112" s="414"/>
      <c r="AQ112" s="106" t="s">
        <v>528</v>
      </c>
      <c r="AS112" s="82">
        <f t="shared" si="185"/>
        <v>0</v>
      </c>
      <c r="AT112" s="311">
        <f t="shared" si="186"/>
        <v>0</v>
      </c>
      <c r="AV112" s="218">
        <f t="shared" si="223"/>
        <v>0</v>
      </c>
      <c r="AW112" s="218">
        <f t="shared" si="223"/>
        <v>0</v>
      </c>
      <c r="AX112" s="219">
        <f t="shared" si="187"/>
        <v>0</v>
      </c>
      <c r="AY112" s="219">
        <f t="shared" si="188"/>
        <v>0</v>
      </c>
      <c r="AZ112" s="136">
        <f t="shared" si="189"/>
        <v>0</v>
      </c>
    </row>
    <row r="113" spans="2:52" ht="17.45" customHeight="1" thickBot="1">
      <c r="B113" s="495"/>
      <c r="C113" s="480"/>
      <c r="D113" s="481"/>
      <c r="E113" s="481"/>
      <c r="F113" s="481"/>
      <c r="G113" s="481"/>
      <c r="H113" s="481"/>
      <c r="I113" s="493">
        <f>IFERROR(AVERAGE(I100:I112),0)</f>
        <v>3.2362500000002909</v>
      </c>
      <c r="J113" s="493">
        <f>IFERROR(AVERAGE(J100:J112),0)</f>
        <v>7.0850694444452529</v>
      </c>
      <c r="K113" s="485">
        <f>SUM(K100:K112)</f>
        <v>364442</v>
      </c>
      <c r="L113" s="484">
        <f>SUM(L100:L112)</f>
        <v>76727</v>
      </c>
      <c r="M113" s="484">
        <f>SUM(M100:M112)</f>
        <v>131155</v>
      </c>
      <c r="N113" s="483">
        <f>SUM(N100:N112)</f>
        <v>207882</v>
      </c>
      <c r="O113" s="485"/>
      <c r="P113" s="485"/>
      <c r="Q113" s="485"/>
      <c r="R113" s="480"/>
      <c r="S113" s="480"/>
      <c r="T113" s="486"/>
      <c r="U113" s="487"/>
      <c r="V113" s="486"/>
      <c r="W113" s="488"/>
      <c r="X113" s="488"/>
      <c r="Y113" s="489"/>
      <c r="Z113" s="490"/>
      <c r="AA113" s="490"/>
      <c r="AB113" s="490"/>
      <c r="AC113" s="490"/>
      <c r="AD113" s="490"/>
      <c r="AE113" s="490"/>
      <c r="AF113" s="490"/>
      <c r="AG113" s="490"/>
      <c r="AH113" s="490"/>
      <c r="AI113" s="490"/>
      <c r="AJ113" s="490"/>
      <c r="AK113" s="490"/>
      <c r="AL113" s="491"/>
      <c r="AM113" s="491"/>
      <c r="AN113" s="491"/>
      <c r="AO113" s="487"/>
      <c r="AP113" s="487"/>
      <c r="AQ113" s="492"/>
      <c r="AS113" s="82">
        <f t="shared" si="185"/>
        <v>0</v>
      </c>
      <c r="AT113" s="311">
        <f t="shared" si="186"/>
        <v>364442</v>
      </c>
      <c r="AU113" s="82"/>
      <c r="AV113" s="218">
        <f t="shared" si="223"/>
        <v>1</v>
      </c>
      <c r="AW113" s="218">
        <f t="shared" si="223"/>
        <v>1</v>
      </c>
      <c r="AX113" s="219">
        <f t="shared" si="187"/>
        <v>0.5</v>
      </c>
      <c r="AY113" s="219">
        <f t="shared" si="188"/>
        <v>0.5</v>
      </c>
      <c r="AZ113" s="136">
        <f t="shared" si="189"/>
        <v>1</v>
      </c>
    </row>
    <row r="114" spans="2:52" s="82" customFormat="1" ht="24.95" customHeight="1" thickBot="1">
      <c r="B114" s="246" t="s">
        <v>248</v>
      </c>
      <c r="C114" s="117"/>
      <c r="D114" s="117"/>
      <c r="E114" s="117"/>
      <c r="F114" s="117"/>
      <c r="G114" s="117"/>
      <c r="H114" s="117"/>
      <c r="I114" s="117"/>
      <c r="J114" s="117"/>
      <c r="K114" s="117"/>
      <c r="L114" s="146"/>
      <c r="M114" s="146"/>
      <c r="N114" s="146"/>
      <c r="O114" s="117"/>
      <c r="P114" s="117"/>
      <c r="Q114" s="117"/>
      <c r="R114" s="117"/>
      <c r="S114" s="117"/>
      <c r="T114" s="475"/>
      <c r="U114" s="117"/>
      <c r="V114" s="117"/>
      <c r="W114" s="117"/>
      <c r="X114" s="117"/>
      <c r="Y114" s="208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7"/>
      <c r="AM114" s="117"/>
      <c r="AN114" s="117"/>
      <c r="AO114" s="117"/>
      <c r="AP114" s="117"/>
      <c r="AQ114" s="118"/>
      <c r="AS114" s="82" t="str">
        <f t="shared" si="185"/>
        <v>2022년 8월 반입 예정 선박리스트</v>
      </c>
      <c r="AT114" s="311">
        <f t="shared" si="186"/>
        <v>0</v>
      </c>
      <c r="AV114" s="218">
        <f t="shared" si="223"/>
        <v>0</v>
      </c>
      <c r="AW114" s="218">
        <f t="shared" si="223"/>
        <v>0</v>
      </c>
      <c r="AX114" s="219">
        <f t="shared" si="187"/>
        <v>0</v>
      </c>
      <c r="AY114" s="219">
        <f t="shared" si="188"/>
        <v>0</v>
      </c>
      <c r="AZ114" s="136">
        <f t="shared" si="189"/>
        <v>0</v>
      </c>
    </row>
    <row r="115" spans="2:52" s="82" customFormat="1" ht="17.45" customHeight="1">
      <c r="B115" s="402"/>
      <c r="C115" s="400"/>
      <c r="D115" s="403"/>
      <c r="E115" s="403"/>
      <c r="F115" s="403"/>
      <c r="G115" s="403"/>
      <c r="H115" s="403"/>
      <c r="I115" s="403"/>
      <c r="J115" s="403"/>
      <c r="K115" s="407"/>
      <c r="L115" s="408"/>
      <c r="M115" s="408"/>
      <c r="N115" s="394"/>
      <c r="O115" s="393"/>
      <c r="P115" s="393"/>
      <c r="Q115" s="407"/>
      <c r="R115" s="396"/>
      <c r="S115" s="396"/>
      <c r="T115" s="396"/>
      <c r="U115" s="396"/>
      <c r="V115" s="396"/>
      <c r="W115" s="407"/>
      <c r="X115" s="407"/>
      <c r="Y115" s="410"/>
      <c r="Z115" s="411"/>
      <c r="AA115" s="460"/>
      <c r="AB115" s="460"/>
      <c r="AC115" s="460"/>
      <c r="AD115" s="460"/>
      <c r="AE115" s="460"/>
      <c r="AF115" s="460"/>
      <c r="AG115" s="460"/>
      <c r="AH115" s="460"/>
      <c r="AI115" s="460"/>
      <c r="AJ115" s="460"/>
      <c r="AK115" s="460"/>
      <c r="AL115" s="396"/>
      <c r="AM115" s="396"/>
      <c r="AN115" s="396"/>
      <c r="AO115" s="400"/>
      <c r="AP115" s="476"/>
      <c r="AQ115" s="474"/>
      <c r="AS115" s="82">
        <f t="shared" si="185"/>
        <v>0</v>
      </c>
      <c r="AT115" s="311">
        <f t="shared" si="186"/>
        <v>0</v>
      </c>
      <c r="AV115" s="218">
        <f t="shared" si="223"/>
        <v>0</v>
      </c>
      <c r="AW115" s="218">
        <f t="shared" si="223"/>
        <v>0</v>
      </c>
      <c r="AX115" s="219">
        <f t="shared" si="187"/>
        <v>0</v>
      </c>
      <c r="AY115" s="219">
        <f t="shared" si="188"/>
        <v>0</v>
      </c>
      <c r="AZ115" s="136">
        <f t="shared" si="189"/>
        <v>0</v>
      </c>
    </row>
    <row r="116" spans="2:52" s="82" customFormat="1" ht="17.45" customHeight="1">
      <c r="B116" s="372" t="s">
        <v>187</v>
      </c>
      <c r="C116" s="71" t="s">
        <v>449</v>
      </c>
      <c r="D116" s="64">
        <v>44769.5</v>
      </c>
      <c r="E116" s="508"/>
      <c r="F116" s="403"/>
      <c r="G116" s="403"/>
      <c r="H116" s="403"/>
      <c r="I116" s="405"/>
      <c r="J116" s="406"/>
      <c r="K116" s="407">
        <v>71168</v>
      </c>
      <c r="L116" s="408"/>
      <c r="M116" s="408"/>
      <c r="N116" s="408">
        <v>0</v>
      </c>
      <c r="O116" s="409"/>
      <c r="P116" s="407"/>
      <c r="Q116" s="407"/>
      <c r="R116" s="396" t="s">
        <v>183</v>
      </c>
      <c r="S116" s="396" t="s">
        <v>354</v>
      </c>
      <c r="T116" s="396" t="s">
        <v>228</v>
      </c>
      <c r="U116" s="396" t="s">
        <v>181</v>
      </c>
      <c r="V116" s="396" t="s">
        <v>184</v>
      </c>
      <c r="W116" s="407">
        <v>74694</v>
      </c>
      <c r="X116" s="407">
        <v>38898</v>
      </c>
      <c r="Y116" s="410">
        <v>225</v>
      </c>
      <c r="Z116" s="411">
        <v>13.58</v>
      </c>
      <c r="AA116" s="376" t="str">
        <f t="shared" ref="AA116" si="289">IF(E116="","",E116-D116+AH116+AK116)</f>
        <v/>
      </c>
      <c r="AB116" s="376" t="str">
        <f t="shared" ref="AB116" si="290">IF(G116="","",G116-D116)</f>
        <v/>
      </c>
      <c r="AC116" s="377" t="str">
        <f t="shared" ref="AC116" si="291">IF(H116="","",H116-D116)</f>
        <v/>
      </c>
      <c r="AD116" s="378" t="str">
        <f t="shared" ref="AD116" si="292">IF(N116=0,"",((N116/AE116)*24)/24)</f>
        <v/>
      </c>
      <c r="AE116" s="412">
        <f t="shared" ref="AE116" si="293">IF(G116="",0,(G116-F116)-(AJ116-AI116)-(AG116-AF116))</f>
        <v>0</v>
      </c>
      <c r="AF116" s="411"/>
      <c r="AG116" s="411"/>
      <c r="AH116" s="411">
        <f t="shared" ref="AH116" si="294">AG116-AF116</f>
        <v>0</v>
      </c>
      <c r="AI116" s="411"/>
      <c r="AJ116" s="411"/>
      <c r="AK116" s="411">
        <f t="shared" ref="AK116" si="295">AJ116-AI116</f>
        <v>0</v>
      </c>
      <c r="AL116" s="396"/>
      <c r="AM116" s="396" t="s">
        <v>451</v>
      </c>
      <c r="AN116" s="396" t="s">
        <v>452</v>
      </c>
      <c r="AO116" s="414" t="s">
        <v>288</v>
      </c>
      <c r="AP116" s="414" t="s">
        <v>309</v>
      </c>
      <c r="AQ116" s="413" t="s">
        <v>401</v>
      </c>
      <c r="AS116" s="82" t="str">
        <f t="shared" ref="AS116:AS117" si="296">B116</f>
        <v>한화에너지</v>
      </c>
      <c r="AT116" s="311">
        <f t="shared" ref="AT116:AT117" si="297">K116</f>
        <v>71168</v>
      </c>
      <c r="AV116" s="218">
        <f t="shared" ref="AV116:AV117" si="298">IF(L116=0,0,1)</f>
        <v>0</v>
      </c>
      <c r="AW116" s="218">
        <f t="shared" ref="AW116:AW117" si="299">IF(M116=0,0,1)</f>
        <v>0</v>
      </c>
      <c r="AX116" s="219">
        <f t="shared" ref="AX116:AX117" si="300">IF(AV116+AW116=2,0.5,AV116)</f>
        <v>0</v>
      </c>
      <c r="AY116" s="219">
        <f t="shared" ref="AY116:AY117" si="301">IF(AV116+AW116=2,0.5,AW116)</f>
        <v>0</v>
      </c>
      <c r="AZ116" s="136">
        <f t="shared" ref="AZ116:AZ117" si="302">AX116+AY116</f>
        <v>0</v>
      </c>
    </row>
    <row r="117" spans="2:52" s="82" customFormat="1" ht="13.5">
      <c r="B117" s="372"/>
      <c r="C117" s="400"/>
      <c r="D117" s="403"/>
      <c r="E117" s="403"/>
      <c r="F117" s="403"/>
      <c r="G117" s="403"/>
      <c r="H117" s="403"/>
      <c r="I117" s="405"/>
      <c r="J117" s="406"/>
      <c r="K117" s="407"/>
      <c r="L117" s="408"/>
      <c r="M117" s="408"/>
      <c r="N117" s="408">
        <v>0</v>
      </c>
      <c r="O117" s="409"/>
      <c r="P117" s="409"/>
      <c r="Q117" s="407"/>
      <c r="R117" s="396"/>
      <c r="S117" s="396"/>
      <c r="T117" s="396"/>
      <c r="U117" s="396"/>
      <c r="V117" s="396"/>
      <c r="W117" s="407"/>
      <c r="X117" s="407"/>
      <c r="Y117" s="410"/>
      <c r="Z117" s="411"/>
      <c r="AA117" s="411"/>
      <c r="AB117" s="411"/>
      <c r="AC117" s="411"/>
      <c r="AD117" s="378"/>
      <c r="AE117" s="398"/>
      <c r="AF117" s="398"/>
      <c r="AG117" s="398"/>
      <c r="AH117" s="398"/>
      <c r="AI117" s="398"/>
      <c r="AJ117" s="398"/>
      <c r="AK117" s="398"/>
      <c r="AL117" s="396"/>
      <c r="AM117" s="396"/>
      <c r="AN117" s="396"/>
      <c r="AO117" s="414"/>
      <c r="AP117" s="414"/>
      <c r="AQ117" s="106" t="s">
        <v>210</v>
      </c>
      <c r="AS117" s="82">
        <f t="shared" si="296"/>
        <v>0</v>
      </c>
      <c r="AT117" s="311">
        <f t="shared" si="297"/>
        <v>0</v>
      </c>
      <c r="AV117" s="218">
        <f t="shared" si="298"/>
        <v>0</v>
      </c>
      <c r="AW117" s="218">
        <f t="shared" si="299"/>
        <v>0</v>
      </c>
      <c r="AX117" s="219">
        <f t="shared" si="300"/>
        <v>0</v>
      </c>
      <c r="AY117" s="219">
        <f t="shared" si="301"/>
        <v>0</v>
      </c>
      <c r="AZ117" s="136">
        <f t="shared" si="302"/>
        <v>0</v>
      </c>
    </row>
    <row r="118" spans="2:52" s="82" customFormat="1" ht="45" customHeight="1">
      <c r="B118" s="372" t="s">
        <v>428</v>
      </c>
      <c r="C118" s="71" t="s">
        <v>499</v>
      </c>
      <c r="D118" s="64">
        <v>44776.5</v>
      </c>
      <c r="E118" s="508"/>
      <c r="F118" s="403"/>
      <c r="G118" s="403"/>
      <c r="H118" s="403"/>
      <c r="I118" s="405"/>
      <c r="J118" s="406"/>
      <c r="K118" s="407">
        <v>78000</v>
      </c>
      <c r="L118" s="408"/>
      <c r="M118" s="408"/>
      <c r="N118" s="408">
        <v>0</v>
      </c>
      <c r="O118" s="409"/>
      <c r="P118" s="407"/>
      <c r="Q118" s="407"/>
      <c r="R118" s="396" t="s">
        <v>180</v>
      </c>
      <c r="S118" s="396" t="s">
        <v>530</v>
      </c>
      <c r="T118" s="396" t="s">
        <v>484</v>
      </c>
      <c r="U118" s="396" t="s">
        <v>531</v>
      </c>
      <c r="V118" s="396" t="s">
        <v>184</v>
      </c>
      <c r="W118" s="407">
        <v>82471</v>
      </c>
      <c r="X118" s="407">
        <v>43158</v>
      </c>
      <c r="Y118" s="410">
        <v>229</v>
      </c>
      <c r="Z118" s="411">
        <v>14.4</v>
      </c>
      <c r="AA118" s="376" t="str">
        <f t="shared" ref="AA118" si="303">IF(E118="","",E118-D118+AH118+AK118)</f>
        <v/>
      </c>
      <c r="AB118" s="376" t="str">
        <f t="shared" ref="AB118" si="304">IF(G118="","",G118-D118)</f>
        <v/>
      </c>
      <c r="AC118" s="377" t="str">
        <f t="shared" ref="AC118" si="305">IF(H118="","",H118-D118)</f>
        <v/>
      </c>
      <c r="AD118" s="378" t="str">
        <f t="shared" ref="AD118" si="306">IF(N118=0,"",((N118/AE118)*24)/24)</f>
        <v/>
      </c>
      <c r="AE118" s="412">
        <v>0</v>
      </c>
      <c r="AF118" s="411"/>
      <c r="AG118" s="411"/>
      <c r="AH118" s="411">
        <f t="shared" ref="AH118" si="307">AG118-AF118</f>
        <v>0</v>
      </c>
      <c r="AI118" s="411"/>
      <c r="AJ118" s="411"/>
      <c r="AK118" s="411">
        <f t="shared" ref="AK118" si="308">AJ118-AI118</f>
        <v>0</v>
      </c>
      <c r="AL118" s="396"/>
      <c r="AM118" s="396" t="s">
        <v>231</v>
      </c>
      <c r="AN118" s="396" t="s">
        <v>500</v>
      </c>
      <c r="AO118" s="414"/>
      <c r="AP118" s="414"/>
      <c r="AQ118" s="413" t="s">
        <v>521</v>
      </c>
      <c r="AS118" s="82" t="str">
        <f t="shared" si="185"/>
        <v>태평양시멘트</v>
      </c>
      <c r="AT118" s="311">
        <f t="shared" si="186"/>
        <v>78000</v>
      </c>
      <c r="AV118" s="218">
        <f t="shared" si="223"/>
        <v>0</v>
      </c>
      <c r="AW118" s="218">
        <f t="shared" si="223"/>
        <v>0</v>
      </c>
      <c r="AX118" s="219">
        <f t="shared" si="187"/>
        <v>0</v>
      </c>
      <c r="AY118" s="219">
        <f t="shared" si="188"/>
        <v>0</v>
      </c>
      <c r="AZ118" s="136">
        <f t="shared" si="189"/>
        <v>0</v>
      </c>
    </row>
    <row r="119" spans="2:52" s="82" customFormat="1" ht="17.45" customHeight="1">
      <c r="B119" s="372"/>
      <c r="C119" s="400"/>
      <c r="D119" s="403"/>
      <c r="E119" s="403"/>
      <c r="F119" s="403"/>
      <c r="G119" s="403"/>
      <c r="H119" s="403"/>
      <c r="I119" s="405"/>
      <c r="J119" s="406"/>
      <c r="K119" s="407"/>
      <c r="L119" s="408"/>
      <c r="M119" s="408"/>
      <c r="N119" s="408">
        <v>0</v>
      </c>
      <c r="O119" s="409"/>
      <c r="P119" s="409"/>
      <c r="Q119" s="407"/>
      <c r="R119" s="396"/>
      <c r="S119" s="396"/>
      <c r="T119" s="396"/>
      <c r="U119" s="396"/>
      <c r="V119" s="396"/>
      <c r="W119" s="407"/>
      <c r="X119" s="407"/>
      <c r="Y119" s="410"/>
      <c r="Z119" s="411"/>
      <c r="AA119" s="411"/>
      <c r="AB119" s="411"/>
      <c r="AC119" s="411"/>
      <c r="AD119" s="378"/>
      <c r="AE119" s="398"/>
      <c r="AF119" s="398"/>
      <c r="AG119" s="398"/>
      <c r="AH119" s="398"/>
      <c r="AI119" s="398"/>
      <c r="AJ119" s="398"/>
      <c r="AK119" s="398"/>
      <c r="AL119" s="396"/>
      <c r="AM119" s="396"/>
      <c r="AN119" s="396"/>
      <c r="AO119" s="414"/>
      <c r="AP119" s="414"/>
      <c r="AQ119" s="106" t="s">
        <v>210</v>
      </c>
      <c r="AS119" s="82">
        <f t="shared" si="185"/>
        <v>0</v>
      </c>
      <c r="AT119" s="311">
        <f t="shared" si="186"/>
        <v>0</v>
      </c>
      <c r="AV119" s="218">
        <f t="shared" si="223"/>
        <v>0</v>
      </c>
      <c r="AW119" s="218">
        <f t="shared" si="223"/>
        <v>0</v>
      </c>
      <c r="AX119" s="219">
        <f t="shared" si="187"/>
        <v>0</v>
      </c>
      <c r="AY119" s="219">
        <f t="shared" si="188"/>
        <v>0</v>
      </c>
      <c r="AZ119" s="136">
        <f t="shared" si="189"/>
        <v>0</v>
      </c>
    </row>
    <row r="120" spans="2:52" s="82" customFormat="1" ht="17.45" customHeight="1">
      <c r="B120" s="372" t="s">
        <v>185</v>
      </c>
      <c r="C120" s="71" t="s">
        <v>529</v>
      </c>
      <c r="D120" s="64">
        <v>44782.5</v>
      </c>
      <c r="E120" s="508"/>
      <c r="F120" s="403"/>
      <c r="G120" s="403"/>
      <c r="H120" s="403"/>
      <c r="I120" s="405"/>
      <c r="J120" s="406"/>
      <c r="K120" s="407">
        <v>75000</v>
      </c>
      <c r="L120" s="408"/>
      <c r="M120" s="408"/>
      <c r="N120" s="408">
        <v>0</v>
      </c>
      <c r="O120" s="409"/>
      <c r="P120" s="407"/>
      <c r="Q120" s="407"/>
      <c r="R120" s="396" t="s">
        <v>183</v>
      </c>
      <c r="S120" s="396" t="s">
        <v>354</v>
      </c>
      <c r="T120" s="396" t="s">
        <v>228</v>
      </c>
      <c r="U120" s="396" t="s">
        <v>532</v>
      </c>
      <c r="V120" s="396" t="s">
        <v>184</v>
      </c>
      <c r="W120" s="407">
        <v>81170</v>
      </c>
      <c r="X120" s="407">
        <v>44003</v>
      </c>
      <c r="Y120" s="410">
        <v>229</v>
      </c>
      <c r="Z120" s="411"/>
      <c r="AA120" s="376" t="str">
        <f t="shared" ref="AA120" si="309">IF(E120="","",E120-D120+AH120+AK120)</f>
        <v/>
      </c>
      <c r="AB120" s="376" t="str">
        <f t="shared" ref="AB120" si="310">IF(G120="","",G120-D120)</f>
        <v/>
      </c>
      <c r="AC120" s="377" t="str">
        <f t="shared" ref="AC120" si="311">IF(H120="","",H120-D120)</f>
        <v/>
      </c>
      <c r="AD120" s="378" t="str">
        <f t="shared" ref="AD120" si="312">IF(N120=0,"",((N120/AE120)*24)/24)</f>
        <v/>
      </c>
      <c r="AE120" s="412">
        <v>0</v>
      </c>
      <c r="AF120" s="411"/>
      <c r="AG120" s="411"/>
      <c r="AH120" s="411">
        <f t="shared" ref="AH120" si="313">AG120-AF120</f>
        <v>0</v>
      </c>
      <c r="AI120" s="411"/>
      <c r="AJ120" s="411"/>
      <c r="AK120" s="411">
        <f t="shared" ref="AK120" si="314">AJ120-AI120</f>
        <v>0</v>
      </c>
      <c r="AL120" s="396"/>
      <c r="AM120" s="396"/>
      <c r="AN120" s="396"/>
      <c r="AO120" s="414"/>
      <c r="AP120" s="414"/>
      <c r="AQ120" s="413" t="s">
        <v>401</v>
      </c>
      <c r="AS120" s="82" t="str">
        <f t="shared" si="185"/>
        <v>남동발전</v>
      </c>
      <c r="AT120" s="311">
        <f t="shared" si="186"/>
        <v>75000</v>
      </c>
      <c r="AV120" s="218">
        <f t="shared" si="223"/>
        <v>0</v>
      </c>
      <c r="AW120" s="218">
        <f t="shared" si="223"/>
        <v>0</v>
      </c>
      <c r="AX120" s="219">
        <f t="shared" si="187"/>
        <v>0</v>
      </c>
      <c r="AY120" s="219">
        <f t="shared" si="188"/>
        <v>0</v>
      </c>
      <c r="AZ120" s="136">
        <f t="shared" si="189"/>
        <v>0</v>
      </c>
    </row>
    <row r="121" spans="2:52" s="82" customFormat="1" ht="17.45" customHeight="1">
      <c r="B121" s="372"/>
      <c r="C121" s="400"/>
      <c r="D121" s="403"/>
      <c r="E121" s="403"/>
      <c r="F121" s="403"/>
      <c r="G121" s="403"/>
      <c r="H121" s="403"/>
      <c r="I121" s="405"/>
      <c r="J121" s="406"/>
      <c r="K121" s="407"/>
      <c r="L121" s="408"/>
      <c r="M121" s="408"/>
      <c r="N121" s="408">
        <v>0</v>
      </c>
      <c r="O121" s="409"/>
      <c r="P121" s="409"/>
      <c r="Q121" s="407"/>
      <c r="R121" s="396"/>
      <c r="S121" s="396"/>
      <c r="T121" s="396"/>
      <c r="U121" s="396"/>
      <c r="V121" s="396"/>
      <c r="W121" s="407"/>
      <c r="X121" s="407"/>
      <c r="Y121" s="410"/>
      <c r="Z121" s="411"/>
      <c r="AA121" s="411"/>
      <c r="AB121" s="411"/>
      <c r="AC121" s="411"/>
      <c r="AD121" s="378"/>
      <c r="AE121" s="398"/>
      <c r="AF121" s="398"/>
      <c r="AG121" s="398"/>
      <c r="AH121" s="398"/>
      <c r="AI121" s="398"/>
      <c r="AJ121" s="398"/>
      <c r="AK121" s="398"/>
      <c r="AL121" s="396"/>
      <c r="AM121" s="396"/>
      <c r="AN121" s="396"/>
      <c r="AO121" s="414"/>
      <c r="AP121" s="414"/>
      <c r="AQ121" s="106" t="s">
        <v>210</v>
      </c>
      <c r="AS121" s="82">
        <f t="shared" si="185"/>
        <v>0</v>
      </c>
      <c r="AT121" s="311">
        <f t="shared" si="186"/>
        <v>0</v>
      </c>
      <c r="AV121" s="218">
        <f t="shared" si="223"/>
        <v>0</v>
      </c>
      <c r="AW121" s="218">
        <f t="shared" si="223"/>
        <v>0</v>
      </c>
      <c r="AX121" s="219">
        <f t="shared" si="187"/>
        <v>0</v>
      </c>
      <c r="AY121" s="219">
        <f t="shared" si="188"/>
        <v>0</v>
      </c>
      <c r="AZ121" s="136">
        <f t="shared" si="189"/>
        <v>0</v>
      </c>
    </row>
    <row r="122" spans="2:52" s="82" customFormat="1" ht="17.45" customHeight="1">
      <c r="B122" s="372" t="s">
        <v>501</v>
      </c>
      <c r="C122" s="71" t="s">
        <v>502</v>
      </c>
      <c r="D122" s="64">
        <v>44778.5</v>
      </c>
      <c r="E122" s="403"/>
      <c r="F122" s="403"/>
      <c r="G122" s="403"/>
      <c r="H122" s="403"/>
      <c r="I122" s="405"/>
      <c r="J122" s="406"/>
      <c r="K122" s="407">
        <v>14500</v>
      </c>
      <c r="L122" s="408"/>
      <c r="M122" s="408"/>
      <c r="N122" s="408">
        <v>0</v>
      </c>
      <c r="O122" s="409"/>
      <c r="P122" s="407"/>
      <c r="Q122" s="407"/>
      <c r="R122" s="396" t="s">
        <v>180</v>
      </c>
      <c r="S122" s="396" t="s">
        <v>316</v>
      </c>
      <c r="T122" s="396" t="s">
        <v>503</v>
      </c>
      <c r="U122" s="396"/>
      <c r="V122" s="396" t="s">
        <v>184</v>
      </c>
      <c r="W122" s="407">
        <v>88266</v>
      </c>
      <c r="X122" s="407">
        <v>48021</v>
      </c>
      <c r="Y122" s="410">
        <v>230</v>
      </c>
      <c r="Z122" s="411">
        <v>6.7</v>
      </c>
      <c r="AA122" s="376" t="str">
        <f t="shared" ref="AA122" si="315">IF(E122="","",E122-D122+AH122+AK122)</f>
        <v/>
      </c>
      <c r="AB122" s="376" t="str">
        <f t="shared" ref="AB122" si="316">IF(G122="","",G122-D122)</f>
        <v/>
      </c>
      <c r="AC122" s="377" t="str">
        <f t="shared" ref="AC122" si="317">IF(H122="","",H122-D122)</f>
        <v/>
      </c>
      <c r="AD122" s="378" t="str">
        <f t="shared" ref="AD122" si="318">IF(N122=0,"",((N122/AE122)*24)/24)</f>
        <v/>
      </c>
      <c r="AE122" s="412">
        <v>0</v>
      </c>
      <c r="AF122" s="411"/>
      <c r="AG122" s="411"/>
      <c r="AH122" s="411">
        <f t="shared" ref="AH122" si="319">AG122-AF122</f>
        <v>0</v>
      </c>
      <c r="AI122" s="411"/>
      <c r="AJ122" s="411"/>
      <c r="AK122" s="411">
        <f t="shared" ref="AK122" si="320">AJ122-AI122</f>
        <v>0</v>
      </c>
      <c r="AL122" s="396"/>
      <c r="AM122" s="396" t="s">
        <v>535</v>
      </c>
      <c r="AN122" s="396" t="s">
        <v>536</v>
      </c>
      <c r="AO122" s="414"/>
      <c r="AP122" s="414"/>
      <c r="AQ122" s="413" t="s">
        <v>504</v>
      </c>
      <c r="AS122" s="82" t="str">
        <f t="shared" si="185"/>
        <v>전북에너지</v>
      </c>
      <c r="AT122" s="311">
        <f t="shared" si="186"/>
        <v>14500</v>
      </c>
      <c r="AV122" s="218">
        <f t="shared" si="223"/>
        <v>0</v>
      </c>
      <c r="AW122" s="218">
        <f t="shared" si="223"/>
        <v>0</v>
      </c>
      <c r="AX122" s="219">
        <f t="shared" si="187"/>
        <v>0</v>
      </c>
      <c r="AY122" s="219">
        <f t="shared" si="188"/>
        <v>0</v>
      </c>
      <c r="AZ122" s="136">
        <f t="shared" si="189"/>
        <v>0</v>
      </c>
    </row>
    <row r="123" spans="2:52" s="82" customFormat="1" ht="17.45" customHeight="1">
      <c r="B123" s="372"/>
      <c r="C123" s="71"/>
      <c r="D123" s="64"/>
      <c r="E123" s="403"/>
      <c r="F123" s="403"/>
      <c r="G123" s="403"/>
      <c r="H123" s="403"/>
      <c r="I123" s="405"/>
      <c r="J123" s="406"/>
      <c r="K123" s="407"/>
      <c r="L123" s="408"/>
      <c r="M123" s="408"/>
      <c r="N123" s="408"/>
      <c r="O123" s="409"/>
      <c r="P123" s="407"/>
      <c r="Q123" s="407"/>
      <c r="R123" s="396"/>
      <c r="S123" s="396"/>
      <c r="T123" s="396"/>
      <c r="U123" s="396"/>
      <c r="V123" s="396"/>
      <c r="W123" s="407"/>
      <c r="X123" s="407"/>
      <c r="Y123" s="410"/>
      <c r="Z123" s="411"/>
      <c r="AA123" s="376"/>
      <c r="AB123" s="376"/>
      <c r="AC123" s="377"/>
      <c r="AD123" s="378"/>
      <c r="AE123" s="412"/>
      <c r="AF123" s="411"/>
      <c r="AG123" s="411"/>
      <c r="AH123" s="411"/>
      <c r="AI123" s="411"/>
      <c r="AJ123" s="411"/>
      <c r="AK123" s="411"/>
      <c r="AL123" s="396"/>
      <c r="AM123" s="396"/>
      <c r="AN123" s="396"/>
      <c r="AO123" s="414"/>
      <c r="AP123" s="414"/>
      <c r="AQ123" s="413"/>
      <c r="AT123" s="311"/>
      <c r="AV123" s="218"/>
      <c r="AW123" s="218"/>
      <c r="AX123" s="219"/>
      <c r="AY123" s="219"/>
      <c r="AZ123" s="136"/>
    </row>
    <row r="124" spans="2:52" s="82" customFormat="1" ht="17.45" customHeight="1">
      <c r="B124" s="372" t="s">
        <v>222</v>
      </c>
      <c r="C124" s="71" t="s">
        <v>327</v>
      </c>
      <c r="D124" s="64">
        <v>44788.5</v>
      </c>
      <c r="E124" s="403"/>
      <c r="F124" s="403"/>
      <c r="G124" s="403"/>
      <c r="H124" s="403"/>
      <c r="I124" s="405"/>
      <c r="J124" s="406"/>
      <c r="K124" s="407">
        <v>30000</v>
      </c>
      <c r="L124" s="408"/>
      <c r="M124" s="408"/>
      <c r="N124" s="408">
        <v>0</v>
      </c>
      <c r="O124" s="409"/>
      <c r="P124" s="407"/>
      <c r="Q124" s="407" t="s">
        <v>278</v>
      </c>
      <c r="R124" s="396" t="s">
        <v>448</v>
      </c>
      <c r="S124" s="396" t="s">
        <v>291</v>
      </c>
      <c r="T124" s="396" t="s">
        <v>490</v>
      </c>
      <c r="U124" s="396" t="s">
        <v>533</v>
      </c>
      <c r="V124" s="396" t="s">
        <v>184</v>
      </c>
      <c r="W124" s="407">
        <v>82028</v>
      </c>
      <c r="X124" s="407">
        <v>44190</v>
      </c>
      <c r="Y124" s="410">
        <v>229</v>
      </c>
      <c r="Z124" s="411">
        <v>12.2</v>
      </c>
      <c r="AA124" s="376" t="str">
        <f t="shared" ref="AA124" si="321">IF(E124="","",E124-D124+AH124+AK124)</f>
        <v/>
      </c>
      <c r="AB124" s="376" t="str">
        <f t="shared" ref="AB124" si="322">IF(G124="","",G124-D124)</f>
        <v/>
      </c>
      <c r="AC124" s="377" t="str">
        <f t="shared" ref="AC124" si="323">IF(H124="","",H124-D124)</f>
        <v/>
      </c>
      <c r="AD124" s="378" t="str">
        <f t="shared" ref="AD124" si="324">IF(N124=0,"",((N124/AE124)*24)/24)</f>
        <v/>
      </c>
      <c r="AE124" s="412">
        <v>0</v>
      </c>
      <c r="AF124" s="411"/>
      <c r="AG124" s="411"/>
      <c r="AH124" s="411">
        <f t="shared" ref="AH124" si="325">AG124-AF124</f>
        <v>0</v>
      </c>
      <c r="AI124" s="411"/>
      <c r="AJ124" s="411"/>
      <c r="AK124" s="411">
        <f t="shared" ref="AK124" si="326">AJ124-AI124</f>
        <v>0</v>
      </c>
      <c r="AL124" s="396"/>
      <c r="AM124" s="396" t="s">
        <v>332</v>
      </c>
      <c r="AN124" s="396" t="s">
        <v>333</v>
      </c>
      <c r="AO124" s="414"/>
      <c r="AP124" s="414"/>
      <c r="AQ124" s="413" t="s">
        <v>517</v>
      </c>
      <c r="AS124" s="82" t="str">
        <f t="shared" ref="AS124:AS129" si="327">B124</f>
        <v>태경비케이</v>
      </c>
      <c r="AT124" s="311">
        <f t="shared" ref="AT124:AT129" si="328">K124</f>
        <v>30000</v>
      </c>
      <c r="AV124" s="218">
        <f t="shared" ref="AV124:AW129" si="329">IF(L124=0,0,1)</f>
        <v>0</v>
      </c>
      <c r="AW124" s="218">
        <f t="shared" si="329"/>
        <v>0</v>
      </c>
      <c r="AX124" s="219">
        <f t="shared" ref="AX124:AX129" si="330">IF(AV124+AW124=2,0.5,AV124)</f>
        <v>0</v>
      </c>
      <c r="AY124" s="219">
        <f t="shared" ref="AY124:AY129" si="331">IF(AV124+AW124=2,0.5,AW124)</f>
        <v>0</v>
      </c>
      <c r="AZ124" s="136">
        <f t="shared" ref="AZ124:AZ129" si="332">AX124+AY124</f>
        <v>0</v>
      </c>
    </row>
    <row r="125" spans="2:52" s="82" customFormat="1" ht="13.5">
      <c r="B125" s="372"/>
      <c r="C125" s="400"/>
      <c r="D125" s="403"/>
      <c r="E125" s="403"/>
      <c r="F125" s="403"/>
      <c r="G125" s="403"/>
      <c r="H125" s="403"/>
      <c r="I125" s="405"/>
      <c r="J125" s="406"/>
      <c r="K125" s="407"/>
      <c r="L125" s="408"/>
      <c r="M125" s="408"/>
      <c r="N125" s="408">
        <v>0</v>
      </c>
      <c r="O125" s="409"/>
      <c r="P125" s="409"/>
      <c r="Q125" s="407"/>
      <c r="R125" s="396"/>
      <c r="S125" s="396"/>
      <c r="T125" s="396"/>
      <c r="U125" s="396"/>
      <c r="V125" s="396"/>
      <c r="W125" s="407"/>
      <c r="X125" s="407"/>
      <c r="Y125" s="410"/>
      <c r="Z125" s="411"/>
      <c r="AA125" s="411"/>
      <c r="AB125" s="411"/>
      <c r="AC125" s="411"/>
      <c r="AD125" s="378"/>
      <c r="AE125" s="398"/>
      <c r="AF125" s="398"/>
      <c r="AG125" s="398"/>
      <c r="AH125" s="398"/>
      <c r="AI125" s="398"/>
      <c r="AJ125" s="398"/>
      <c r="AK125" s="398"/>
      <c r="AL125" s="396"/>
      <c r="AM125" s="396"/>
      <c r="AN125" s="396"/>
      <c r="AO125" s="414"/>
      <c r="AP125" s="414"/>
      <c r="AQ125" s="106" t="s">
        <v>210</v>
      </c>
      <c r="AS125" s="82">
        <f t="shared" si="327"/>
        <v>0</v>
      </c>
      <c r="AT125" s="311">
        <f t="shared" si="328"/>
        <v>0</v>
      </c>
      <c r="AV125" s="218">
        <f t="shared" si="329"/>
        <v>0</v>
      </c>
      <c r="AW125" s="218">
        <f t="shared" si="329"/>
        <v>0</v>
      </c>
      <c r="AX125" s="219">
        <f t="shared" si="330"/>
        <v>0</v>
      </c>
      <c r="AY125" s="219">
        <f t="shared" si="331"/>
        <v>0</v>
      </c>
      <c r="AZ125" s="136">
        <f t="shared" si="332"/>
        <v>0</v>
      </c>
    </row>
    <row r="126" spans="2:52" s="82" customFormat="1" ht="40.5">
      <c r="B126" s="372" t="s">
        <v>469</v>
      </c>
      <c r="C126" s="459" t="s">
        <v>512</v>
      </c>
      <c r="D126" s="64">
        <v>44796.5</v>
      </c>
      <c r="E126" s="508"/>
      <c r="F126" s="403"/>
      <c r="G126" s="403"/>
      <c r="H126" s="403"/>
      <c r="I126" s="405"/>
      <c r="J126" s="406"/>
      <c r="K126" s="407">
        <v>50000</v>
      </c>
      <c r="L126" s="408"/>
      <c r="M126" s="408"/>
      <c r="N126" s="408">
        <v>0</v>
      </c>
      <c r="O126" s="409"/>
      <c r="P126" s="407"/>
      <c r="Q126" s="407"/>
      <c r="R126" s="396" t="s">
        <v>189</v>
      </c>
      <c r="S126" s="396" t="s">
        <v>513</v>
      </c>
      <c r="T126" s="396" t="s">
        <v>324</v>
      </c>
      <c r="U126" s="396" t="s">
        <v>534</v>
      </c>
      <c r="V126" s="396" t="s">
        <v>184</v>
      </c>
      <c r="W126" s="407">
        <v>60446</v>
      </c>
      <c r="X126" s="407">
        <v>34551</v>
      </c>
      <c r="Y126" s="410">
        <v>200</v>
      </c>
      <c r="Z126" s="411">
        <v>11.2</v>
      </c>
      <c r="AA126" s="376" t="str">
        <f t="shared" ref="AA126" si="333">IF(E126="","",E126-D126+AH126+AK126)</f>
        <v/>
      </c>
      <c r="AB126" s="376" t="str">
        <f t="shared" ref="AB126" si="334">IF(G126="","",G126-D126)</f>
        <v/>
      </c>
      <c r="AC126" s="377" t="str">
        <f t="shared" ref="AC126" si="335">IF(H126="","",H126-D126)</f>
        <v/>
      </c>
      <c r="AD126" s="378" t="str">
        <f t="shared" ref="AD126" si="336">IF(N126=0,"",((N126/AE126)*24)/24)</f>
        <v/>
      </c>
      <c r="AE126" s="412">
        <v>0</v>
      </c>
      <c r="AF126" s="411"/>
      <c r="AG126" s="411"/>
      <c r="AH126" s="411">
        <f t="shared" ref="AH126" si="337">AG126-AF126</f>
        <v>0</v>
      </c>
      <c r="AI126" s="411"/>
      <c r="AJ126" s="411"/>
      <c r="AK126" s="411">
        <f t="shared" ref="AK126" si="338">AJ126-AI126</f>
        <v>0</v>
      </c>
      <c r="AL126" s="396"/>
      <c r="AM126" s="396" t="s">
        <v>514</v>
      </c>
      <c r="AN126" s="396" t="s">
        <v>515</v>
      </c>
      <c r="AO126" s="414"/>
      <c r="AP126" s="414"/>
      <c r="AQ126" s="413" t="s">
        <v>522</v>
      </c>
      <c r="AS126" s="82" t="str">
        <f t="shared" si="327"/>
        <v>오사카시멘트</v>
      </c>
      <c r="AT126" s="311">
        <f t="shared" si="328"/>
        <v>50000</v>
      </c>
      <c r="AV126" s="218">
        <f t="shared" si="329"/>
        <v>0</v>
      </c>
      <c r="AW126" s="218">
        <f t="shared" si="329"/>
        <v>0</v>
      </c>
      <c r="AX126" s="219">
        <f t="shared" si="330"/>
        <v>0</v>
      </c>
      <c r="AY126" s="219">
        <f t="shared" si="331"/>
        <v>0</v>
      </c>
      <c r="AZ126" s="136">
        <f t="shared" si="332"/>
        <v>0</v>
      </c>
    </row>
    <row r="127" spans="2:52" s="82" customFormat="1" ht="17.45" customHeight="1">
      <c r="B127" s="372"/>
      <c r="C127" s="400"/>
      <c r="D127" s="403"/>
      <c r="E127" s="403"/>
      <c r="F127" s="403"/>
      <c r="G127" s="403"/>
      <c r="H127" s="403"/>
      <c r="I127" s="405"/>
      <c r="J127" s="406"/>
      <c r="K127" s="407"/>
      <c r="L127" s="408"/>
      <c r="M127" s="408"/>
      <c r="N127" s="408">
        <v>0</v>
      </c>
      <c r="O127" s="409"/>
      <c r="P127" s="409"/>
      <c r="Q127" s="407"/>
      <c r="R127" s="396"/>
      <c r="S127" s="396"/>
      <c r="T127" s="396"/>
      <c r="U127" s="396"/>
      <c r="V127" s="396"/>
      <c r="W127" s="407"/>
      <c r="X127" s="407"/>
      <c r="Y127" s="410"/>
      <c r="Z127" s="411"/>
      <c r="AA127" s="411"/>
      <c r="AB127" s="411"/>
      <c r="AC127" s="411"/>
      <c r="AD127" s="378"/>
      <c r="AE127" s="398"/>
      <c r="AF127" s="398"/>
      <c r="AG127" s="398"/>
      <c r="AH127" s="398"/>
      <c r="AI127" s="398"/>
      <c r="AJ127" s="398"/>
      <c r="AK127" s="398"/>
      <c r="AL127" s="396"/>
      <c r="AM127" s="396"/>
      <c r="AN127" s="396"/>
      <c r="AO127" s="414"/>
      <c r="AP127" s="414"/>
      <c r="AQ127" s="106" t="s">
        <v>210</v>
      </c>
      <c r="AS127" s="82">
        <f t="shared" si="327"/>
        <v>0</v>
      </c>
      <c r="AT127" s="311">
        <f t="shared" si="328"/>
        <v>0</v>
      </c>
      <c r="AV127" s="218">
        <f t="shared" si="329"/>
        <v>0</v>
      </c>
      <c r="AW127" s="218">
        <f t="shared" si="329"/>
        <v>0</v>
      </c>
      <c r="AX127" s="219">
        <f t="shared" si="330"/>
        <v>0</v>
      </c>
      <c r="AY127" s="219">
        <f t="shared" si="331"/>
        <v>0</v>
      </c>
      <c r="AZ127" s="136">
        <f t="shared" si="332"/>
        <v>0</v>
      </c>
    </row>
    <row r="128" spans="2:52" s="82" customFormat="1" ht="17.45" customHeight="1">
      <c r="B128" s="372" t="s">
        <v>188</v>
      </c>
      <c r="C128" s="459" t="s">
        <v>219</v>
      </c>
      <c r="D128" s="64">
        <v>44798.5</v>
      </c>
      <c r="E128" s="403"/>
      <c r="F128" s="403"/>
      <c r="G128" s="403"/>
      <c r="H128" s="403"/>
      <c r="I128" s="405"/>
      <c r="J128" s="406"/>
      <c r="K128" s="407">
        <v>50000</v>
      </c>
      <c r="L128" s="408"/>
      <c r="M128" s="408"/>
      <c r="N128" s="408">
        <v>0</v>
      </c>
      <c r="O128" s="409"/>
      <c r="P128" s="407"/>
      <c r="Q128" s="407"/>
      <c r="R128" s="396" t="s">
        <v>189</v>
      </c>
      <c r="S128" s="396" t="s">
        <v>356</v>
      </c>
      <c r="T128" s="396" t="s">
        <v>324</v>
      </c>
      <c r="U128" s="396"/>
      <c r="V128" s="396" t="s">
        <v>191</v>
      </c>
      <c r="W128" s="407"/>
      <c r="X128" s="407"/>
      <c r="Y128" s="410"/>
      <c r="Z128" s="411"/>
      <c r="AA128" s="376" t="str">
        <f t="shared" ref="AA128" si="339">IF(E128="","",E128-D128+AH128+AK128)</f>
        <v/>
      </c>
      <c r="AB128" s="376" t="str">
        <f t="shared" ref="AB128" si="340">IF(G128="","",G128-D128)</f>
        <v/>
      </c>
      <c r="AC128" s="377" t="str">
        <f t="shared" ref="AC128" si="341">IF(H128="","",H128-D128)</f>
        <v/>
      </c>
      <c r="AD128" s="378" t="str">
        <f t="shared" ref="AD128" si="342">IF(N128=0,"",((N128/AE128)*24)/24)</f>
        <v/>
      </c>
      <c r="AE128" s="412">
        <v>0</v>
      </c>
      <c r="AF128" s="411"/>
      <c r="AG128" s="411"/>
      <c r="AH128" s="411">
        <f t="shared" ref="AH128" si="343">AG128-AF128</f>
        <v>0</v>
      </c>
      <c r="AI128" s="411"/>
      <c r="AJ128" s="411"/>
      <c r="AK128" s="411">
        <f t="shared" ref="AK128" si="344">AJ128-AI128</f>
        <v>0</v>
      </c>
      <c r="AL128" s="396"/>
      <c r="AM128" s="396"/>
      <c r="AN128" s="396"/>
      <c r="AO128" s="414"/>
      <c r="AP128" s="414"/>
      <c r="AQ128" s="584" t="s">
        <v>464</v>
      </c>
      <c r="AS128" s="82" t="str">
        <f t="shared" si="327"/>
        <v>SNNC</v>
      </c>
      <c r="AT128" s="311">
        <f t="shared" si="328"/>
        <v>50000</v>
      </c>
      <c r="AV128" s="218">
        <f t="shared" si="329"/>
        <v>0</v>
      </c>
      <c r="AW128" s="218">
        <f t="shared" si="329"/>
        <v>0</v>
      </c>
      <c r="AX128" s="219">
        <f t="shared" si="330"/>
        <v>0</v>
      </c>
      <c r="AY128" s="219">
        <f t="shared" si="331"/>
        <v>0</v>
      </c>
      <c r="AZ128" s="136">
        <f t="shared" si="332"/>
        <v>0</v>
      </c>
    </row>
    <row r="129" spans="2:52" s="82" customFormat="1" ht="17.45" customHeight="1">
      <c r="B129" s="372"/>
      <c r="C129" s="400"/>
      <c r="D129" s="403"/>
      <c r="E129" s="403"/>
      <c r="F129" s="403"/>
      <c r="G129" s="403"/>
      <c r="H129" s="403"/>
      <c r="I129" s="405"/>
      <c r="J129" s="406"/>
      <c r="K129" s="407"/>
      <c r="L129" s="408"/>
      <c r="M129" s="408"/>
      <c r="N129" s="408">
        <v>0</v>
      </c>
      <c r="O129" s="409"/>
      <c r="P129" s="409"/>
      <c r="Q129" s="407"/>
      <c r="R129" s="396"/>
      <c r="S129" s="396"/>
      <c r="T129" s="396"/>
      <c r="U129" s="396"/>
      <c r="V129" s="396"/>
      <c r="W129" s="407"/>
      <c r="X129" s="407"/>
      <c r="Y129" s="410"/>
      <c r="Z129" s="411"/>
      <c r="AA129" s="411"/>
      <c r="AB129" s="411"/>
      <c r="AC129" s="411"/>
      <c r="AD129" s="378"/>
      <c r="AE129" s="398"/>
      <c r="AF129" s="398"/>
      <c r="AG129" s="398"/>
      <c r="AH129" s="398"/>
      <c r="AI129" s="398"/>
      <c r="AJ129" s="398"/>
      <c r="AK129" s="398"/>
      <c r="AL129" s="396"/>
      <c r="AM129" s="396"/>
      <c r="AN129" s="396"/>
      <c r="AO129" s="414"/>
      <c r="AP129" s="414"/>
      <c r="AQ129" s="106" t="s">
        <v>210</v>
      </c>
      <c r="AS129" s="82">
        <f t="shared" si="327"/>
        <v>0</v>
      </c>
      <c r="AT129" s="311">
        <f t="shared" si="328"/>
        <v>0</v>
      </c>
      <c r="AV129" s="218">
        <f t="shared" si="329"/>
        <v>0</v>
      </c>
      <c r="AW129" s="218">
        <f t="shared" si="329"/>
        <v>0</v>
      </c>
      <c r="AX129" s="219">
        <f t="shared" si="330"/>
        <v>0</v>
      </c>
      <c r="AY129" s="219">
        <f t="shared" si="331"/>
        <v>0</v>
      </c>
      <c r="AZ129" s="136">
        <f t="shared" si="332"/>
        <v>0</v>
      </c>
    </row>
    <row r="130" spans="2:52" s="102" customFormat="1" ht="17.45" hidden="1" customHeight="1" outlineLevel="1">
      <c r="B130" s="402"/>
      <c r="C130" s="400"/>
      <c r="D130" s="403"/>
      <c r="E130" s="403"/>
      <c r="F130" s="403"/>
      <c r="G130" s="403"/>
      <c r="H130" s="403"/>
      <c r="I130" s="405"/>
      <c r="J130" s="406"/>
      <c r="K130" s="407"/>
      <c r="L130" s="408"/>
      <c r="M130" s="408"/>
      <c r="N130" s="408"/>
      <c r="O130" s="409"/>
      <c r="P130" s="409"/>
      <c r="Q130" s="407"/>
      <c r="R130" s="396"/>
      <c r="S130" s="396"/>
      <c r="T130" s="396"/>
      <c r="U130" s="414"/>
      <c r="V130" s="396"/>
      <c r="W130" s="407"/>
      <c r="X130" s="407"/>
      <c r="Y130" s="410"/>
      <c r="Z130" s="411"/>
      <c r="AA130" s="376" t="str">
        <f t="shared" ref="AA130" si="345">IF(E130="","",E130-D130+AH130+AK130)</f>
        <v/>
      </c>
      <c r="AB130" s="376" t="str">
        <f t="shared" ref="AB130" si="346">IF(G130="","",G130-D130)</f>
        <v/>
      </c>
      <c r="AC130" s="377" t="str">
        <f t="shared" ref="AC130" si="347">IF(H130="","",H130-D130)</f>
        <v/>
      </c>
      <c r="AD130" s="378" t="str">
        <f t="shared" ref="AD130" si="348">IF(N130=0,"",((N130/AE130)*24)/24)</f>
        <v/>
      </c>
      <c r="AE130" s="412">
        <f t="shared" ref="AE130" si="349">IF(G130="",0,(G130-F130)-(AJ130-AI130)-(AG130-AF130))</f>
        <v>0</v>
      </c>
      <c r="AF130" s="411"/>
      <c r="AG130" s="411"/>
      <c r="AH130" s="411">
        <f t="shared" ref="AH130" si="350">AG130-AF130</f>
        <v>0</v>
      </c>
      <c r="AI130" s="411"/>
      <c r="AJ130" s="411"/>
      <c r="AK130" s="411">
        <f t="shared" ref="AK130" si="351">AJ130-AI130</f>
        <v>0</v>
      </c>
      <c r="AL130" s="396"/>
      <c r="AM130" s="396"/>
      <c r="AN130" s="396"/>
      <c r="AO130" s="400"/>
      <c r="AP130" s="400"/>
      <c r="AQ130" s="413"/>
      <c r="AS130" s="82">
        <f t="shared" si="185"/>
        <v>0</v>
      </c>
      <c r="AT130" s="311">
        <f t="shared" si="186"/>
        <v>0</v>
      </c>
      <c r="AU130" s="82"/>
      <c r="AV130" s="218">
        <f t="shared" si="223"/>
        <v>0</v>
      </c>
      <c r="AW130" s="218">
        <f t="shared" si="223"/>
        <v>0</v>
      </c>
      <c r="AX130" s="219">
        <f t="shared" si="187"/>
        <v>0</v>
      </c>
      <c r="AY130" s="219">
        <f t="shared" si="188"/>
        <v>0</v>
      </c>
      <c r="AZ130" s="136">
        <f t="shared" si="189"/>
        <v>0</v>
      </c>
    </row>
    <row r="131" spans="2:52" s="102" customFormat="1" ht="17.45" hidden="1" customHeight="1" outlineLevel="1">
      <c r="B131" s="402"/>
      <c r="C131" s="400"/>
      <c r="D131" s="403"/>
      <c r="E131" s="403"/>
      <c r="F131" s="403"/>
      <c r="G131" s="403"/>
      <c r="H131" s="403"/>
      <c r="I131" s="405"/>
      <c r="J131" s="406"/>
      <c r="K131" s="407"/>
      <c r="L131" s="408"/>
      <c r="M131" s="408"/>
      <c r="N131" s="394"/>
      <c r="O131" s="393"/>
      <c r="P131" s="393"/>
      <c r="Q131" s="407"/>
      <c r="R131" s="396"/>
      <c r="S131" s="396"/>
      <c r="T131" s="396"/>
      <c r="U131" s="396"/>
      <c r="V131" s="396"/>
      <c r="W131" s="407"/>
      <c r="X131" s="407"/>
      <c r="Y131" s="410"/>
      <c r="Z131" s="411"/>
      <c r="AA131" s="411"/>
      <c r="AB131" s="411"/>
      <c r="AC131" s="411"/>
      <c r="AD131" s="378"/>
      <c r="AE131" s="398"/>
      <c r="AF131" s="398"/>
      <c r="AG131" s="398"/>
      <c r="AH131" s="398"/>
      <c r="AI131" s="398"/>
      <c r="AJ131" s="398"/>
      <c r="AK131" s="398"/>
      <c r="AL131" s="396"/>
      <c r="AM131" s="396"/>
      <c r="AN131" s="396"/>
      <c r="AO131" s="400"/>
      <c r="AP131" s="400"/>
      <c r="AQ131" s="413"/>
      <c r="AS131" s="82">
        <f t="shared" si="185"/>
        <v>0</v>
      </c>
      <c r="AT131" s="311">
        <f t="shared" si="186"/>
        <v>0</v>
      </c>
      <c r="AU131" s="82"/>
      <c r="AV131" s="218">
        <f t="shared" si="223"/>
        <v>0</v>
      </c>
      <c r="AW131" s="218">
        <f t="shared" si="223"/>
        <v>0</v>
      </c>
      <c r="AX131" s="219">
        <f t="shared" si="187"/>
        <v>0</v>
      </c>
      <c r="AY131" s="219">
        <f t="shared" si="188"/>
        <v>0</v>
      </c>
      <c r="AZ131" s="136">
        <f t="shared" si="189"/>
        <v>0</v>
      </c>
    </row>
    <row r="132" spans="2:52" s="82" customFormat="1" ht="17.45" hidden="1" customHeight="1" outlineLevel="1" collapsed="1">
      <c r="B132" s="402"/>
      <c r="C132" s="400"/>
      <c r="D132" s="403"/>
      <c r="E132" s="403"/>
      <c r="F132" s="403"/>
      <c r="G132" s="403"/>
      <c r="H132" s="403"/>
      <c r="I132" s="405"/>
      <c r="J132" s="406"/>
      <c r="K132" s="407"/>
      <c r="L132" s="408"/>
      <c r="M132" s="408"/>
      <c r="N132" s="408"/>
      <c r="O132" s="409"/>
      <c r="P132" s="409"/>
      <c r="Q132" s="407"/>
      <c r="R132" s="396"/>
      <c r="S132" s="396"/>
      <c r="T132" s="396"/>
      <c r="U132" s="414"/>
      <c r="V132" s="396"/>
      <c r="W132" s="407"/>
      <c r="X132" s="407"/>
      <c r="Y132" s="410"/>
      <c r="Z132" s="411"/>
      <c r="AA132" s="376" t="str">
        <f t="shared" ref="AA132" si="352">IF(E132="","",E132-D132+AH132+AK132)</f>
        <v/>
      </c>
      <c r="AB132" s="376" t="str">
        <f t="shared" ref="AB132" si="353">IF(G132="","",G132-D132)</f>
        <v/>
      </c>
      <c r="AC132" s="377" t="str">
        <f t="shared" ref="AC132" si="354">IF(H132="","",H132-D132)</f>
        <v/>
      </c>
      <c r="AD132" s="378" t="str">
        <f t="shared" ref="AD132" si="355">IF(N132=0,"",((N132/AE132)*24)/24)</f>
        <v/>
      </c>
      <c r="AE132" s="412">
        <f t="shared" ref="AE132" si="356">IF(G132="",0,(G132-F132)-(AJ132-AI132)-(AG132-AF132))</f>
        <v>0</v>
      </c>
      <c r="AF132" s="411"/>
      <c r="AG132" s="411"/>
      <c r="AH132" s="411">
        <f t="shared" ref="AH132" si="357">AG132-AF132</f>
        <v>0</v>
      </c>
      <c r="AI132" s="411"/>
      <c r="AJ132" s="411"/>
      <c r="AK132" s="411">
        <f t="shared" ref="AK132" si="358">AJ132-AI132</f>
        <v>0</v>
      </c>
      <c r="AL132" s="396"/>
      <c r="AM132" s="396"/>
      <c r="AN132" s="396"/>
      <c r="AO132" s="400"/>
      <c r="AP132" s="414"/>
      <c r="AQ132" s="401"/>
      <c r="AS132" s="82">
        <f t="shared" si="185"/>
        <v>0</v>
      </c>
      <c r="AT132" s="311">
        <f t="shared" si="186"/>
        <v>0</v>
      </c>
      <c r="AV132" s="218">
        <f t="shared" si="223"/>
        <v>0</v>
      </c>
      <c r="AW132" s="218">
        <f t="shared" si="223"/>
        <v>0</v>
      </c>
      <c r="AX132" s="219">
        <f t="shared" si="187"/>
        <v>0</v>
      </c>
      <c r="AY132" s="219">
        <f t="shared" si="188"/>
        <v>0</v>
      </c>
      <c r="AZ132" s="136">
        <f t="shared" si="189"/>
        <v>0</v>
      </c>
    </row>
    <row r="133" spans="2:52" s="82" customFormat="1" ht="17.45" hidden="1" customHeight="1" outlineLevel="1">
      <c r="B133" s="402"/>
      <c r="C133" s="400"/>
      <c r="D133" s="403"/>
      <c r="E133" s="472"/>
      <c r="F133" s="472"/>
      <c r="G133" s="472"/>
      <c r="H133" s="472"/>
      <c r="I133" s="405"/>
      <c r="J133" s="406"/>
      <c r="K133" s="407"/>
      <c r="L133" s="408"/>
      <c r="M133" s="408"/>
      <c r="N133" s="394"/>
      <c r="O133" s="393"/>
      <c r="P133" s="393"/>
      <c r="Q133" s="407"/>
      <c r="R133" s="420"/>
      <c r="S133" s="396"/>
      <c r="T133" s="414"/>
      <c r="U133" s="396"/>
      <c r="V133" s="396"/>
      <c r="W133" s="407"/>
      <c r="X133" s="407"/>
      <c r="Y133" s="410"/>
      <c r="Z133" s="411"/>
      <c r="AA133" s="411"/>
      <c r="AB133" s="411"/>
      <c r="AC133" s="411"/>
      <c r="AD133" s="378"/>
      <c r="AE133" s="398"/>
      <c r="AF133" s="398"/>
      <c r="AG133" s="398"/>
      <c r="AH133" s="398"/>
      <c r="AI133" s="398"/>
      <c r="AJ133" s="398"/>
      <c r="AK133" s="398"/>
      <c r="AL133" s="396"/>
      <c r="AM133" s="414"/>
      <c r="AN133" s="414"/>
      <c r="AO133" s="400"/>
      <c r="AP133" s="400"/>
      <c r="AQ133" s="413"/>
      <c r="AS133" s="82">
        <f t="shared" ref="AS133:AS198" si="359">B133</f>
        <v>0</v>
      </c>
      <c r="AT133" s="311">
        <f t="shared" ref="AT133:AT198" si="360">K133</f>
        <v>0</v>
      </c>
      <c r="AV133" s="218">
        <f t="shared" si="223"/>
        <v>0</v>
      </c>
      <c r="AW133" s="218">
        <f t="shared" si="223"/>
        <v>0</v>
      </c>
      <c r="AX133" s="219">
        <f t="shared" ref="AX133:AX198" si="361">IF(AV133+AW133=2,0.5,AV133)</f>
        <v>0</v>
      </c>
      <c r="AY133" s="219">
        <f t="shared" ref="AY133:AY198" si="362">IF(AV133+AW133=2,0.5,AW133)</f>
        <v>0</v>
      </c>
      <c r="AZ133" s="136">
        <f t="shared" ref="AZ133:AZ198" si="363">AX133+AY133</f>
        <v>0</v>
      </c>
    </row>
    <row r="134" spans="2:52" s="82" customFormat="1" ht="17.45" hidden="1" customHeight="1" outlineLevel="1" collapsed="1">
      <c r="B134" s="402"/>
      <c r="C134" s="400"/>
      <c r="D134" s="403"/>
      <c r="E134" s="403"/>
      <c r="F134" s="403"/>
      <c r="G134" s="404"/>
      <c r="H134" s="404"/>
      <c r="I134" s="405"/>
      <c r="J134" s="406"/>
      <c r="K134" s="407"/>
      <c r="L134" s="408"/>
      <c r="M134" s="408"/>
      <c r="N134" s="408"/>
      <c r="O134" s="409"/>
      <c r="P134" s="409"/>
      <c r="Q134" s="407"/>
      <c r="R134" s="396"/>
      <c r="S134" s="396"/>
      <c r="T134" s="396"/>
      <c r="U134" s="414"/>
      <c r="V134" s="396"/>
      <c r="W134" s="415"/>
      <c r="X134" s="415"/>
      <c r="Y134" s="416"/>
      <c r="Z134" s="417"/>
      <c r="AA134" s="376" t="str">
        <f t="shared" ref="AA134" si="364">IF(E134="","",E134-D134+AH134+AK134)</f>
        <v/>
      </c>
      <c r="AB134" s="376" t="str">
        <f t="shared" ref="AB134" si="365">IF(G134="","",G134-D134)</f>
        <v/>
      </c>
      <c r="AC134" s="377" t="str">
        <f t="shared" ref="AC134" si="366">IF(H134="","",H134-D134)</f>
        <v/>
      </c>
      <c r="AD134" s="378" t="str">
        <f t="shared" ref="AD134" si="367">IF(N134=0,"",((N134/AE134)*24)/24)</f>
        <v/>
      </c>
      <c r="AE134" s="412">
        <f t="shared" ref="AE134" si="368">IF(G134="",0,(G134-F134)-(AJ134-AI134)-(AG134-AF134))</f>
        <v>0</v>
      </c>
      <c r="AF134" s="411"/>
      <c r="AG134" s="411"/>
      <c r="AH134" s="411">
        <f t="shared" ref="AH134" si="369">AG134-AF134</f>
        <v>0</v>
      </c>
      <c r="AI134" s="411"/>
      <c r="AJ134" s="411"/>
      <c r="AK134" s="411">
        <f t="shared" ref="AK134" si="370">AJ134-AI134</f>
        <v>0</v>
      </c>
      <c r="AL134" s="396"/>
      <c r="AM134" s="414"/>
      <c r="AN134" s="414"/>
      <c r="AO134" s="414"/>
      <c r="AP134" s="414"/>
      <c r="AQ134" s="401"/>
      <c r="AS134" s="82">
        <f t="shared" si="359"/>
        <v>0</v>
      </c>
      <c r="AT134" s="311">
        <f t="shared" si="360"/>
        <v>0</v>
      </c>
      <c r="AV134" s="218">
        <f t="shared" si="223"/>
        <v>0</v>
      </c>
      <c r="AW134" s="218">
        <f t="shared" si="223"/>
        <v>0</v>
      </c>
      <c r="AX134" s="219">
        <f t="shared" si="361"/>
        <v>0</v>
      </c>
      <c r="AY134" s="219">
        <f t="shared" si="362"/>
        <v>0</v>
      </c>
      <c r="AZ134" s="136">
        <f t="shared" si="363"/>
        <v>0</v>
      </c>
    </row>
    <row r="135" spans="2:52" s="82" customFormat="1" ht="17.45" hidden="1" customHeight="1" outlineLevel="1">
      <c r="B135" s="402"/>
      <c r="C135" s="400"/>
      <c r="D135" s="403"/>
      <c r="E135" s="472"/>
      <c r="F135" s="472"/>
      <c r="G135" s="472"/>
      <c r="H135" s="472"/>
      <c r="I135" s="405"/>
      <c r="J135" s="406"/>
      <c r="K135" s="407"/>
      <c r="L135" s="408"/>
      <c r="M135" s="408"/>
      <c r="N135" s="394"/>
      <c r="O135" s="393"/>
      <c r="P135" s="393"/>
      <c r="Q135" s="407"/>
      <c r="R135" s="420"/>
      <c r="S135" s="396"/>
      <c r="T135" s="414"/>
      <c r="U135" s="396"/>
      <c r="V135" s="396"/>
      <c r="W135" s="407"/>
      <c r="X135" s="407"/>
      <c r="Y135" s="410"/>
      <c r="Z135" s="411"/>
      <c r="AA135" s="411"/>
      <c r="AB135" s="411"/>
      <c r="AC135" s="411"/>
      <c r="AD135" s="378"/>
      <c r="AE135" s="398"/>
      <c r="AF135" s="398"/>
      <c r="AG135" s="398"/>
      <c r="AH135" s="398"/>
      <c r="AI135" s="398"/>
      <c r="AJ135" s="398"/>
      <c r="AK135" s="398"/>
      <c r="AL135" s="396"/>
      <c r="AM135" s="414"/>
      <c r="AN135" s="414"/>
      <c r="AO135" s="400"/>
      <c r="AP135" s="400"/>
      <c r="AQ135" s="413"/>
      <c r="AS135" s="82">
        <f t="shared" si="359"/>
        <v>0</v>
      </c>
      <c r="AT135" s="311">
        <f t="shared" si="360"/>
        <v>0</v>
      </c>
      <c r="AV135" s="218">
        <f t="shared" si="223"/>
        <v>0</v>
      </c>
      <c r="AW135" s="218">
        <f t="shared" si="223"/>
        <v>0</v>
      </c>
      <c r="AX135" s="219">
        <f t="shared" si="361"/>
        <v>0</v>
      </c>
      <c r="AY135" s="219">
        <f t="shared" si="362"/>
        <v>0</v>
      </c>
      <c r="AZ135" s="136">
        <f t="shared" si="363"/>
        <v>0</v>
      </c>
    </row>
    <row r="136" spans="2:52" s="82" customFormat="1" ht="17.45" customHeight="1" collapsed="1" thickBot="1">
      <c r="B136" s="495"/>
      <c r="C136" s="480"/>
      <c r="D136" s="481"/>
      <c r="E136" s="481"/>
      <c r="F136" s="481"/>
      <c r="G136" s="481"/>
      <c r="H136" s="481"/>
      <c r="I136" s="493">
        <f>IFERROR(AVERAGE(I115:I135),0)</f>
        <v>0</v>
      </c>
      <c r="J136" s="493">
        <f>IFERROR(AVERAGE(J115:J135),0)</f>
        <v>0</v>
      </c>
      <c r="K136" s="485">
        <f>SUM(K115:K135)</f>
        <v>368668</v>
      </c>
      <c r="L136" s="484">
        <f>SUM(L115:L135)</f>
        <v>0</v>
      </c>
      <c r="M136" s="484">
        <f>SUM(M115:M135)</f>
        <v>0</v>
      </c>
      <c r="N136" s="483">
        <f>SUM(N115:N135)</f>
        <v>0</v>
      </c>
      <c r="O136" s="485"/>
      <c r="P136" s="485"/>
      <c r="Q136" s="485"/>
      <c r="R136" s="480"/>
      <c r="S136" s="480"/>
      <c r="T136" s="486"/>
      <c r="U136" s="487"/>
      <c r="V136" s="486"/>
      <c r="W136" s="488"/>
      <c r="X136" s="488"/>
      <c r="Y136" s="489"/>
      <c r="Z136" s="490"/>
      <c r="AA136" s="490"/>
      <c r="AB136" s="490"/>
      <c r="AC136" s="490"/>
      <c r="AD136" s="490"/>
      <c r="AE136" s="490"/>
      <c r="AF136" s="490"/>
      <c r="AG136" s="490"/>
      <c r="AH136" s="490"/>
      <c r="AI136" s="490"/>
      <c r="AJ136" s="490"/>
      <c r="AK136" s="490"/>
      <c r="AL136" s="491"/>
      <c r="AM136" s="491"/>
      <c r="AN136" s="491"/>
      <c r="AO136" s="487"/>
      <c r="AP136" s="487"/>
      <c r="AQ136" s="492"/>
      <c r="AS136" s="82">
        <f t="shared" si="359"/>
        <v>0</v>
      </c>
      <c r="AT136" s="311">
        <f t="shared" si="360"/>
        <v>368668</v>
      </c>
      <c r="AV136" s="218">
        <f t="shared" si="223"/>
        <v>0</v>
      </c>
      <c r="AW136" s="218">
        <f t="shared" si="223"/>
        <v>0</v>
      </c>
      <c r="AX136" s="219">
        <f t="shared" si="361"/>
        <v>0</v>
      </c>
      <c r="AY136" s="219">
        <f t="shared" si="362"/>
        <v>0</v>
      </c>
      <c r="AZ136" s="136">
        <f t="shared" si="363"/>
        <v>0</v>
      </c>
    </row>
    <row r="137" spans="2:52" s="82" customFormat="1" ht="24.95" customHeight="1" thickBot="1">
      <c r="B137" s="246" t="s">
        <v>249</v>
      </c>
      <c r="C137" s="117"/>
      <c r="D137" s="117"/>
      <c r="E137" s="117"/>
      <c r="F137" s="117"/>
      <c r="G137" s="117"/>
      <c r="H137" s="117"/>
      <c r="I137" s="117"/>
      <c r="J137" s="117"/>
      <c r="K137" s="117"/>
      <c r="L137" s="146"/>
      <c r="M137" s="146"/>
      <c r="N137" s="146"/>
      <c r="O137" s="117"/>
      <c r="P137" s="117"/>
      <c r="Q137" s="117"/>
      <c r="R137" s="117"/>
      <c r="S137" s="117"/>
      <c r="T137" s="475"/>
      <c r="U137" s="117"/>
      <c r="V137" s="117"/>
      <c r="W137" s="117"/>
      <c r="X137" s="117"/>
      <c r="Y137" s="208"/>
      <c r="Z137" s="117"/>
      <c r="AA137" s="117"/>
      <c r="AB137" s="117"/>
      <c r="AC137" s="117"/>
      <c r="AD137" s="117"/>
      <c r="AE137" s="117"/>
      <c r="AF137" s="117"/>
      <c r="AG137" s="117"/>
      <c r="AH137" s="117"/>
      <c r="AI137" s="117"/>
      <c r="AJ137" s="117"/>
      <c r="AK137" s="117"/>
      <c r="AL137" s="117"/>
      <c r="AM137" s="117"/>
      <c r="AN137" s="117"/>
      <c r="AO137" s="117"/>
      <c r="AP137" s="117"/>
      <c r="AQ137" s="118"/>
      <c r="AS137" s="82" t="str">
        <f t="shared" si="359"/>
        <v>2022년 9월 반입 예정 선박리스트</v>
      </c>
      <c r="AT137" s="311">
        <f t="shared" si="360"/>
        <v>0</v>
      </c>
      <c r="AV137" s="218">
        <f t="shared" si="223"/>
        <v>0</v>
      </c>
      <c r="AW137" s="218">
        <f t="shared" si="223"/>
        <v>0</v>
      </c>
      <c r="AX137" s="219">
        <f t="shared" si="361"/>
        <v>0</v>
      </c>
      <c r="AY137" s="219">
        <f t="shared" si="362"/>
        <v>0</v>
      </c>
      <c r="AZ137" s="136">
        <f t="shared" si="363"/>
        <v>0</v>
      </c>
    </row>
    <row r="138" spans="2:52" s="82" customFormat="1" ht="17.45" customHeight="1">
      <c r="B138" s="389"/>
      <c r="C138" s="390"/>
      <c r="D138" s="391"/>
      <c r="E138" s="391"/>
      <c r="F138" s="391"/>
      <c r="G138" s="391"/>
      <c r="H138" s="391"/>
      <c r="I138" s="392"/>
      <c r="J138" s="392"/>
      <c r="K138" s="393"/>
      <c r="L138" s="394"/>
      <c r="M138" s="394"/>
      <c r="N138" s="394"/>
      <c r="O138" s="393"/>
      <c r="P138" s="393"/>
      <c r="Q138" s="393"/>
      <c r="R138" s="395"/>
      <c r="S138" s="395"/>
      <c r="T138" s="395"/>
      <c r="U138" s="396"/>
      <c r="V138" s="396"/>
      <c r="W138" s="393"/>
      <c r="X138" s="393"/>
      <c r="Y138" s="397"/>
      <c r="Z138" s="398"/>
      <c r="AA138" s="460"/>
      <c r="AB138" s="460"/>
      <c r="AC138" s="460"/>
      <c r="AD138" s="460"/>
      <c r="AE138" s="460"/>
      <c r="AF138" s="460"/>
      <c r="AG138" s="460"/>
      <c r="AH138" s="460"/>
      <c r="AI138" s="460"/>
      <c r="AJ138" s="460"/>
      <c r="AK138" s="460"/>
      <c r="AL138" s="399"/>
      <c r="AM138" s="396"/>
      <c r="AN138" s="396"/>
      <c r="AO138" s="400"/>
      <c r="AP138" s="476"/>
      <c r="AQ138" s="401"/>
      <c r="AS138" s="82">
        <f t="shared" si="359"/>
        <v>0</v>
      </c>
      <c r="AT138" s="311">
        <f t="shared" si="360"/>
        <v>0</v>
      </c>
      <c r="AV138" s="218">
        <f t="shared" si="223"/>
        <v>0</v>
      </c>
      <c r="AW138" s="218">
        <f t="shared" si="223"/>
        <v>0</v>
      </c>
      <c r="AX138" s="219">
        <f t="shared" si="361"/>
        <v>0</v>
      </c>
      <c r="AY138" s="219">
        <f t="shared" si="362"/>
        <v>0</v>
      </c>
      <c r="AZ138" s="136">
        <f t="shared" si="363"/>
        <v>0</v>
      </c>
    </row>
    <row r="139" spans="2:52" s="82" customFormat="1" ht="17.45" customHeight="1">
      <c r="B139" s="372" t="s">
        <v>194</v>
      </c>
      <c r="C139" s="459" t="s">
        <v>219</v>
      </c>
      <c r="D139" s="64">
        <v>44815.5</v>
      </c>
      <c r="E139" s="508"/>
      <c r="F139" s="403"/>
      <c r="G139" s="403"/>
      <c r="H139" s="403"/>
      <c r="I139" s="405"/>
      <c r="J139" s="406"/>
      <c r="K139" s="407">
        <v>75000</v>
      </c>
      <c r="L139" s="408"/>
      <c r="M139" s="408"/>
      <c r="N139" s="408">
        <f t="shared" ref="N139:N140" si="371">L139+M139</f>
        <v>0</v>
      </c>
      <c r="O139" s="409"/>
      <c r="P139" s="407"/>
      <c r="Q139" s="407"/>
      <c r="R139" s="396" t="s">
        <v>180</v>
      </c>
      <c r="S139" s="396"/>
      <c r="T139" s="396"/>
      <c r="U139" s="396"/>
      <c r="V139" s="396"/>
      <c r="W139" s="407"/>
      <c r="X139" s="407"/>
      <c r="Y139" s="410"/>
      <c r="Z139" s="411"/>
      <c r="AA139" s="376" t="str">
        <f t="shared" ref="AA139" si="372">IF(E139="","",E139-D139+AH139+AK139)</f>
        <v/>
      </c>
      <c r="AB139" s="376" t="str">
        <f t="shared" ref="AB139" si="373">IF(G139="","",G139-D139)</f>
        <v/>
      </c>
      <c r="AC139" s="377" t="str">
        <f t="shared" ref="AC139" si="374">IF(H139="","",H139-D139)</f>
        <v/>
      </c>
      <c r="AD139" s="378" t="str">
        <f t="shared" ref="AD139" si="375">IF(N139=0,"",((N139/AE139)*24)/24)</f>
        <v/>
      </c>
      <c r="AE139" s="412">
        <f t="shared" ref="AE139" si="376">IF(G139="",0,(G139-F139)-(AJ139-AI139)-(AG139-AF139))</f>
        <v>0</v>
      </c>
      <c r="AF139" s="411"/>
      <c r="AG139" s="411"/>
      <c r="AH139" s="411">
        <f t="shared" ref="AH139:AH145" si="377">AG139-AF139</f>
        <v>0</v>
      </c>
      <c r="AI139" s="411"/>
      <c r="AJ139" s="411"/>
      <c r="AK139" s="411">
        <f t="shared" ref="AK139:AK145" si="378">AJ139-AI139</f>
        <v>0</v>
      </c>
      <c r="AL139" s="396"/>
      <c r="AM139" s="396"/>
      <c r="AN139" s="396"/>
      <c r="AO139" s="414"/>
      <c r="AP139" s="414"/>
      <c r="AQ139" s="413" t="s">
        <v>401</v>
      </c>
      <c r="AS139" s="82" t="str">
        <f t="shared" si="359"/>
        <v>SGC에너지</v>
      </c>
      <c r="AT139" s="311">
        <f t="shared" si="360"/>
        <v>75000</v>
      </c>
      <c r="AV139" s="218">
        <f t="shared" si="223"/>
        <v>0</v>
      </c>
      <c r="AW139" s="218">
        <f t="shared" si="223"/>
        <v>0</v>
      </c>
      <c r="AX139" s="219">
        <f t="shared" si="361"/>
        <v>0</v>
      </c>
      <c r="AY139" s="219">
        <f t="shared" si="362"/>
        <v>0</v>
      </c>
      <c r="AZ139" s="136">
        <f t="shared" si="363"/>
        <v>0</v>
      </c>
    </row>
    <row r="140" spans="2:52" s="82" customFormat="1" ht="17.45" customHeight="1">
      <c r="B140" s="372"/>
      <c r="C140" s="400"/>
      <c r="D140" s="403"/>
      <c r="E140" s="403"/>
      <c r="F140" s="403"/>
      <c r="G140" s="403"/>
      <c r="H140" s="403"/>
      <c r="I140" s="405"/>
      <c r="J140" s="406"/>
      <c r="K140" s="407"/>
      <c r="L140" s="408"/>
      <c r="M140" s="408"/>
      <c r="N140" s="408">
        <f t="shared" si="371"/>
        <v>0</v>
      </c>
      <c r="O140" s="409"/>
      <c r="P140" s="409"/>
      <c r="Q140" s="407"/>
      <c r="R140" s="396"/>
      <c r="S140" s="396"/>
      <c r="T140" s="396"/>
      <c r="U140" s="396"/>
      <c r="V140" s="396"/>
      <c r="W140" s="407"/>
      <c r="X140" s="407"/>
      <c r="Y140" s="410"/>
      <c r="Z140" s="411"/>
      <c r="AA140" s="411"/>
      <c r="AB140" s="411"/>
      <c r="AC140" s="411"/>
      <c r="AD140" s="378"/>
      <c r="AE140" s="398"/>
      <c r="AF140" s="398"/>
      <c r="AG140" s="398"/>
      <c r="AH140" s="398"/>
      <c r="AI140" s="398"/>
      <c r="AJ140" s="398"/>
      <c r="AK140" s="398"/>
      <c r="AL140" s="396"/>
      <c r="AM140" s="396"/>
      <c r="AN140" s="396"/>
      <c r="AO140" s="414"/>
      <c r="AP140" s="414"/>
      <c r="AQ140" s="106" t="s">
        <v>210</v>
      </c>
      <c r="AS140" s="82">
        <f t="shared" si="359"/>
        <v>0</v>
      </c>
      <c r="AT140" s="311">
        <f t="shared" si="360"/>
        <v>0</v>
      </c>
      <c r="AV140" s="218">
        <f t="shared" si="223"/>
        <v>0</v>
      </c>
      <c r="AW140" s="218">
        <f t="shared" si="223"/>
        <v>0</v>
      </c>
      <c r="AX140" s="219">
        <f t="shared" si="361"/>
        <v>0</v>
      </c>
      <c r="AY140" s="219">
        <f t="shared" si="362"/>
        <v>0</v>
      </c>
      <c r="AZ140" s="136">
        <f t="shared" si="363"/>
        <v>0</v>
      </c>
    </row>
    <row r="141" spans="2:52" s="82" customFormat="1" ht="17.45" customHeight="1">
      <c r="B141" s="372" t="s">
        <v>185</v>
      </c>
      <c r="C141" s="459" t="s">
        <v>219</v>
      </c>
      <c r="D141" s="64">
        <v>44819.5</v>
      </c>
      <c r="E141" s="508"/>
      <c r="F141" s="403"/>
      <c r="G141" s="403"/>
      <c r="H141" s="403"/>
      <c r="I141" s="405"/>
      <c r="J141" s="406"/>
      <c r="K141" s="407">
        <v>70000</v>
      </c>
      <c r="L141" s="408"/>
      <c r="M141" s="408"/>
      <c r="N141" s="408">
        <v>0</v>
      </c>
      <c r="O141" s="409"/>
      <c r="P141" s="407"/>
      <c r="Q141" s="407"/>
      <c r="R141" s="396" t="s">
        <v>183</v>
      </c>
      <c r="S141" s="396" t="s">
        <v>214</v>
      </c>
      <c r="T141" s="396" t="s">
        <v>228</v>
      </c>
      <c r="U141" s="396"/>
      <c r="V141" s="396"/>
      <c r="W141" s="407"/>
      <c r="X141" s="407"/>
      <c r="Y141" s="410"/>
      <c r="Z141" s="411"/>
      <c r="AA141" s="376" t="str">
        <f t="shared" ref="AA141" si="379">IF(E141="","",E141-D141+AH141+AK141)</f>
        <v/>
      </c>
      <c r="AB141" s="376" t="str">
        <f t="shared" ref="AB141" si="380">IF(G141="","",G141-D141)</f>
        <v/>
      </c>
      <c r="AC141" s="377" t="str">
        <f t="shared" ref="AC141" si="381">IF(H141="","",H141-D141)</f>
        <v/>
      </c>
      <c r="AD141" s="378" t="str">
        <f t="shared" ref="AD141" si="382">IF(N141=0,"",((N141/AE141)*24)/24)</f>
        <v/>
      </c>
      <c r="AE141" s="412">
        <v>0</v>
      </c>
      <c r="AF141" s="411"/>
      <c r="AG141" s="411"/>
      <c r="AH141" s="411">
        <f t="shared" si="377"/>
        <v>0</v>
      </c>
      <c r="AI141" s="411"/>
      <c r="AJ141" s="411"/>
      <c r="AK141" s="411">
        <f t="shared" si="378"/>
        <v>0</v>
      </c>
      <c r="AL141" s="396"/>
      <c r="AM141" s="396"/>
      <c r="AN141" s="396"/>
      <c r="AO141" s="414"/>
      <c r="AP141" s="414"/>
      <c r="AQ141" s="413" t="s">
        <v>401</v>
      </c>
      <c r="AS141" s="82" t="str">
        <f t="shared" si="359"/>
        <v>남동발전</v>
      </c>
      <c r="AT141" s="311">
        <f t="shared" si="360"/>
        <v>70000</v>
      </c>
      <c r="AV141" s="218">
        <f t="shared" si="223"/>
        <v>0</v>
      </c>
      <c r="AW141" s="218">
        <f t="shared" si="223"/>
        <v>0</v>
      </c>
      <c r="AX141" s="219">
        <f t="shared" si="361"/>
        <v>0</v>
      </c>
      <c r="AY141" s="219">
        <f t="shared" si="362"/>
        <v>0</v>
      </c>
      <c r="AZ141" s="136">
        <f t="shared" si="363"/>
        <v>0</v>
      </c>
    </row>
    <row r="142" spans="2:52" s="82" customFormat="1" ht="17.45" customHeight="1">
      <c r="B142" s="372"/>
      <c r="C142" s="400"/>
      <c r="D142" s="403"/>
      <c r="E142" s="403"/>
      <c r="F142" s="403"/>
      <c r="G142" s="403"/>
      <c r="H142" s="403"/>
      <c r="I142" s="405"/>
      <c r="J142" s="406"/>
      <c r="K142" s="407"/>
      <c r="L142" s="408"/>
      <c r="M142" s="408"/>
      <c r="N142" s="408">
        <v>0</v>
      </c>
      <c r="O142" s="409"/>
      <c r="P142" s="409"/>
      <c r="Q142" s="407"/>
      <c r="R142" s="396"/>
      <c r="S142" s="396"/>
      <c r="T142" s="396"/>
      <c r="U142" s="396"/>
      <c r="V142" s="396"/>
      <c r="W142" s="407"/>
      <c r="X142" s="407"/>
      <c r="Y142" s="410"/>
      <c r="Z142" s="411"/>
      <c r="AA142" s="411"/>
      <c r="AB142" s="411"/>
      <c r="AC142" s="411"/>
      <c r="AD142" s="378"/>
      <c r="AE142" s="398"/>
      <c r="AF142" s="398"/>
      <c r="AG142" s="398"/>
      <c r="AH142" s="398"/>
      <c r="AI142" s="398"/>
      <c r="AJ142" s="398"/>
      <c r="AK142" s="398"/>
      <c r="AL142" s="396"/>
      <c r="AM142" s="396"/>
      <c r="AN142" s="396"/>
      <c r="AO142" s="414"/>
      <c r="AP142" s="414"/>
      <c r="AQ142" s="106" t="s">
        <v>210</v>
      </c>
      <c r="AS142" s="82">
        <f t="shared" si="359"/>
        <v>0</v>
      </c>
      <c r="AT142" s="311">
        <f t="shared" si="360"/>
        <v>0</v>
      </c>
      <c r="AV142" s="218">
        <f t="shared" si="223"/>
        <v>0</v>
      </c>
      <c r="AW142" s="218">
        <f t="shared" si="223"/>
        <v>0</v>
      </c>
      <c r="AX142" s="219">
        <f t="shared" si="361"/>
        <v>0</v>
      </c>
      <c r="AY142" s="219">
        <f t="shared" si="362"/>
        <v>0</v>
      </c>
      <c r="AZ142" s="136">
        <f t="shared" si="363"/>
        <v>0</v>
      </c>
    </row>
    <row r="143" spans="2:52" s="82" customFormat="1" ht="17.45" customHeight="1">
      <c r="B143" s="372" t="s">
        <v>182</v>
      </c>
      <c r="C143" s="459" t="s">
        <v>219</v>
      </c>
      <c r="D143" s="64">
        <v>44819.5</v>
      </c>
      <c r="E143" s="508"/>
      <c r="F143" s="403"/>
      <c r="G143" s="403"/>
      <c r="H143" s="403"/>
      <c r="I143" s="405"/>
      <c r="J143" s="406"/>
      <c r="K143" s="407">
        <v>30000</v>
      </c>
      <c r="L143" s="408"/>
      <c r="M143" s="408"/>
      <c r="N143" s="408">
        <v>0</v>
      </c>
      <c r="O143" s="409"/>
      <c r="P143" s="407"/>
      <c r="Q143" s="407"/>
      <c r="R143" s="396" t="s">
        <v>183</v>
      </c>
      <c r="S143" s="396"/>
      <c r="T143" s="396"/>
      <c r="U143" s="396"/>
      <c r="V143" s="396"/>
      <c r="W143" s="407"/>
      <c r="X143" s="407"/>
      <c r="Y143" s="410"/>
      <c r="Z143" s="411"/>
      <c r="AA143" s="376" t="str">
        <f t="shared" ref="AA143" si="383">IF(E143="","",E143-D143+AH143+AK143)</f>
        <v/>
      </c>
      <c r="AB143" s="376" t="str">
        <f t="shared" ref="AB143" si="384">IF(G143="","",G143-D143)</f>
        <v/>
      </c>
      <c r="AC143" s="377" t="str">
        <f t="shared" ref="AC143" si="385">IF(H143="","",H143-D143)</f>
        <v/>
      </c>
      <c r="AD143" s="378" t="str">
        <f t="shared" ref="AD143" si="386">IF(N143=0,"",((N143/AE143)*24)/24)</f>
        <v/>
      </c>
      <c r="AE143" s="412">
        <v>0</v>
      </c>
      <c r="AF143" s="411"/>
      <c r="AG143" s="411"/>
      <c r="AH143" s="411">
        <f t="shared" si="377"/>
        <v>0</v>
      </c>
      <c r="AI143" s="411"/>
      <c r="AJ143" s="411"/>
      <c r="AK143" s="411">
        <f t="shared" si="378"/>
        <v>0</v>
      </c>
      <c r="AL143" s="396"/>
      <c r="AM143" s="396"/>
      <c r="AN143" s="396"/>
      <c r="AO143" s="414"/>
      <c r="AP143" s="414"/>
      <c r="AQ143" s="413" t="s">
        <v>401</v>
      </c>
      <c r="AS143" s="82" t="str">
        <f t="shared" si="359"/>
        <v>OCI SE</v>
      </c>
      <c r="AT143" s="311">
        <f t="shared" si="360"/>
        <v>30000</v>
      </c>
      <c r="AV143" s="218">
        <f t="shared" si="223"/>
        <v>0</v>
      </c>
      <c r="AW143" s="218">
        <f t="shared" si="223"/>
        <v>0</v>
      </c>
      <c r="AX143" s="219">
        <f t="shared" si="361"/>
        <v>0</v>
      </c>
      <c r="AY143" s="219">
        <f t="shared" si="362"/>
        <v>0</v>
      </c>
      <c r="AZ143" s="136">
        <f t="shared" si="363"/>
        <v>0</v>
      </c>
    </row>
    <row r="144" spans="2:52" s="82" customFormat="1" ht="17.45" customHeight="1">
      <c r="B144" s="372"/>
      <c r="C144" s="400"/>
      <c r="D144" s="403"/>
      <c r="E144" s="403"/>
      <c r="F144" s="403"/>
      <c r="G144" s="403"/>
      <c r="H144" s="403"/>
      <c r="I144" s="405"/>
      <c r="J144" s="406"/>
      <c r="K144" s="407"/>
      <c r="L144" s="408"/>
      <c r="M144" s="408"/>
      <c r="N144" s="408">
        <v>0</v>
      </c>
      <c r="O144" s="409"/>
      <c r="P144" s="409"/>
      <c r="Q144" s="407"/>
      <c r="R144" s="396"/>
      <c r="S144" s="396"/>
      <c r="T144" s="396"/>
      <c r="U144" s="396"/>
      <c r="V144" s="396"/>
      <c r="W144" s="407"/>
      <c r="X144" s="407"/>
      <c r="Y144" s="410"/>
      <c r="Z144" s="411"/>
      <c r="AA144" s="411"/>
      <c r="AB144" s="411"/>
      <c r="AC144" s="411"/>
      <c r="AD144" s="378"/>
      <c r="AE144" s="398"/>
      <c r="AF144" s="398"/>
      <c r="AG144" s="398"/>
      <c r="AH144" s="398"/>
      <c r="AI144" s="398"/>
      <c r="AJ144" s="398"/>
      <c r="AK144" s="398"/>
      <c r="AL144" s="396"/>
      <c r="AM144" s="396"/>
      <c r="AN144" s="396"/>
      <c r="AO144" s="414"/>
      <c r="AP144" s="414"/>
      <c r="AQ144" s="106" t="s">
        <v>210</v>
      </c>
      <c r="AS144" s="82">
        <f t="shared" si="359"/>
        <v>0</v>
      </c>
      <c r="AT144" s="311">
        <f t="shared" si="360"/>
        <v>0</v>
      </c>
      <c r="AV144" s="218">
        <f t="shared" si="223"/>
        <v>0</v>
      </c>
      <c r="AW144" s="218">
        <f t="shared" si="223"/>
        <v>0</v>
      </c>
      <c r="AX144" s="219">
        <f t="shared" si="361"/>
        <v>0</v>
      </c>
      <c r="AY144" s="219">
        <f t="shared" si="362"/>
        <v>0</v>
      </c>
      <c r="AZ144" s="136">
        <f t="shared" si="363"/>
        <v>0</v>
      </c>
    </row>
    <row r="145" spans="2:52" s="82" customFormat="1" ht="17.45" customHeight="1">
      <c r="B145" s="372" t="s">
        <v>194</v>
      </c>
      <c r="C145" s="459" t="s">
        <v>219</v>
      </c>
      <c r="D145" s="64">
        <v>44820.5</v>
      </c>
      <c r="E145" s="508"/>
      <c r="F145" s="403"/>
      <c r="G145" s="403"/>
      <c r="H145" s="403"/>
      <c r="I145" s="405"/>
      <c r="J145" s="406"/>
      <c r="K145" s="407">
        <v>75000</v>
      </c>
      <c r="L145" s="408"/>
      <c r="M145" s="408"/>
      <c r="N145" s="408">
        <f t="shared" ref="N145:N146" si="387">L145+M145</f>
        <v>0</v>
      </c>
      <c r="O145" s="409"/>
      <c r="P145" s="407"/>
      <c r="Q145" s="407"/>
      <c r="R145" s="396" t="s">
        <v>183</v>
      </c>
      <c r="S145" s="396"/>
      <c r="T145" s="396"/>
      <c r="U145" s="396"/>
      <c r="V145" s="396"/>
      <c r="W145" s="407"/>
      <c r="X145" s="407"/>
      <c r="Y145" s="410"/>
      <c r="Z145" s="411"/>
      <c r="AA145" s="376" t="str">
        <f t="shared" ref="AA145" si="388">IF(E145="","",E145-D145+AH145+AK145)</f>
        <v/>
      </c>
      <c r="AB145" s="376" t="str">
        <f t="shared" ref="AB145" si="389">IF(G145="","",G145-D145)</f>
        <v/>
      </c>
      <c r="AC145" s="377" t="str">
        <f t="shared" ref="AC145" si="390">IF(H145="","",H145-D145)</f>
        <v/>
      </c>
      <c r="AD145" s="378" t="str">
        <f t="shared" ref="AD145" si="391">IF(N145=0,"",((N145/AE145)*24)/24)</f>
        <v/>
      </c>
      <c r="AE145" s="412">
        <f t="shared" ref="AE145" si="392">IF(G145="",0,(G145-F145)-(AJ145-AI145)-(AG145-AF145))</f>
        <v>0</v>
      </c>
      <c r="AF145" s="411"/>
      <c r="AG145" s="411"/>
      <c r="AH145" s="411">
        <f t="shared" si="377"/>
        <v>0</v>
      </c>
      <c r="AI145" s="411"/>
      <c r="AJ145" s="411"/>
      <c r="AK145" s="411">
        <f t="shared" si="378"/>
        <v>0</v>
      </c>
      <c r="AL145" s="396"/>
      <c r="AM145" s="396"/>
      <c r="AN145" s="396"/>
      <c r="AO145" s="414"/>
      <c r="AP145" s="414"/>
      <c r="AQ145" s="413" t="s">
        <v>401</v>
      </c>
      <c r="AS145" s="82" t="str">
        <f t="shared" si="359"/>
        <v>SGC에너지</v>
      </c>
      <c r="AT145" s="311">
        <f t="shared" si="360"/>
        <v>75000</v>
      </c>
      <c r="AV145" s="218">
        <f t="shared" si="223"/>
        <v>0</v>
      </c>
      <c r="AW145" s="218">
        <f t="shared" si="223"/>
        <v>0</v>
      </c>
      <c r="AX145" s="219">
        <f t="shared" si="361"/>
        <v>0</v>
      </c>
      <c r="AY145" s="219">
        <f t="shared" si="362"/>
        <v>0</v>
      </c>
      <c r="AZ145" s="136">
        <f t="shared" si="363"/>
        <v>0</v>
      </c>
    </row>
    <row r="146" spans="2:52" s="82" customFormat="1" ht="17.45" customHeight="1">
      <c r="B146" s="372"/>
      <c r="C146" s="400"/>
      <c r="D146" s="403"/>
      <c r="E146" s="403"/>
      <c r="F146" s="403"/>
      <c r="G146" s="403"/>
      <c r="H146" s="403"/>
      <c r="I146" s="405"/>
      <c r="J146" s="406"/>
      <c r="K146" s="407"/>
      <c r="L146" s="408"/>
      <c r="M146" s="408"/>
      <c r="N146" s="408">
        <f t="shared" si="387"/>
        <v>0</v>
      </c>
      <c r="O146" s="409"/>
      <c r="P146" s="409"/>
      <c r="Q146" s="407"/>
      <c r="R146" s="396"/>
      <c r="S146" s="396"/>
      <c r="T146" s="396"/>
      <c r="U146" s="396"/>
      <c r="V146" s="396"/>
      <c r="W146" s="407"/>
      <c r="X146" s="407"/>
      <c r="Y146" s="410"/>
      <c r="Z146" s="411"/>
      <c r="AA146" s="411"/>
      <c r="AB146" s="411"/>
      <c r="AC146" s="411"/>
      <c r="AD146" s="378"/>
      <c r="AE146" s="398"/>
      <c r="AF146" s="398"/>
      <c r="AG146" s="398"/>
      <c r="AH146" s="398"/>
      <c r="AI146" s="398"/>
      <c r="AJ146" s="398"/>
      <c r="AK146" s="398"/>
      <c r="AL146" s="396"/>
      <c r="AM146" s="396"/>
      <c r="AN146" s="396"/>
      <c r="AO146" s="414"/>
      <c r="AP146" s="414"/>
      <c r="AQ146" s="106" t="s">
        <v>210</v>
      </c>
      <c r="AS146" s="82">
        <f t="shared" si="359"/>
        <v>0</v>
      </c>
      <c r="AT146" s="311">
        <f t="shared" si="360"/>
        <v>0</v>
      </c>
      <c r="AV146" s="218">
        <f t="shared" si="223"/>
        <v>0</v>
      </c>
      <c r="AW146" s="218">
        <f t="shared" si="223"/>
        <v>0</v>
      </c>
      <c r="AX146" s="219">
        <f t="shared" si="361"/>
        <v>0</v>
      </c>
      <c r="AY146" s="219">
        <f t="shared" si="362"/>
        <v>0</v>
      </c>
      <c r="AZ146" s="136">
        <f t="shared" si="363"/>
        <v>0</v>
      </c>
    </row>
    <row r="147" spans="2:52" s="102" customFormat="1" ht="17.45" hidden="1" customHeight="1" outlineLevel="1">
      <c r="B147" s="402"/>
      <c r="C147" s="400"/>
      <c r="D147" s="403"/>
      <c r="E147" s="403"/>
      <c r="F147" s="403"/>
      <c r="G147" s="403"/>
      <c r="H147" s="403"/>
      <c r="I147" s="405"/>
      <c r="J147" s="406"/>
      <c r="K147" s="407"/>
      <c r="L147" s="408"/>
      <c r="M147" s="408"/>
      <c r="N147" s="394"/>
      <c r="O147" s="393"/>
      <c r="P147" s="393"/>
      <c r="Q147" s="407"/>
      <c r="R147" s="396"/>
      <c r="S147" s="396"/>
      <c r="T147" s="396"/>
      <c r="U147" s="396"/>
      <c r="V147" s="396"/>
      <c r="W147" s="407"/>
      <c r="X147" s="407"/>
      <c r="Y147" s="410"/>
      <c r="Z147" s="411"/>
      <c r="AA147" s="376" t="str">
        <f t="shared" ref="AA147" si="393">IF(E147="","",E147-D147+AH147+AK147)</f>
        <v/>
      </c>
      <c r="AB147" s="376" t="str">
        <f t="shared" ref="AB147" si="394">IF(G147="","",G147-D147)</f>
        <v/>
      </c>
      <c r="AC147" s="377" t="str">
        <f t="shared" ref="AC147" si="395">IF(H147="","",H147-D147)</f>
        <v/>
      </c>
      <c r="AD147" s="378" t="str">
        <f t="shared" ref="AD147" si="396">IF(N147=0,"",((N147/AE147)*24)/24)</f>
        <v/>
      </c>
      <c r="AE147" s="412">
        <f t="shared" ref="AE147" si="397">IF(G147="",0,(G147-F147)-(AJ147-AI147)-(AG147-AF147))</f>
        <v>0</v>
      </c>
      <c r="AF147" s="411"/>
      <c r="AG147" s="411"/>
      <c r="AH147" s="411">
        <f t="shared" ref="AH147" si="398">AG147-AF147</f>
        <v>0</v>
      </c>
      <c r="AI147" s="411"/>
      <c r="AJ147" s="411"/>
      <c r="AK147" s="411">
        <f t="shared" ref="AK147" si="399">AJ147-AI147</f>
        <v>0</v>
      </c>
      <c r="AL147" s="396"/>
      <c r="AM147" s="396"/>
      <c r="AN147" s="396"/>
      <c r="AO147" s="400"/>
      <c r="AP147" s="400"/>
      <c r="AQ147" s="413"/>
      <c r="AS147" s="82">
        <f t="shared" si="359"/>
        <v>0</v>
      </c>
      <c r="AT147" s="311">
        <f t="shared" si="360"/>
        <v>0</v>
      </c>
      <c r="AU147" s="82"/>
      <c r="AV147" s="218">
        <f t="shared" si="223"/>
        <v>0</v>
      </c>
      <c r="AW147" s="218">
        <f t="shared" si="223"/>
        <v>0</v>
      </c>
      <c r="AX147" s="219">
        <f t="shared" si="361"/>
        <v>0</v>
      </c>
      <c r="AY147" s="219">
        <f t="shared" si="362"/>
        <v>0</v>
      </c>
      <c r="AZ147" s="136">
        <f t="shared" si="363"/>
        <v>0</v>
      </c>
    </row>
    <row r="148" spans="2:52" s="102" customFormat="1" ht="17.45" hidden="1" customHeight="1" outlineLevel="1" collapsed="1">
      <c r="B148" s="402"/>
      <c r="C148" s="400"/>
      <c r="D148" s="403"/>
      <c r="E148" s="403"/>
      <c r="F148" s="403"/>
      <c r="G148" s="403"/>
      <c r="H148" s="403"/>
      <c r="I148" s="405"/>
      <c r="J148" s="406"/>
      <c r="K148" s="407"/>
      <c r="L148" s="407"/>
      <c r="M148" s="408"/>
      <c r="N148" s="408"/>
      <c r="O148" s="409"/>
      <c r="P148" s="409"/>
      <c r="Q148" s="407"/>
      <c r="R148" s="473"/>
      <c r="S148" s="396"/>
      <c r="T148" s="396"/>
      <c r="U148" s="396"/>
      <c r="V148" s="396"/>
      <c r="W148" s="407"/>
      <c r="X148" s="407"/>
      <c r="Y148" s="410"/>
      <c r="Z148" s="411"/>
      <c r="AA148" s="411"/>
      <c r="AB148" s="411"/>
      <c r="AC148" s="411"/>
      <c r="AD148" s="378"/>
      <c r="AE148" s="398"/>
      <c r="AF148" s="398"/>
      <c r="AG148" s="398"/>
      <c r="AH148" s="398"/>
      <c r="AI148" s="398"/>
      <c r="AJ148" s="398"/>
      <c r="AK148" s="398"/>
      <c r="AL148" s="396"/>
      <c r="AM148" s="396"/>
      <c r="AN148" s="396"/>
      <c r="AO148" s="400"/>
      <c r="AP148" s="400"/>
      <c r="AQ148" s="401"/>
      <c r="AS148" s="82">
        <f t="shared" si="359"/>
        <v>0</v>
      </c>
      <c r="AT148" s="311">
        <f t="shared" si="360"/>
        <v>0</v>
      </c>
      <c r="AU148" s="82"/>
      <c r="AV148" s="218">
        <f t="shared" si="223"/>
        <v>0</v>
      </c>
      <c r="AW148" s="218">
        <f t="shared" si="223"/>
        <v>0</v>
      </c>
      <c r="AX148" s="219">
        <f t="shared" si="361"/>
        <v>0</v>
      </c>
      <c r="AY148" s="219">
        <f t="shared" si="362"/>
        <v>0</v>
      </c>
      <c r="AZ148" s="136">
        <f t="shared" si="363"/>
        <v>0</v>
      </c>
    </row>
    <row r="149" spans="2:52" s="102" customFormat="1" ht="17.45" hidden="1" customHeight="1" outlineLevel="1" collapsed="1">
      <c r="B149" s="402"/>
      <c r="C149" s="400"/>
      <c r="D149" s="403"/>
      <c r="E149" s="403"/>
      <c r="F149" s="403"/>
      <c r="G149" s="403"/>
      <c r="H149" s="403"/>
      <c r="I149" s="405"/>
      <c r="J149" s="406"/>
      <c r="K149" s="407"/>
      <c r="L149" s="407"/>
      <c r="M149" s="408"/>
      <c r="N149" s="408"/>
      <c r="O149" s="409"/>
      <c r="P149" s="409"/>
      <c r="Q149" s="407"/>
      <c r="R149" s="473"/>
      <c r="S149" s="396"/>
      <c r="T149" s="396"/>
      <c r="U149" s="396"/>
      <c r="V149" s="396"/>
      <c r="W149" s="407"/>
      <c r="X149" s="407"/>
      <c r="Y149" s="410"/>
      <c r="Z149" s="411"/>
      <c r="AA149" s="376" t="str">
        <f t="shared" ref="AA149" si="400">IF(E149="","",E149-D149+AH149+AK149)</f>
        <v/>
      </c>
      <c r="AB149" s="376" t="str">
        <f t="shared" ref="AB149" si="401">IF(G149="","",G149-D149)</f>
        <v/>
      </c>
      <c r="AC149" s="377" t="str">
        <f t="shared" ref="AC149" si="402">IF(H149="","",H149-D149)</f>
        <v/>
      </c>
      <c r="AD149" s="378" t="str">
        <f t="shared" ref="AD149" si="403">IF(N149=0,"",((N149/AE149)*24)/24)</f>
        <v/>
      </c>
      <c r="AE149" s="412">
        <f t="shared" ref="AE149" si="404">IF(G149="",0,(G149-F149)-(AJ149-AI149)-(AG149-AF149))</f>
        <v>0</v>
      </c>
      <c r="AF149" s="411"/>
      <c r="AG149" s="411"/>
      <c r="AH149" s="411">
        <f t="shared" ref="AH149" si="405">AG149-AF149</f>
        <v>0</v>
      </c>
      <c r="AI149" s="411"/>
      <c r="AJ149" s="411"/>
      <c r="AK149" s="411">
        <f t="shared" ref="AK149" si="406">AJ149-AI149</f>
        <v>0</v>
      </c>
      <c r="AL149" s="396"/>
      <c r="AM149" s="396"/>
      <c r="AN149" s="396"/>
      <c r="AO149" s="400"/>
      <c r="AP149" s="400"/>
      <c r="AQ149" s="401"/>
      <c r="AS149" s="82">
        <f t="shared" si="359"/>
        <v>0</v>
      </c>
      <c r="AT149" s="311">
        <f t="shared" si="360"/>
        <v>0</v>
      </c>
      <c r="AU149" s="82"/>
      <c r="AV149" s="218">
        <f t="shared" si="223"/>
        <v>0</v>
      </c>
      <c r="AW149" s="218">
        <f t="shared" si="223"/>
        <v>0</v>
      </c>
      <c r="AX149" s="219">
        <f t="shared" si="361"/>
        <v>0</v>
      </c>
      <c r="AY149" s="219">
        <f t="shared" si="362"/>
        <v>0</v>
      </c>
      <c r="AZ149" s="136">
        <f t="shared" si="363"/>
        <v>0</v>
      </c>
    </row>
    <row r="150" spans="2:52" s="102" customFormat="1" ht="17.45" hidden="1" customHeight="1" outlineLevel="1">
      <c r="B150" s="402"/>
      <c r="C150" s="400"/>
      <c r="D150" s="403"/>
      <c r="E150" s="403"/>
      <c r="F150" s="403"/>
      <c r="G150" s="403"/>
      <c r="H150" s="403"/>
      <c r="I150" s="405"/>
      <c r="J150" s="406"/>
      <c r="K150" s="407"/>
      <c r="L150" s="408"/>
      <c r="M150" s="408"/>
      <c r="N150" s="394"/>
      <c r="O150" s="393"/>
      <c r="P150" s="393"/>
      <c r="Q150" s="407"/>
      <c r="R150" s="396"/>
      <c r="S150" s="396"/>
      <c r="T150" s="396"/>
      <c r="U150" s="396"/>
      <c r="V150" s="396"/>
      <c r="W150" s="407"/>
      <c r="X150" s="407"/>
      <c r="Y150" s="410"/>
      <c r="Z150" s="411"/>
      <c r="AA150" s="411"/>
      <c r="AB150" s="411"/>
      <c r="AC150" s="411"/>
      <c r="AD150" s="378"/>
      <c r="AE150" s="398"/>
      <c r="AF150" s="398"/>
      <c r="AG150" s="398"/>
      <c r="AH150" s="398"/>
      <c r="AI150" s="398"/>
      <c r="AJ150" s="398"/>
      <c r="AK150" s="398"/>
      <c r="AL150" s="396"/>
      <c r="AM150" s="396"/>
      <c r="AN150" s="396"/>
      <c r="AO150" s="400"/>
      <c r="AP150" s="400"/>
      <c r="AQ150" s="413"/>
      <c r="AS150" s="82">
        <f t="shared" si="359"/>
        <v>0</v>
      </c>
      <c r="AT150" s="311">
        <f t="shared" si="360"/>
        <v>0</v>
      </c>
      <c r="AU150" s="82"/>
      <c r="AV150" s="218">
        <f t="shared" si="223"/>
        <v>0</v>
      </c>
      <c r="AW150" s="218">
        <f t="shared" si="223"/>
        <v>0</v>
      </c>
      <c r="AX150" s="219">
        <f t="shared" si="361"/>
        <v>0</v>
      </c>
      <c r="AY150" s="219">
        <f t="shared" si="362"/>
        <v>0</v>
      </c>
      <c r="AZ150" s="136">
        <f t="shared" si="363"/>
        <v>0</v>
      </c>
    </row>
    <row r="151" spans="2:52" s="102" customFormat="1" ht="17.45" hidden="1" customHeight="1" outlineLevel="1" collapsed="1">
      <c r="B151" s="402"/>
      <c r="C151" s="400"/>
      <c r="D151" s="403"/>
      <c r="E151" s="403"/>
      <c r="F151" s="403"/>
      <c r="G151" s="403"/>
      <c r="H151" s="403"/>
      <c r="I151" s="405"/>
      <c r="J151" s="406"/>
      <c r="K151" s="407"/>
      <c r="L151" s="407"/>
      <c r="M151" s="408"/>
      <c r="N151" s="408"/>
      <c r="O151" s="409"/>
      <c r="P151" s="409"/>
      <c r="Q151" s="407"/>
      <c r="R151" s="473"/>
      <c r="S151" s="396"/>
      <c r="T151" s="396"/>
      <c r="U151" s="396"/>
      <c r="V151" s="396"/>
      <c r="W151" s="407"/>
      <c r="X151" s="407"/>
      <c r="Y151" s="410"/>
      <c r="Z151" s="411"/>
      <c r="AA151" s="376" t="str">
        <f t="shared" ref="AA151" si="407">IF(E151="","",E151-D151+AH151+AK151)</f>
        <v/>
      </c>
      <c r="AB151" s="376" t="str">
        <f t="shared" ref="AB151" si="408">IF(G151="","",G151-D151)</f>
        <v/>
      </c>
      <c r="AC151" s="377" t="str">
        <f t="shared" ref="AC151" si="409">IF(H151="","",H151-D151)</f>
        <v/>
      </c>
      <c r="AD151" s="378" t="str">
        <f t="shared" ref="AD151" si="410">IF(N151=0,"",((N151/AE151)*24)/24)</f>
        <v/>
      </c>
      <c r="AE151" s="412">
        <f t="shared" ref="AE151" si="411">IF(G151="",0,(G151-F151)-(AJ151-AI151)-(AG151-AF151))</f>
        <v>0</v>
      </c>
      <c r="AF151" s="411"/>
      <c r="AG151" s="411"/>
      <c r="AH151" s="411">
        <f t="shared" ref="AH151" si="412">AG151-AF151</f>
        <v>0</v>
      </c>
      <c r="AI151" s="411"/>
      <c r="AJ151" s="411"/>
      <c r="AK151" s="411">
        <f t="shared" ref="AK151" si="413">AJ151-AI151</f>
        <v>0</v>
      </c>
      <c r="AL151" s="396"/>
      <c r="AM151" s="396"/>
      <c r="AN151" s="396"/>
      <c r="AO151" s="400"/>
      <c r="AP151" s="400"/>
      <c r="AQ151" s="401"/>
      <c r="AS151" s="82">
        <f t="shared" si="359"/>
        <v>0</v>
      </c>
      <c r="AT151" s="311">
        <f t="shared" si="360"/>
        <v>0</v>
      </c>
      <c r="AU151" s="82"/>
      <c r="AV151" s="218">
        <f t="shared" ref="AV151:AW166" si="414">IF(L151=0,0,1)</f>
        <v>0</v>
      </c>
      <c r="AW151" s="218">
        <f t="shared" si="414"/>
        <v>0</v>
      </c>
      <c r="AX151" s="219">
        <f t="shared" si="361"/>
        <v>0</v>
      </c>
      <c r="AY151" s="219">
        <f t="shared" si="362"/>
        <v>0</v>
      </c>
      <c r="AZ151" s="136">
        <f t="shared" si="363"/>
        <v>0</v>
      </c>
    </row>
    <row r="152" spans="2:52" s="102" customFormat="1" ht="17.45" hidden="1" customHeight="1" outlineLevel="1">
      <c r="B152" s="402"/>
      <c r="C152" s="400"/>
      <c r="D152" s="403"/>
      <c r="E152" s="403"/>
      <c r="F152" s="403"/>
      <c r="G152" s="403"/>
      <c r="H152" s="403"/>
      <c r="I152" s="405"/>
      <c r="J152" s="406"/>
      <c r="K152" s="407"/>
      <c r="L152" s="408"/>
      <c r="M152" s="408"/>
      <c r="N152" s="394"/>
      <c r="O152" s="393"/>
      <c r="P152" s="393"/>
      <c r="Q152" s="407"/>
      <c r="R152" s="396"/>
      <c r="S152" s="396"/>
      <c r="T152" s="396"/>
      <c r="U152" s="396"/>
      <c r="V152" s="396"/>
      <c r="W152" s="407"/>
      <c r="X152" s="407"/>
      <c r="Y152" s="410"/>
      <c r="Z152" s="411"/>
      <c r="AA152" s="411"/>
      <c r="AB152" s="411"/>
      <c r="AC152" s="411"/>
      <c r="AD152" s="378"/>
      <c r="AE152" s="398"/>
      <c r="AF152" s="398"/>
      <c r="AG152" s="398"/>
      <c r="AH152" s="398"/>
      <c r="AI152" s="398"/>
      <c r="AJ152" s="398"/>
      <c r="AK152" s="398"/>
      <c r="AL152" s="396"/>
      <c r="AM152" s="396"/>
      <c r="AN152" s="396"/>
      <c r="AO152" s="400"/>
      <c r="AP152" s="400"/>
      <c r="AQ152" s="413"/>
      <c r="AS152" s="82">
        <f t="shared" si="359"/>
        <v>0</v>
      </c>
      <c r="AT152" s="311">
        <f t="shared" si="360"/>
        <v>0</v>
      </c>
      <c r="AU152" s="82"/>
      <c r="AV152" s="218">
        <f t="shared" si="414"/>
        <v>0</v>
      </c>
      <c r="AW152" s="218">
        <f t="shared" si="414"/>
        <v>0</v>
      </c>
      <c r="AX152" s="219">
        <f t="shared" si="361"/>
        <v>0</v>
      </c>
      <c r="AY152" s="219">
        <f t="shared" si="362"/>
        <v>0</v>
      </c>
      <c r="AZ152" s="136">
        <f t="shared" si="363"/>
        <v>0</v>
      </c>
    </row>
    <row r="153" spans="2:52" s="102" customFormat="1" ht="17.45" hidden="1" customHeight="1" outlineLevel="1" collapsed="1">
      <c r="B153" s="402"/>
      <c r="C153" s="400"/>
      <c r="D153" s="403"/>
      <c r="E153" s="403"/>
      <c r="F153" s="403"/>
      <c r="G153" s="403"/>
      <c r="H153" s="403"/>
      <c r="I153" s="405"/>
      <c r="J153" s="406"/>
      <c r="K153" s="407"/>
      <c r="L153" s="407"/>
      <c r="M153" s="408"/>
      <c r="N153" s="408"/>
      <c r="O153" s="409"/>
      <c r="P153" s="409"/>
      <c r="Q153" s="407"/>
      <c r="R153" s="473"/>
      <c r="S153" s="396"/>
      <c r="T153" s="396"/>
      <c r="U153" s="396"/>
      <c r="V153" s="396"/>
      <c r="W153" s="407"/>
      <c r="X153" s="407"/>
      <c r="Y153" s="410"/>
      <c r="Z153" s="411"/>
      <c r="AA153" s="376" t="str">
        <f t="shared" ref="AA153" si="415">IF(E153="","",E153-D153+AH153+AK153)</f>
        <v/>
      </c>
      <c r="AB153" s="376" t="str">
        <f t="shared" ref="AB153" si="416">IF(G153="","",G153-D153)</f>
        <v/>
      </c>
      <c r="AC153" s="377" t="str">
        <f t="shared" ref="AC153" si="417">IF(H153="","",H153-D153)</f>
        <v/>
      </c>
      <c r="AD153" s="378" t="str">
        <f t="shared" ref="AD153" si="418">IF(N153=0,"",((N153/AE153)*24)/24)</f>
        <v/>
      </c>
      <c r="AE153" s="412">
        <f t="shared" ref="AE153" si="419">IF(G153="",0,(G153-F153)-(AJ153-AI153)-(AG153-AF153))</f>
        <v>0</v>
      </c>
      <c r="AF153" s="411"/>
      <c r="AG153" s="411"/>
      <c r="AH153" s="411">
        <f t="shared" ref="AH153" si="420">AG153-AF153</f>
        <v>0</v>
      </c>
      <c r="AI153" s="411"/>
      <c r="AJ153" s="411"/>
      <c r="AK153" s="411">
        <f t="shared" ref="AK153" si="421">AJ153-AI153</f>
        <v>0</v>
      </c>
      <c r="AL153" s="396"/>
      <c r="AM153" s="396"/>
      <c r="AN153" s="396"/>
      <c r="AO153" s="400"/>
      <c r="AP153" s="400"/>
      <c r="AQ153" s="401"/>
      <c r="AS153" s="82">
        <f t="shared" si="359"/>
        <v>0</v>
      </c>
      <c r="AT153" s="311">
        <f t="shared" si="360"/>
        <v>0</v>
      </c>
      <c r="AU153" s="82"/>
      <c r="AV153" s="218">
        <f t="shared" si="414"/>
        <v>0</v>
      </c>
      <c r="AW153" s="218">
        <f t="shared" si="414"/>
        <v>0</v>
      </c>
      <c r="AX153" s="219">
        <f t="shared" si="361"/>
        <v>0</v>
      </c>
      <c r="AY153" s="219">
        <f t="shared" si="362"/>
        <v>0</v>
      </c>
      <c r="AZ153" s="136">
        <f t="shared" si="363"/>
        <v>0</v>
      </c>
    </row>
    <row r="154" spans="2:52" s="102" customFormat="1" ht="17.45" hidden="1" customHeight="1" outlineLevel="1">
      <c r="B154" s="402"/>
      <c r="C154" s="400"/>
      <c r="D154" s="403"/>
      <c r="E154" s="403"/>
      <c r="F154" s="403"/>
      <c r="G154" s="403"/>
      <c r="H154" s="403"/>
      <c r="I154" s="405"/>
      <c r="J154" s="406"/>
      <c r="K154" s="407"/>
      <c r="L154" s="408"/>
      <c r="M154" s="408"/>
      <c r="N154" s="394"/>
      <c r="O154" s="393"/>
      <c r="P154" s="393"/>
      <c r="Q154" s="407"/>
      <c r="R154" s="396"/>
      <c r="S154" s="396"/>
      <c r="T154" s="396"/>
      <c r="U154" s="396"/>
      <c r="V154" s="396"/>
      <c r="W154" s="407"/>
      <c r="X154" s="407"/>
      <c r="Y154" s="410"/>
      <c r="Z154" s="411"/>
      <c r="AA154" s="411"/>
      <c r="AB154" s="411"/>
      <c r="AC154" s="411"/>
      <c r="AD154" s="378"/>
      <c r="AE154" s="398"/>
      <c r="AF154" s="398"/>
      <c r="AG154" s="398"/>
      <c r="AH154" s="398"/>
      <c r="AI154" s="398"/>
      <c r="AJ154" s="398"/>
      <c r="AK154" s="398"/>
      <c r="AL154" s="396"/>
      <c r="AM154" s="396"/>
      <c r="AN154" s="396"/>
      <c r="AO154" s="400"/>
      <c r="AP154" s="400"/>
      <c r="AQ154" s="413"/>
      <c r="AS154" s="82">
        <f t="shared" si="359"/>
        <v>0</v>
      </c>
      <c r="AT154" s="311">
        <f t="shared" si="360"/>
        <v>0</v>
      </c>
      <c r="AU154" s="82"/>
      <c r="AV154" s="218">
        <f t="shared" si="414"/>
        <v>0</v>
      </c>
      <c r="AW154" s="218">
        <f t="shared" si="414"/>
        <v>0</v>
      </c>
      <c r="AX154" s="219">
        <f t="shared" si="361"/>
        <v>0</v>
      </c>
      <c r="AY154" s="219">
        <f t="shared" si="362"/>
        <v>0</v>
      </c>
      <c r="AZ154" s="136">
        <f t="shared" si="363"/>
        <v>0</v>
      </c>
    </row>
    <row r="155" spans="2:52" s="82" customFormat="1" ht="17.45" customHeight="1" collapsed="1" thickBot="1">
      <c r="B155" s="495"/>
      <c r="C155" s="480"/>
      <c r="D155" s="481"/>
      <c r="E155" s="481"/>
      <c r="F155" s="481"/>
      <c r="G155" s="481"/>
      <c r="H155" s="481"/>
      <c r="I155" s="493">
        <f>IFERROR(AVERAGE(I138:I154),0)</f>
        <v>0</v>
      </c>
      <c r="J155" s="493">
        <f>IFERROR(AVERAGE(J138:J154),0)</f>
        <v>0</v>
      </c>
      <c r="K155" s="485">
        <f>SUM(K138:K154)</f>
        <v>250000</v>
      </c>
      <c r="L155" s="484">
        <f>SUM(L138:L154)</f>
        <v>0</v>
      </c>
      <c r="M155" s="484">
        <f>SUM(M138:M154)</f>
        <v>0</v>
      </c>
      <c r="N155" s="483">
        <f>SUM(N138:N154)</f>
        <v>0</v>
      </c>
      <c r="O155" s="485"/>
      <c r="P155" s="485"/>
      <c r="Q155" s="485"/>
      <c r="R155" s="480"/>
      <c r="S155" s="480"/>
      <c r="T155" s="486"/>
      <c r="U155" s="487"/>
      <c r="V155" s="486"/>
      <c r="W155" s="488"/>
      <c r="X155" s="488"/>
      <c r="Y155" s="489"/>
      <c r="Z155" s="490"/>
      <c r="AA155" s="490"/>
      <c r="AB155" s="490"/>
      <c r="AC155" s="490"/>
      <c r="AD155" s="490"/>
      <c r="AE155" s="490"/>
      <c r="AF155" s="490"/>
      <c r="AG155" s="490"/>
      <c r="AH155" s="490"/>
      <c r="AI155" s="490"/>
      <c r="AJ155" s="490"/>
      <c r="AK155" s="490"/>
      <c r="AL155" s="491"/>
      <c r="AM155" s="491"/>
      <c r="AN155" s="491"/>
      <c r="AO155" s="487"/>
      <c r="AP155" s="487"/>
      <c r="AQ155" s="492"/>
      <c r="AS155" s="82">
        <f t="shared" si="359"/>
        <v>0</v>
      </c>
      <c r="AT155" s="311">
        <f t="shared" si="360"/>
        <v>250000</v>
      </c>
      <c r="AV155" s="218">
        <f t="shared" si="414"/>
        <v>0</v>
      </c>
      <c r="AW155" s="218">
        <f t="shared" si="414"/>
        <v>0</v>
      </c>
      <c r="AX155" s="219">
        <f t="shared" si="361"/>
        <v>0</v>
      </c>
      <c r="AY155" s="219">
        <f t="shared" si="362"/>
        <v>0</v>
      </c>
      <c r="AZ155" s="136">
        <f t="shared" si="363"/>
        <v>0</v>
      </c>
    </row>
    <row r="156" spans="2:52" ht="24.95" hidden="1" customHeight="1" outlineLevel="1" thickBot="1">
      <c r="B156" s="246" t="s">
        <v>250</v>
      </c>
      <c r="C156" s="117"/>
      <c r="D156" s="117"/>
      <c r="E156" s="117"/>
      <c r="F156" s="117"/>
      <c r="G156" s="117"/>
      <c r="H156" s="117"/>
      <c r="I156" s="117"/>
      <c r="J156" s="117"/>
      <c r="K156" s="117"/>
      <c r="L156" s="146"/>
      <c r="M156" s="146"/>
      <c r="N156" s="146"/>
      <c r="O156" s="117"/>
      <c r="P156" s="117"/>
      <c r="Q156" s="117"/>
      <c r="R156" s="117"/>
      <c r="S156" s="117"/>
      <c r="T156" s="475"/>
      <c r="U156" s="117"/>
      <c r="V156" s="117"/>
      <c r="W156" s="117"/>
      <c r="X156" s="117"/>
      <c r="Y156" s="208"/>
      <c r="Z156" s="117"/>
      <c r="AA156" s="117"/>
      <c r="AB156" s="117"/>
      <c r="AC156" s="117"/>
      <c r="AD156" s="117"/>
      <c r="AE156" s="117"/>
      <c r="AF156" s="117"/>
      <c r="AG156" s="117"/>
      <c r="AH156" s="117"/>
      <c r="AI156" s="117"/>
      <c r="AJ156" s="117"/>
      <c r="AK156" s="117"/>
      <c r="AL156" s="117"/>
      <c r="AM156" s="117"/>
      <c r="AN156" s="117"/>
      <c r="AO156" s="117"/>
      <c r="AP156" s="117"/>
      <c r="AQ156" s="118"/>
      <c r="AS156" s="82" t="str">
        <f t="shared" si="359"/>
        <v>2022년 10월 반입 예정 선박리스트</v>
      </c>
      <c r="AT156" s="311">
        <f t="shared" si="360"/>
        <v>0</v>
      </c>
      <c r="AU156" s="82"/>
      <c r="AV156" s="218">
        <f t="shared" si="414"/>
        <v>0</v>
      </c>
      <c r="AW156" s="218">
        <f t="shared" si="414"/>
        <v>0</v>
      </c>
      <c r="AX156" s="219">
        <f t="shared" si="361"/>
        <v>0</v>
      </c>
      <c r="AY156" s="219">
        <f t="shared" si="362"/>
        <v>0</v>
      </c>
      <c r="AZ156" s="136">
        <f t="shared" si="363"/>
        <v>0</v>
      </c>
    </row>
    <row r="157" spans="2:52" s="82" customFormat="1" ht="17.45" hidden="1" customHeight="1" outlineLevel="1">
      <c r="B157" s="389"/>
      <c r="C157" s="390"/>
      <c r="D157" s="391"/>
      <c r="E157" s="391"/>
      <c r="F157" s="391"/>
      <c r="G157" s="391"/>
      <c r="H157" s="391"/>
      <c r="I157" s="392"/>
      <c r="J157" s="392"/>
      <c r="K157" s="393"/>
      <c r="L157" s="394"/>
      <c r="M157" s="394"/>
      <c r="N157" s="394"/>
      <c r="O157" s="393"/>
      <c r="P157" s="393"/>
      <c r="Q157" s="393"/>
      <c r="R157" s="395"/>
      <c r="S157" s="395"/>
      <c r="T157" s="395"/>
      <c r="U157" s="396"/>
      <c r="V157" s="396"/>
      <c r="W157" s="393"/>
      <c r="X157" s="393"/>
      <c r="Y157" s="397"/>
      <c r="Z157" s="398"/>
      <c r="AA157" s="460"/>
      <c r="AB157" s="460"/>
      <c r="AC157" s="460"/>
      <c r="AD157" s="460"/>
      <c r="AE157" s="460"/>
      <c r="AF157" s="460"/>
      <c r="AG157" s="460"/>
      <c r="AH157" s="460"/>
      <c r="AI157" s="460"/>
      <c r="AJ157" s="460"/>
      <c r="AK157" s="460"/>
      <c r="AL157" s="399"/>
      <c r="AM157" s="396"/>
      <c r="AN157" s="396"/>
      <c r="AO157" s="400"/>
      <c r="AP157" s="476"/>
      <c r="AQ157" s="401"/>
      <c r="AS157" s="82">
        <f t="shared" si="359"/>
        <v>0</v>
      </c>
      <c r="AT157" s="311">
        <f t="shared" si="360"/>
        <v>0</v>
      </c>
      <c r="AV157" s="218">
        <f t="shared" si="414"/>
        <v>0</v>
      </c>
      <c r="AW157" s="218">
        <f t="shared" si="414"/>
        <v>0</v>
      </c>
      <c r="AX157" s="219">
        <f t="shared" si="361"/>
        <v>0</v>
      </c>
      <c r="AY157" s="219">
        <f t="shared" si="362"/>
        <v>0</v>
      </c>
      <c r="AZ157" s="136">
        <f t="shared" si="363"/>
        <v>0</v>
      </c>
    </row>
    <row r="158" spans="2:52" s="102" customFormat="1" ht="17.45" hidden="1" customHeight="1" outlineLevel="1">
      <c r="B158" s="402"/>
      <c r="C158" s="400"/>
      <c r="D158" s="403"/>
      <c r="E158" s="403"/>
      <c r="F158" s="403"/>
      <c r="G158" s="403"/>
      <c r="H158" s="403"/>
      <c r="I158" s="405"/>
      <c r="J158" s="406"/>
      <c r="K158" s="407"/>
      <c r="L158" s="408"/>
      <c r="M158" s="408"/>
      <c r="N158" s="408"/>
      <c r="O158" s="409"/>
      <c r="P158" s="409"/>
      <c r="Q158" s="407"/>
      <c r="R158" s="396"/>
      <c r="S158" s="396"/>
      <c r="T158" s="396"/>
      <c r="U158" s="414"/>
      <c r="V158" s="396"/>
      <c r="W158" s="407"/>
      <c r="X158" s="407"/>
      <c r="Y158" s="410"/>
      <c r="Z158" s="411"/>
      <c r="AA158" s="376" t="str">
        <f t="shared" ref="AA158" si="422">IF(E158="","",E158-D158+AH158+AK158)</f>
        <v/>
      </c>
      <c r="AB158" s="376" t="str">
        <f t="shared" ref="AB158" si="423">IF(G158="","",G158-D158)</f>
        <v/>
      </c>
      <c r="AC158" s="377" t="str">
        <f t="shared" ref="AC158" si="424">IF(H158="","",H158-D158)</f>
        <v/>
      </c>
      <c r="AD158" s="378" t="str">
        <f t="shared" ref="AD158" si="425">IF(N158=0,"",((N158/AE158)*24)/24)</f>
        <v/>
      </c>
      <c r="AE158" s="412">
        <f t="shared" ref="AE158" si="426">IF(G158="",0,(G158-F158)-(AJ158-AI158)-(AG158-AF158))</f>
        <v>0</v>
      </c>
      <c r="AF158" s="411"/>
      <c r="AG158" s="411"/>
      <c r="AH158" s="411">
        <f t="shared" ref="AH158" si="427">AG158-AF158</f>
        <v>0</v>
      </c>
      <c r="AI158" s="411"/>
      <c r="AJ158" s="411"/>
      <c r="AK158" s="411">
        <f t="shared" ref="AK158" si="428">AJ158-AI158</f>
        <v>0</v>
      </c>
      <c r="AL158" s="396"/>
      <c r="AM158" s="396"/>
      <c r="AN158" s="414"/>
      <c r="AO158" s="400"/>
      <c r="AP158" s="400"/>
      <c r="AQ158" s="413"/>
      <c r="AS158" s="82">
        <f t="shared" si="359"/>
        <v>0</v>
      </c>
      <c r="AT158" s="311">
        <f t="shared" si="360"/>
        <v>0</v>
      </c>
      <c r="AU158" s="82"/>
      <c r="AV158" s="218">
        <f t="shared" si="414"/>
        <v>0</v>
      </c>
      <c r="AW158" s="218">
        <f t="shared" si="414"/>
        <v>0</v>
      </c>
      <c r="AX158" s="219">
        <f t="shared" si="361"/>
        <v>0</v>
      </c>
      <c r="AY158" s="219">
        <f t="shared" si="362"/>
        <v>0</v>
      </c>
      <c r="AZ158" s="136">
        <f t="shared" si="363"/>
        <v>0</v>
      </c>
    </row>
    <row r="159" spans="2:52" s="102" customFormat="1" ht="17.45" hidden="1" customHeight="1" outlineLevel="1">
      <c r="B159" s="402"/>
      <c r="C159" s="400"/>
      <c r="D159" s="403"/>
      <c r="E159" s="403"/>
      <c r="F159" s="403"/>
      <c r="G159" s="403"/>
      <c r="H159" s="403"/>
      <c r="I159" s="405"/>
      <c r="J159" s="406"/>
      <c r="K159" s="407"/>
      <c r="L159" s="408"/>
      <c r="M159" s="408"/>
      <c r="N159" s="394"/>
      <c r="O159" s="393"/>
      <c r="P159" s="393"/>
      <c r="Q159" s="407"/>
      <c r="R159" s="396"/>
      <c r="S159" s="396"/>
      <c r="T159" s="396"/>
      <c r="U159" s="396"/>
      <c r="V159" s="396"/>
      <c r="W159" s="407"/>
      <c r="X159" s="407"/>
      <c r="Y159" s="410"/>
      <c r="Z159" s="411"/>
      <c r="AA159" s="411"/>
      <c r="AB159" s="411"/>
      <c r="AC159" s="411"/>
      <c r="AD159" s="378"/>
      <c r="AE159" s="398"/>
      <c r="AF159" s="398"/>
      <c r="AG159" s="398"/>
      <c r="AH159" s="398"/>
      <c r="AI159" s="398"/>
      <c r="AJ159" s="398"/>
      <c r="AK159" s="398"/>
      <c r="AL159" s="396"/>
      <c r="AM159" s="396"/>
      <c r="AN159" s="396"/>
      <c r="AO159" s="400"/>
      <c r="AP159" s="400"/>
      <c r="AQ159" s="413"/>
      <c r="AS159" s="82">
        <f t="shared" si="359"/>
        <v>0</v>
      </c>
      <c r="AT159" s="311">
        <f t="shared" si="360"/>
        <v>0</v>
      </c>
      <c r="AU159" s="82"/>
      <c r="AV159" s="218">
        <f t="shared" si="414"/>
        <v>0</v>
      </c>
      <c r="AW159" s="218">
        <f t="shared" si="414"/>
        <v>0</v>
      </c>
      <c r="AX159" s="219">
        <f t="shared" si="361"/>
        <v>0</v>
      </c>
      <c r="AY159" s="219">
        <f t="shared" si="362"/>
        <v>0</v>
      </c>
      <c r="AZ159" s="136">
        <f t="shared" si="363"/>
        <v>0</v>
      </c>
    </row>
    <row r="160" spans="2:52" s="102" customFormat="1" ht="17.45" hidden="1" customHeight="1" outlineLevel="1">
      <c r="B160" s="402"/>
      <c r="C160" s="400"/>
      <c r="D160" s="403"/>
      <c r="E160" s="403"/>
      <c r="F160" s="403"/>
      <c r="G160" s="403"/>
      <c r="H160" s="403"/>
      <c r="I160" s="405"/>
      <c r="J160" s="406"/>
      <c r="K160" s="407"/>
      <c r="L160" s="408"/>
      <c r="M160" s="408"/>
      <c r="N160" s="408"/>
      <c r="O160" s="409"/>
      <c r="P160" s="409"/>
      <c r="Q160" s="407"/>
      <c r="R160" s="396"/>
      <c r="S160" s="396"/>
      <c r="T160" s="396"/>
      <c r="U160" s="414"/>
      <c r="V160" s="396"/>
      <c r="W160" s="415"/>
      <c r="X160" s="415"/>
      <c r="Y160" s="416"/>
      <c r="Z160" s="417"/>
      <c r="AA160" s="376" t="str">
        <f t="shared" ref="AA160" si="429">IF(E160="","",E160-D160+AH160+AK160)</f>
        <v/>
      </c>
      <c r="AB160" s="376" t="str">
        <f t="shared" ref="AB160" si="430">IF(G160="","",G160-D160)</f>
        <v/>
      </c>
      <c r="AC160" s="377" t="str">
        <f t="shared" ref="AC160" si="431">IF(H160="","",H160-D160)</f>
        <v/>
      </c>
      <c r="AD160" s="378" t="str">
        <f t="shared" ref="AD160" si="432">IF(N160=0,"",((N160/AE160)*24)/24)</f>
        <v/>
      </c>
      <c r="AE160" s="412">
        <f t="shared" ref="AE160" si="433">IF(G160="",0,(G160-F160)-(AJ160-AI160)-(AG160-AF160))</f>
        <v>0</v>
      </c>
      <c r="AF160" s="411"/>
      <c r="AG160" s="411"/>
      <c r="AH160" s="411">
        <f t="shared" ref="AH160" si="434">AG160-AF160</f>
        <v>0</v>
      </c>
      <c r="AI160" s="411"/>
      <c r="AJ160" s="411"/>
      <c r="AK160" s="411">
        <f t="shared" ref="AK160" si="435">AJ160-AI160</f>
        <v>0</v>
      </c>
      <c r="AL160" s="396"/>
      <c r="AM160" s="414"/>
      <c r="AN160" s="414"/>
      <c r="AO160" s="400"/>
      <c r="AP160" s="400"/>
      <c r="AQ160" s="401"/>
      <c r="AS160" s="82">
        <f t="shared" si="359"/>
        <v>0</v>
      </c>
      <c r="AT160" s="311">
        <f t="shared" si="360"/>
        <v>0</v>
      </c>
      <c r="AU160" s="82"/>
      <c r="AV160" s="218">
        <f t="shared" si="414"/>
        <v>0</v>
      </c>
      <c r="AW160" s="218">
        <f t="shared" si="414"/>
        <v>0</v>
      </c>
      <c r="AX160" s="219">
        <f t="shared" si="361"/>
        <v>0</v>
      </c>
      <c r="AY160" s="219">
        <f t="shared" si="362"/>
        <v>0</v>
      </c>
      <c r="AZ160" s="136">
        <f t="shared" si="363"/>
        <v>0</v>
      </c>
    </row>
    <row r="161" spans="2:52" s="102" customFormat="1" ht="17.45" hidden="1" customHeight="1" outlineLevel="1">
      <c r="B161" s="402"/>
      <c r="C161" s="400"/>
      <c r="D161" s="403"/>
      <c r="E161" s="403"/>
      <c r="F161" s="403"/>
      <c r="G161" s="403"/>
      <c r="H161" s="403"/>
      <c r="I161" s="405"/>
      <c r="J161" s="406"/>
      <c r="K161" s="407"/>
      <c r="L161" s="408"/>
      <c r="M161" s="408"/>
      <c r="N161" s="394"/>
      <c r="O161" s="393"/>
      <c r="P161" s="393"/>
      <c r="Q161" s="407"/>
      <c r="R161" s="396"/>
      <c r="S161" s="396"/>
      <c r="T161" s="396"/>
      <c r="U161" s="396"/>
      <c r="V161" s="396"/>
      <c r="W161" s="407"/>
      <c r="X161" s="407"/>
      <c r="Y161" s="410"/>
      <c r="Z161" s="411"/>
      <c r="AA161" s="411"/>
      <c r="AB161" s="411"/>
      <c r="AC161" s="411"/>
      <c r="AD161" s="378"/>
      <c r="AE161" s="398"/>
      <c r="AF161" s="398"/>
      <c r="AG161" s="398"/>
      <c r="AH161" s="398"/>
      <c r="AI161" s="398"/>
      <c r="AJ161" s="398"/>
      <c r="AK161" s="398"/>
      <c r="AL161" s="396"/>
      <c r="AM161" s="396"/>
      <c r="AN161" s="396"/>
      <c r="AO161" s="400"/>
      <c r="AP161" s="400"/>
      <c r="AQ161" s="413"/>
      <c r="AS161" s="82">
        <f t="shared" si="359"/>
        <v>0</v>
      </c>
      <c r="AT161" s="311">
        <f t="shared" si="360"/>
        <v>0</v>
      </c>
      <c r="AU161" s="82"/>
      <c r="AV161" s="218">
        <f t="shared" si="414"/>
        <v>0</v>
      </c>
      <c r="AW161" s="218">
        <f t="shared" si="414"/>
        <v>0</v>
      </c>
      <c r="AX161" s="219">
        <f t="shared" si="361"/>
        <v>0</v>
      </c>
      <c r="AY161" s="219">
        <f t="shared" si="362"/>
        <v>0</v>
      </c>
      <c r="AZ161" s="136">
        <f t="shared" si="363"/>
        <v>0</v>
      </c>
    </row>
    <row r="162" spans="2:52" s="102" customFormat="1" ht="17.45" hidden="1" customHeight="1" outlineLevel="1">
      <c r="B162" s="402"/>
      <c r="C162" s="400"/>
      <c r="D162" s="403"/>
      <c r="E162" s="403"/>
      <c r="F162" s="403"/>
      <c r="G162" s="403"/>
      <c r="H162" s="403"/>
      <c r="I162" s="405"/>
      <c r="J162" s="406"/>
      <c r="K162" s="407"/>
      <c r="L162" s="408"/>
      <c r="M162" s="408"/>
      <c r="N162" s="408"/>
      <c r="O162" s="409"/>
      <c r="P162" s="409"/>
      <c r="Q162" s="407"/>
      <c r="R162" s="396"/>
      <c r="S162" s="396"/>
      <c r="T162" s="478"/>
      <c r="U162" s="414"/>
      <c r="V162" s="396"/>
      <c r="W162" s="407"/>
      <c r="X162" s="407"/>
      <c r="Y162" s="410"/>
      <c r="Z162" s="411"/>
      <c r="AA162" s="376" t="str">
        <f t="shared" ref="AA162" si="436">IF(E162="","",E162-D162+AH162+AK162)</f>
        <v/>
      </c>
      <c r="AB162" s="376" t="str">
        <f t="shared" ref="AB162" si="437">IF(G162="","",G162-D162)</f>
        <v/>
      </c>
      <c r="AC162" s="377" t="str">
        <f t="shared" ref="AC162" si="438">IF(H162="","",H162-D162)</f>
        <v/>
      </c>
      <c r="AD162" s="378" t="str">
        <f t="shared" ref="AD162" si="439">IF(N162=0,"",((N162/AE162)*24)/24)</f>
        <v/>
      </c>
      <c r="AE162" s="412">
        <f t="shared" ref="AE162" si="440">IF(G162="",0,(G162-F162)-(AJ162-AI162)-(AG162-AF162))</f>
        <v>0</v>
      </c>
      <c r="AF162" s="411"/>
      <c r="AG162" s="411"/>
      <c r="AH162" s="411">
        <f t="shared" ref="AH162" si="441">AG162-AF162</f>
        <v>0</v>
      </c>
      <c r="AI162" s="411"/>
      <c r="AJ162" s="411"/>
      <c r="AK162" s="411">
        <f t="shared" ref="AK162" si="442">AJ162-AI162</f>
        <v>0</v>
      </c>
      <c r="AL162" s="396"/>
      <c r="AM162" s="396"/>
      <c r="AN162" s="396"/>
      <c r="AO162" s="400"/>
      <c r="AP162" s="400"/>
      <c r="AQ162" s="401"/>
      <c r="AS162" s="82">
        <f t="shared" si="359"/>
        <v>0</v>
      </c>
      <c r="AT162" s="311">
        <f t="shared" si="360"/>
        <v>0</v>
      </c>
      <c r="AU162" s="82"/>
      <c r="AV162" s="218">
        <f t="shared" si="414"/>
        <v>0</v>
      </c>
      <c r="AW162" s="218">
        <f t="shared" si="414"/>
        <v>0</v>
      </c>
      <c r="AX162" s="219">
        <f t="shared" si="361"/>
        <v>0</v>
      </c>
      <c r="AY162" s="219">
        <f t="shared" si="362"/>
        <v>0</v>
      </c>
      <c r="AZ162" s="136">
        <f t="shared" si="363"/>
        <v>0</v>
      </c>
    </row>
    <row r="163" spans="2:52" s="102" customFormat="1" ht="17.45" hidden="1" customHeight="1" outlineLevel="1">
      <c r="B163" s="402"/>
      <c r="C163" s="400"/>
      <c r="D163" s="403"/>
      <c r="E163" s="403"/>
      <c r="F163" s="403"/>
      <c r="G163" s="403"/>
      <c r="H163" s="403"/>
      <c r="I163" s="405"/>
      <c r="J163" s="406"/>
      <c r="K163" s="407"/>
      <c r="L163" s="408"/>
      <c r="M163" s="408"/>
      <c r="N163" s="394"/>
      <c r="O163" s="393"/>
      <c r="P163" s="393"/>
      <c r="Q163" s="407"/>
      <c r="R163" s="396"/>
      <c r="S163" s="396"/>
      <c r="T163" s="396"/>
      <c r="U163" s="396"/>
      <c r="V163" s="396"/>
      <c r="W163" s="407"/>
      <c r="X163" s="407"/>
      <c r="Y163" s="410"/>
      <c r="Z163" s="411"/>
      <c r="AA163" s="411"/>
      <c r="AB163" s="411"/>
      <c r="AC163" s="411"/>
      <c r="AD163" s="378"/>
      <c r="AE163" s="398"/>
      <c r="AF163" s="398"/>
      <c r="AG163" s="398"/>
      <c r="AH163" s="398"/>
      <c r="AI163" s="398"/>
      <c r="AJ163" s="398"/>
      <c r="AK163" s="398"/>
      <c r="AL163" s="396"/>
      <c r="AM163" s="396"/>
      <c r="AN163" s="396"/>
      <c r="AO163" s="400"/>
      <c r="AP163" s="400"/>
      <c r="AQ163" s="413"/>
      <c r="AS163" s="82">
        <f t="shared" si="359"/>
        <v>0</v>
      </c>
      <c r="AT163" s="311">
        <f t="shared" si="360"/>
        <v>0</v>
      </c>
      <c r="AU163" s="82"/>
      <c r="AV163" s="218">
        <f t="shared" si="414"/>
        <v>0</v>
      </c>
      <c r="AW163" s="218">
        <f t="shared" si="414"/>
        <v>0</v>
      </c>
      <c r="AX163" s="219">
        <f t="shared" si="361"/>
        <v>0</v>
      </c>
      <c r="AY163" s="219">
        <f t="shared" si="362"/>
        <v>0</v>
      </c>
      <c r="AZ163" s="136">
        <f t="shared" si="363"/>
        <v>0</v>
      </c>
    </row>
    <row r="164" spans="2:52" s="82" customFormat="1" ht="17.45" hidden="1" customHeight="1" outlineLevel="1">
      <c r="B164" s="402"/>
      <c r="C164" s="400"/>
      <c r="D164" s="403"/>
      <c r="E164" s="404"/>
      <c r="F164" s="404"/>
      <c r="G164" s="403"/>
      <c r="H164" s="404"/>
      <c r="I164" s="405"/>
      <c r="J164" s="406"/>
      <c r="K164" s="407"/>
      <c r="L164" s="407"/>
      <c r="M164" s="407"/>
      <c r="N164" s="408"/>
      <c r="O164" s="409"/>
      <c r="P164" s="409"/>
      <c r="Q164" s="407"/>
      <c r="R164" s="396"/>
      <c r="S164" s="396"/>
      <c r="T164" s="396"/>
      <c r="U164" s="396"/>
      <c r="V164" s="396"/>
      <c r="W164" s="415"/>
      <c r="X164" s="415"/>
      <c r="Y164" s="416"/>
      <c r="Z164" s="417"/>
      <c r="AA164" s="376" t="str">
        <f t="shared" ref="AA164" si="443">IF(E164="","",E164-D164+AH164+AK164)</f>
        <v/>
      </c>
      <c r="AB164" s="376" t="str">
        <f t="shared" ref="AB164" si="444">IF(G164="","",G164-D164)</f>
        <v/>
      </c>
      <c r="AC164" s="377" t="str">
        <f t="shared" ref="AC164" si="445">IF(H164="","",H164-D164)</f>
        <v/>
      </c>
      <c r="AD164" s="378" t="str">
        <f t="shared" ref="AD164" si="446">IF(N164=0,"",((N164/AE164)*24)/24)</f>
        <v/>
      </c>
      <c r="AE164" s="412">
        <f t="shared" ref="AE164" si="447">IF(G164="",0,(G164-F164)-(AJ164-AI164)-(AG164-AF164))</f>
        <v>0</v>
      </c>
      <c r="AF164" s="411"/>
      <c r="AG164" s="411"/>
      <c r="AH164" s="411">
        <f t="shared" ref="AH164" si="448">AG164-AF164</f>
        <v>0</v>
      </c>
      <c r="AI164" s="411"/>
      <c r="AJ164" s="411"/>
      <c r="AK164" s="411">
        <f t="shared" ref="AK164" si="449">AJ164-AI164</f>
        <v>0</v>
      </c>
      <c r="AL164" s="396"/>
      <c r="AM164" s="421"/>
      <c r="AN164" s="421"/>
      <c r="AO164" s="414"/>
      <c r="AP164" s="414"/>
      <c r="AQ164" s="413"/>
      <c r="AS164" s="82">
        <f t="shared" si="359"/>
        <v>0</v>
      </c>
      <c r="AT164" s="311">
        <f t="shared" si="360"/>
        <v>0</v>
      </c>
      <c r="AV164" s="218">
        <f t="shared" si="414"/>
        <v>0</v>
      </c>
      <c r="AW164" s="218">
        <f t="shared" si="414"/>
        <v>0</v>
      </c>
      <c r="AX164" s="219">
        <f t="shared" si="361"/>
        <v>0</v>
      </c>
      <c r="AY164" s="219">
        <f t="shared" si="362"/>
        <v>0</v>
      </c>
      <c r="AZ164" s="136">
        <f t="shared" si="363"/>
        <v>0</v>
      </c>
    </row>
    <row r="165" spans="2:52" s="82" customFormat="1" ht="17.45" hidden="1" customHeight="1" outlineLevel="1">
      <c r="B165" s="402"/>
      <c r="C165" s="400"/>
      <c r="D165" s="403"/>
      <c r="E165" s="404"/>
      <c r="F165" s="404"/>
      <c r="G165" s="404"/>
      <c r="H165" s="404"/>
      <c r="I165" s="405"/>
      <c r="J165" s="406"/>
      <c r="K165" s="407"/>
      <c r="L165" s="408"/>
      <c r="M165" s="408"/>
      <c r="N165" s="408"/>
      <c r="O165" s="409"/>
      <c r="P165" s="409"/>
      <c r="Q165" s="407"/>
      <c r="R165" s="396"/>
      <c r="S165" s="396"/>
      <c r="T165" s="396"/>
      <c r="U165" s="396"/>
      <c r="V165" s="396"/>
      <c r="W165" s="415"/>
      <c r="X165" s="415"/>
      <c r="Y165" s="416"/>
      <c r="Z165" s="417"/>
      <c r="AA165" s="411"/>
      <c r="AB165" s="411"/>
      <c r="AC165" s="411"/>
      <c r="AD165" s="378"/>
      <c r="AE165" s="398"/>
      <c r="AF165" s="398"/>
      <c r="AG165" s="398"/>
      <c r="AH165" s="398"/>
      <c r="AI165" s="398"/>
      <c r="AJ165" s="398"/>
      <c r="AK165" s="398"/>
      <c r="AL165" s="396"/>
      <c r="AM165" s="421"/>
      <c r="AN165" s="421"/>
      <c r="AO165" s="414"/>
      <c r="AP165" s="414"/>
      <c r="AQ165" s="413"/>
      <c r="AS165" s="82">
        <f t="shared" si="359"/>
        <v>0</v>
      </c>
      <c r="AT165" s="311">
        <f t="shared" si="360"/>
        <v>0</v>
      </c>
      <c r="AV165" s="218">
        <f t="shared" si="414"/>
        <v>0</v>
      </c>
      <c r="AW165" s="218">
        <f t="shared" si="414"/>
        <v>0</v>
      </c>
      <c r="AX165" s="219">
        <f t="shared" si="361"/>
        <v>0</v>
      </c>
      <c r="AY165" s="219">
        <f t="shared" si="362"/>
        <v>0</v>
      </c>
      <c r="AZ165" s="136">
        <f t="shared" si="363"/>
        <v>0</v>
      </c>
    </row>
    <row r="166" spans="2:52" s="102" customFormat="1" ht="17.45" hidden="1" customHeight="1" outlineLevel="1">
      <c r="B166" s="402"/>
      <c r="C166" s="400"/>
      <c r="D166" s="403"/>
      <c r="E166" s="403"/>
      <c r="F166" s="403"/>
      <c r="G166" s="403"/>
      <c r="H166" s="403"/>
      <c r="I166" s="405"/>
      <c r="J166" s="406"/>
      <c r="K166" s="407"/>
      <c r="L166" s="408"/>
      <c r="M166" s="408"/>
      <c r="N166" s="408"/>
      <c r="O166" s="409"/>
      <c r="P166" s="409"/>
      <c r="Q166" s="407"/>
      <c r="R166" s="396"/>
      <c r="S166" s="396"/>
      <c r="T166" s="396"/>
      <c r="U166" s="414"/>
      <c r="V166" s="396"/>
      <c r="W166" s="407"/>
      <c r="X166" s="407"/>
      <c r="Y166" s="410"/>
      <c r="Z166" s="411"/>
      <c r="AA166" s="376" t="str">
        <f t="shared" ref="AA166" si="450">IF(E166="","",E166-D166+AH166+AK166)</f>
        <v/>
      </c>
      <c r="AB166" s="376" t="str">
        <f t="shared" ref="AB166" si="451">IF(G166="","",G166-D166)</f>
        <v/>
      </c>
      <c r="AC166" s="377" t="str">
        <f t="shared" ref="AC166" si="452">IF(H166="","",H166-D166)</f>
        <v/>
      </c>
      <c r="AD166" s="378" t="str">
        <f t="shared" ref="AD166" si="453">IF(N166=0,"",((N166/AE166)*24)/24)</f>
        <v/>
      </c>
      <c r="AE166" s="412">
        <f t="shared" ref="AE166" si="454">IF(G166="",0,(G166-F166)-(AJ166-AI166)-(AG166-AF166))</f>
        <v>0</v>
      </c>
      <c r="AF166" s="411"/>
      <c r="AG166" s="411"/>
      <c r="AH166" s="411">
        <f t="shared" ref="AH166" si="455">AG166-AF166</f>
        <v>0</v>
      </c>
      <c r="AI166" s="411"/>
      <c r="AJ166" s="411"/>
      <c r="AK166" s="411">
        <f t="shared" ref="AK166" si="456">AJ166-AI166</f>
        <v>0</v>
      </c>
      <c r="AL166" s="396"/>
      <c r="AM166" s="396"/>
      <c r="AN166" s="414"/>
      <c r="AO166" s="400"/>
      <c r="AP166" s="400"/>
      <c r="AQ166" s="401"/>
      <c r="AS166" s="82">
        <f t="shared" si="359"/>
        <v>0</v>
      </c>
      <c r="AT166" s="311">
        <f t="shared" si="360"/>
        <v>0</v>
      </c>
      <c r="AU166" s="82"/>
      <c r="AV166" s="218">
        <f t="shared" si="414"/>
        <v>0</v>
      </c>
      <c r="AW166" s="218">
        <f t="shared" si="414"/>
        <v>0</v>
      </c>
      <c r="AX166" s="219">
        <f t="shared" si="361"/>
        <v>0</v>
      </c>
      <c r="AY166" s="219">
        <f t="shared" si="362"/>
        <v>0</v>
      </c>
      <c r="AZ166" s="136">
        <f t="shared" si="363"/>
        <v>0</v>
      </c>
    </row>
    <row r="167" spans="2:52" s="102" customFormat="1" ht="17.45" hidden="1" customHeight="1" outlineLevel="1">
      <c r="B167" s="402"/>
      <c r="C167" s="400"/>
      <c r="D167" s="403"/>
      <c r="E167" s="403"/>
      <c r="F167" s="403"/>
      <c r="G167" s="403"/>
      <c r="H167" s="403"/>
      <c r="I167" s="405"/>
      <c r="J167" s="406"/>
      <c r="K167" s="407"/>
      <c r="L167" s="408"/>
      <c r="M167" s="408"/>
      <c r="N167" s="394"/>
      <c r="O167" s="393"/>
      <c r="P167" s="393"/>
      <c r="Q167" s="407"/>
      <c r="R167" s="396"/>
      <c r="S167" s="396"/>
      <c r="T167" s="396"/>
      <c r="U167" s="396"/>
      <c r="V167" s="396"/>
      <c r="W167" s="407"/>
      <c r="X167" s="407"/>
      <c r="Y167" s="410"/>
      <c r="Z167" s="411"/>
      <c r="AA167" s="411"/>
      <c r="AB167" s="411"/>
      <c r="AC167" s="411"/>
      <c r="AD167" s="378"/>
      <c r="AE167" s="398"/>
      <c r="AF167" s="398"/>
      <c r="AG167" s="398"/>
      <c r="AH167" s="398"/>
      <c r="AI167" s="398"/>
      <c r="AJ167" s="398"/>
      <c r="AK167" s="398"/>
      <c r="AL167" s="396"/>
      <c r="AM167" s="396"/>
      <c r="AN167" s="396"/>
      <c r="AO167" s="400"/>
      <c r="AP167" s="400"/>
      <c r="AQ167" s="413"/>
      <c r="AS167" s="82">
        <f t="shared" si="359"/>
        <v>0</v>
      </c>
      <c r="AT167" s="311">
        <f t="shared" si="360"/>
        <v>0</v>
      </c>
      <c r="AU167" s="82"/>
      <c r="AV167" s="218">
        <f t="shared" ref="AV167:AW186" si="457">IF(L167=0,0,1)</f>
        <v>0</v>
      </c>
      <c r="AW167" s="218">
        <f t="shared" si="457"/>
        <v>0</v>
      </c>
      <c r="AX167" s="219">
        <f t="shared" si="361"/>
        <v>0</v>
      </c>
      <c r="AY167" s="219">
        <f t="shared" si="362"/>
        <v>0</v>
      </c>
      <c r="AZ167" s="136">
        <f t="shared" si="363"/>
        <v>0</v>
      </c>
    </row>
    <row r="168" spans="2:52" s="102" customFormat="1" ht="17.45" hidden="1" customHeight="1" outlineLevel="1" collapsed="1">
      <c r="B168" s="402"/>
      <c r="C168" s="400"/>
      <c r="D168" s="403"/>
      <c r="E168" s="403"/>
      <c r="F168" s="403"/>
      <c r="G168" s="403"/>
      <c r="H168" s="403"/>
      <c r="I168" s="405"/>
      <c r="J168" s="406"/>
      <c r="K168" s="407"/>
      <c r="L168" s="407"/>
      <c r="M168" s="408"/>
      <c r="N168" s="408"/>
      <c r="O168" s="409"/>
      <c r="P168" s="409"/>
      <c r="Q168" s="407"/>
      <c r="R168" s="473"/>
      <c r="S168" s="396"/>
      <c r="T168" s="396"/>
      <c r="U168" s="396"/>
      <c r="V168" s="396"/>
      <c r="W168" s="407"/>
      <c r="X168" s="407"/>
      <c r="Y168" s="410"/>
      <c r="Z168" s="411"/>
      <c r="AA168" s="376" t="str">
        <f t="shared" ref="AA168" si="458">IF(E168="","",E168-D168+AH168+AK168)</f>
        <v/>
      </c>
      <c r="AB168" s="376" t="str">
        <f t="shared" ref="AB168" si="459">IF(G168="","",G168-D168)</f>
        <v/>
      </c>
      <c r="AC168" s="377" t="str">
        <f t="shared" ref="AC168" si="460">IF(H168="","",H168-D168)</f>
        <v/>
      </c>
      <c r="AD168" s="378" t="str">
        <f t="shared" ref="AD168" si="461">IF(N168=0,"",((N168/AE168)*24)/24)</f>
        <v/>
      </c>
      <c r="AE168" s="412">
        <f t="shared" ref="AE168" si="462">IF(G168="",0,(G168-F168)-(AJ168-AI168)-(AG168-AF168))</f>
        <v>0</v>
      </c>
      <c r="AF168" s="411"/>
      <c r="AG168" s="411"/>
      <c r="AH168" s="411">
        <f t="shared" ref="AH168" si="463">AG168-AF168</f>
        <v>0</v>
      </c>
      <c r="AI168" s="411"/>
      <c r="AJ168" s="411"/>
      <c r="AK168" s="411">
        <f t="shared" ref="AK168" si="464">AJ168-AI168</f>
        <v>0</v>
      </c>
      <c r="AL168" s="396"/>
      <c r="AM168" s="396"/>
      <c r="AN168" s="396"/>
      <c r="AO168" s="400"/>
      <c r="AP168" s="400"/>
      <c r="AQ168" s="401"/>
      <c r="AS168" s="82">
        <f t="shared" si="359"/>
        <v>0</v>
      </c>
      <c r="AT168" s="311">
        <f t="shared" si="360"/>
        <v>0</v>
      </c>
      <c r="AU168" s="82"/>
      <c r="AV168" s="218">
        <f t="shared" si="457"/>
        <v>0</v>
      </c>
      <c r="AW168" s="218">
        <f t="shared" si="457"/>
        <v>0</v>
      </c>
      <c r="AX168" s="219">
        <f t="shared" si="361"/>
        <v>0</v>
      </c>
      <c r="AY168" s="219">
        <f t="shared" si="362"/>
        <v>0</v>
      </c>
      <c r="AZ168" s="136">
        <f t="shared" si="363"/>
        <v>0</v>
      </c>
    </row>
    <row r="169" spans="2:52" s="102" customFormat="1" ht="17.45" hidden="1" customHeight="1" outlineLevel="1">
      <c r="B169" s="402"/>
      <c r="C169" s="400"/>
      <c r="D169" s="403"/>
      <c r="E169" s="403"/>
      <c r="F169" s="403"/>
      <c r="G169" s="403"/>
      <c r="H169" s="403"/>
      <c r="I169" s="405"/>
      <c r="J169" s="406"/>
      <c r="K169" s="407"/>
      <c r="L169" s="408"/>
      <c r="M169" s="408"/>
      <c r="N169" s="394"/>
      <c r="O169" s="393"/>
      <c r="P169" s="393"/>
      <c r="Q169" s="407"/>
      <c r="R169" s="396"/>
      <c r="S169" s="396"/>
      <c r="T169" s="396"/>
      <c r="U169" s="396"/>
      <c r="V169" s="396"/>
      <c r="W169" s="407"/>
      <c r="X169" s="407"/>
      <c r="Y169" s="410"/>
      <c r="Z169" s="411"/>
      <c r="AA169" s="411"/>
      <c r="AB169" s="411"/>
      <c r="AC169" s="411"/>
      <c r="AD169" s="378"/>
      <c r="AE169" s="398"/>
      <c r="AF169" s="398"/>
      <c r="AG169" s="398"/>
      <c r="AH169" s="398"/>
      <c r="AI169" s="398"/>
      <c r="AJ169" s="398"/>
      <c r="AK169" s="398"/>
      <c r="AL169" s="396"/>
      <c r="AM169" s="396"/>
      <c r="AN169" s="396"/>
      <c r="AO169" s="400"/>
      <c r="AP169" s="400"/>
      <c r="AQ169" s="413"/>
      <c r="AS169" s="82">
        <f t="shared" si="359"/>
        <v>0</v>
      </c>
      <c r="AT169" s="311">
        <f t="shared" si="360"/>
        <v>0</v>
      </c>
      <c r="AU169" s="82"/>
      <c r="AV169" s="218">
        <f t="shared" si="457"/>
        <v>0</v>
      </c>
      <c r="AW169" s="218">
        <f t="shared" si="457"/>
        <v>0</v>
      </c>
      <c r="AX169" s="219">
        <f t="shared" si="361"/>
        <v>0</v>
      </c>
      <c r="AY169" s="219">
        <f t="shared" si="362"/>
        <v>0</v>
      </c>
      <c r="AZ169" s="136">
        <f t="shared" si="363"/>
        <v>0</v>
      </c>
    </row>
    <row r="170" spans="2:52" s="102" customFormat="1" ht="17.45" hidden="1" customHeight="1" outlineLevel="1">
      <c r="B170" s="402"/>
      <c r="C170" s="400"/>
      <c r="D170" s="403"/>
      <c r="E170" s="403"/>
      <c r="F170" s="403"/>
      <c r="G170" s="403"/>
      <c r="H170" s="403"/>
      <c r="I170" s="405"/>
      <c r="J170" s="406"/>
      <c r="K170" s="407"/>
      <c r="L170" s="408"/>
      <c r="M170" s="408"/>
      <c r="N170" s="408"/>
      <c r="O170" s="409"/>
      <c r="P170" s="409"/>
      <c r="Q170" s="407"/>
      <c r="R170" s="396"/>
      <c r="S170" s="396"/>
      <c r="T170" s="396"/>
      <c r="U170" s="414"/>
      <c r="V170" s="396"/>
      <c r="W170" s="407"/>
      <c r="X170" s="407"/>
      <c r="Y170" s="410"/>
      <c r="Z170" s="411"/>
      <c r="AA170" s="376" t="str">
        <f t="shared" ref="AA170" si="465">IF(E170="","",E170-D170+AH170+AK170)</f>
        <v/>
      </c>
      <c r="AB170" s="376" t="str">
        <f t="shared" ref="AB170" si="466">IF(G170="","",G170-D170)</f>
        <v/>
      </c>
      <c r="AC170" s="377" t="str">
        <f t="shared" ref="AC170" si="467">IF(H170="","",H170-D170)</f>
        <v/>
      </c>
      <c r="AD170" s="378" t="str">
        <f t="shared" ref="AD170" si="468">IF(N170=0,"",((N170/AE170)*24)/24)</f>
        <v/>
      </c>
      <c r="AE170" s="412">
        <f t="shared" ref="AE170" si="469">IF(G170="",0,(G170-F170)-(AJ170-AI170)-(AG170-AF170))</f>
        <v>0</v>
      </c>
      <c r="AF170" s="411"/>
      <c r="AG170" s="411"/>
      <c r="AH170" s="411">
        <f t="shared" ref="AH170" si="470">AG170-AF170</f>
        <v>0</v>
      </c>
      <c r="AI170" s="411"/>
      <c r="AJ170" s="411"/>
      <c r="AK170" s="411">
        <f t="shared" ref="AK170" si="471">AJ170-AI170</f>
        <v>0</v>
      </c>
      <c r="AL170" s="396"/>
      <c r="AM170" s="396"/>
      <c r="AN170" s="396"/>
      <c r="AO170" s="400"/>
      <c r="AP170" s="400"/>
      <c r="AQ170" s="401"/>
      <c r="AS170" s="82">
        <f t="shared" si="359"/>
        <v>0</v>
      </c>
      <c r="AT170" s="311">
        <f t="shared" si="360"/>
        <v>0</v>
      </c>
      <c r="AU170" s="82"/>
      <c r="AV170" s="218">
        <f t="shared" si="457"/>
        <v>0</v>
      </c>
      <c r="AW170" s="218">
        <f t="shared" si="457"/>
        <v>0</v>
      </c>
      <c r="AX170" s="219">
        <f t="shared" si="361"/>
        <v>0</v>
      </c>
      <c r="AY170" s="219">
        <f t="shared" si="362"/>
        <v>0</v>
      </c>
      <c r="AZ170" s="136">
        <f t="shared" si="363"/>
        <v>0</v>
      </c>
    </row>
    <row r="171" spans="2:52" s="102" customFormat="1" ht="17.45" hidden="1" customHeight="1" outlineLevel="1">
      <c r="B171" s="402"/>
      <c r="C171" s="400"/>
      <c r="D171" s="403"/>
      <c r="E171" s="403"/>
      <c r="F171" s="403"/>
      <c r="G171" s="403"/>
      <c r="H171" s="403"/>
      <c r="I171" s="405"/>
      <c r="J171" s="406"/>
      <c r="K171" s="407"/>
      <c r="L171" s="408"/>
      <c r="M171" s="408"/>
      <c r="N171" s="394"/>
      <c r="O171" s="393"/>
      <c r="P171" s="393"/>
      <c r="Q171" s="407"/>
      <c r="R171" s="396"/>
      <c r="S171" s="396"/>
      <c r="T171" s="396"/>
      <c r="U171" s="396"/>
      <c r="V171" s="396"/>
      <c r="W171" s="407"/>
      <c r="X171" s="407"/>
      <c r="Y171" s="410"/>
      <c r="Z171" s="411"/>
      <c r="AA171" s="411"/>
      <c r="AB171" s="411"/>
      <c r="AC171" s="411"/>
      <c r="AD171" s="378"/>
      <c r="AE171" s="398"/>
      <c r="AF171" s="398"/>
      <c r="AG171" s="398"/>
      <c r="AH171" s="398"/>
      <c r="AI171" s="398"/>
      <c r="AJ171" s="398"/>
      <c r="AK171" s="398"/>
      <c r="AL171" s="396"/>
      <c r="AM171" s="396"/>
      <c r="AN171" s="396"/>
      <c r="AO171" s="400"/>
      <c r="AP171" s="400"/>
      <c r="AQ171" s="413"/>
      <c r="AS171" s="82">
        <f t="shared" si="359"/>
        <v>0</v>
      </c>
      <c r="AT171" s="311">
        <f t="shared" si="360"/>
        <v>0</v>
      </c>
      <c r="AU171" s="82"/>
      <c r="AV171" s="218">
        <f t="shared" si="457"/>
        <v>0</v>
      </c>
      <c r="AW171" s="218">
        <f t="shared" si="457"/>
        <v>0</v>
      </c>
      <c r="AX171" s="219">
        <f t="shared" si="361"/>
        <v>0</v>
      </c>
      <c r="AY171" s="219">
        <f t="shared" si="362"/>
        <v>0</v>
      </c>
      <c r="AZ171" s="136">
        <f t="shared" si="363"/>
        <v>0</v>
      </c>
    </row>
    <row r="172" spans="2:52" s="102" customFormat="1" ht="17.45" hidden="1" customHeight="1" outlineLevel="1">
      <c r="B172" s="402"/>
      <c r="C172" s="400"/>
      <c r="D172" s="403"/>
      <c r="E172" s="403"/>
      <c r="F172" s="403"/>
      <c r="G172" s="403"/>
      <c r="H172" s="403"/>
      <c r="I172" s="405"/>
      <c r="J172" s="406"/>
      <c r="K172" s="407"/>
      <c r="L172" s="408"/>
      <c r="M172" s="408"/>
      <c r="N172" s="408"/>
      <c r="O172" s="409"/>
      <c r="P172" s="409"/>
      <c r="Q172" s="407"/>
      <c r="R172" s="396"/>
      <c r="S172" s="396"/>
      <c r="T172" s="396"/>
      <c r="U172" s="414"/>
      <c r="V172" s="396"/>
      <c r="W172" s="407"/>
      <c r="X172" s="407"/>
      <c r="Y172" s="410"/>
      <c r="Z172" s="411"/>
      <c r="AA172" s="376" t="str">
        <f t="shared" ref="AA172" si="472">IF(E172="","",E172-D172+AH172+AK172)</f>
        <v/>
      </c>
      <c r="AB172" s="376" t="str">
        <f t="shared" ref="AB172" si="473">IF(G172="","",G172-D172)</f>
        <v/>
      </c>
      <c r="AC172" s="377" t="str">
        <f t="shared" ref="AC172" si="474">IF(H172="","",H172-D172)</f>
        <v/>
      </c>
      <c r="AD172" s="378" t="str">
        <f t="shared" ref="AD172" si="475">IF(N172=0,"",((N172/AE172)*24)/24)</f>
        <v/>
      </c>
      <c r="AE172" s="412">
        <f t="shared" ref="AE172" si="476">IF(G172="",0,(G172-F172)-(AJ172-AI172)-(AG172-AF172))</f>
        <v>0</v>
      </c>
      <c r="AF172" s="411"/>
      <c r="AG172" s="411"/>
      <c r="AH172" s="411">
        <f t="shared" ref="AH172" si="477">AG172-AF172</f>
        <v>0</v>
      </c>
      <c r="AI172" s="411"/>
      <c r="AJ172" s="411"/>
      <c r="AK172" s="411">
        <f t="shared" ref="AK172" si="478">AJ172-AI172</f>
        <v>0</v>
      </c>
      <c r="AL172" s="396"/>
      <c r="AM172" s="396"/>
      <c r="AN172" s="396"/>
      <c r="AO172" s="400"/>
      <c r="AP172" s="400"/>
      <c r="AQ172" s="401"/>
      <c r="AS172" s="82">
        <f t="shared" si="359"/>
        <v>0</v>
      </c>
      <c r="AT172" s="311">
        <f t="shared" si="360"/>
        <v>0</v>
      </c>
      <c r="AU172" s="82"/>
      <c r="AV172" s="218">
        <f t="shared" si="457"/>
        <v>0</v>
      </c>
      <c r="AW172" s="218">
        <f t="shared" si="457"/>
        <v>0</v>
      </c>
      <c r="AX172" s="219">
        <f t="shared" si="361"/>
        <v>0</v>
      </c>
      <c r="AY172" s="219">
        <f t="shared" si="362"/>
        <v>0</v>
      </c>
      <c r="AZ172" s="136">
        <f t="shared" si="363"/>
        <v>0</v>
      </c>
    </row>
    <row r="173" spans="2:52" s="102" customFormat="1" ht="17.45" hidden="1" customHeight="1" outlineLevel="1">
      <c r="B173" s="402"/>
      <c r="C173" s="400"/>
      <c r="D173" s="403"/>
      <c r="E173" s="403"/>
      <c r="F173" s="403"/>
      <c r="G173" s="403"/>
      <c r="H173" s="403"/>
      <c r="I173" s="405"/>
      <c r="J173" s="406"/>
      <c r="K173" s="407"/>
      <c r="L173" s="408"/>
      <c r="M173" s="408"/>
      <c r="N173" s="394"/>
      <c r="O173" s="393"/>
      <c r="P173" s="393"/>
      <c r="Q173" s="407"/>
      <c r="R173" s="396"/>
      <c r="S173" s="396"/>
      <c r="T173" s="396"/>
      <c r="U173" s="396"/>
      <c r="V173" s="396"/>
      <c r="W173" s="407"/>
      <c r="X173" s="407"/>
      <c r="Y173" s="410"/>
      <c r="Z173" s="411"/>
      <c r="AA173" s="411"/>
      <c r="AB173" s="411"/>
      <c r="AC173" s="411"/>
      <c r="AD173" s="378"/>
      <c r="AE173" s="398"/>
      <c r="AF173" s="398"/>
      <c r="AG173" s="398"/>
      <c r="AH173" s="398"/>
      <c r="AI173" s="398"/>
      <c r="AJ173" s="398"/>
      <c r="AK173" s="398"/>
      <c r="AL173" s="396"/>
      <c r="AM173" s="396"/>
      <c r="AN173" s="396"/>
      <c r="AO173" s="400"/>
      <c r="AP173" s="400"/>
      <c r="AQ173" s="413"/>
      <c r="AS173" s="82">
        <f t="shared" si="359"/>
        <v>0</v>
      </c>
      <c r="AT173" s="311">
        <f t="shared" si="360"/>
        <v>0</v>
      </c>
      <c r="AU173" s="82"/>
      <c r="AV173" s="218">
        <f t="shared" si="457"/>
        <v>0</v>
      </c>
      <c r="AW173" s="218">
        <f t="shared" si="457"/>
        <v>0</v>
      </c>
      <c r="AX173" s="219">
        <f t="shared" si="361"/>
        <v>0</v>
      </c>
      <c r="AY173" s="219">
        <f t="shared" si="362"/>
        <v>0</v>
      </c>
      <c r="AZ173" s="136">
        <f t="shared" si="363"/>
        <v>0</v>
      </c>
    </row>
    <row r="174" spans="2:52" s="82" customFormat="1" ht="17.45" hidden="1" customHeight="1" outlineLevel="1" thickBot="1">
      <c r="B174" s="495"/>
      <c r="C174" s="480"/>
      <c r="D174" s="481"/>
      <c r="E174" s="481"/>
      <c r="F174" s="481"/>
      <c r="G174" s="481"/>
      <c r="H174" s="481"/>
      <c r="I174" s="493">
        <f>IFERROR(AVERAGE(I157:I173),0)</f>
        <v>0</v>
      </c>
      <c r="J174" s="493">
        <f>IFERROR(AVERAGE(J157:J173),0)</f>
        <v>0</v>
      </c>
      <c r="K174" s="485">
        <f>SUM(K157:K173)</f>
        <v>0</v>
      </c>
      <c r="L174" s="484">
        <f>SUM(L157:L173)</f>
        <v>0</v>
      </c>
      <c r="M174" s="484">
        <f>SUM(M157:M173)</f>
        <v>0</v>
      </c>
      <c r="N174" s="483">
        <f>SUM(N157:N173)</f>
        <v>0</v>
      </c>
      <c r="O174" s="485"/>
      <c r="P174" s="485"/>
      <c r="Q174" s="485"/>
      <c r="R174" s="480"/>
      <c r="S174" s="480"/>
      <c r="T174" s="486"/>
      <c r="U174" s="487"/>
      <c r="V174" s="486"/>
      <c r="W174" s="488"/>
      <c r="X174" s="488"/>
      <c r="Y174" s="489"/>
      <c r="Z174" s="490"/>
      <c r="AA174" s="376" t="str">
        <f t="shared" ref="AA174" si="479">IF(E174="","",E174-D174+AH174+AK174)</f>
        <v/>
      </c>
      <c r="AB174" s="490"/>
      <c r="AC174" s="490"/>
      <c r="AD174" s="490"/>
      <c r="AE174" s="490"/>
      <c r="AF174" s="490"/>
      <c r="AG174" s="490"/>
      <c r="AH174" s="490"/>
      <c r="AI174" s="490"/>
      <c r="AJ174" s="490"/>
      <c r="AK174" s="490"/>
      <c r="AL174" s="491"/>
      <c r="AM174" s="491"/>
      <c r="AN174" s="491"/>
      <c r="AO174" s="487"/>
      <c r="AP174" s="487"/>
      <c r="AQ174" s="492"/>
      <c r="AS174" s="82">
        <f t="shared" si="359"/>
        <v>0</v>
      </c>
      <c r="AT174" s="311">
        <f t="shared" si="360"/>
        <v>0</v>
      </c>
      <c r="AV174" s="218">
        <f t="shared" si="457"/>
        <v>0</v>
      </c>
      <c r="AW174" s="218">
        <f t="shared" si="457"/>
        <v>0</v>
      </c>
      <c r="AX174" s="219">
        <f t="shared" si="361"/>
        <v>0</v>
      </c>
      <c r="AY174" s="219">
        <f t="shared" si="362"/>
        <v>0</v>
      </c>
      <c r="AZ174" s="136">
        <f t="shared" si="363"/>
        <v>0</v>
      </c>
    </row>
    <row r="175" spans="2:52" ht="24.95" hidden="1" customHeight="1" outlineLevel="1" thickBot="1">
      <c r="B175" s="246" t="s">
        <v>251</v>
      </c>
      <c r="C175" s="117"/>
      <c r="D175" s="117"/>
      <c r="E175" s="117"/>
      <c r="F175" s="117"/>
      <c r="G175" s="117"/>
      <c r="H175" s="117"/>
      <c r="I175" s="117"/>
      <c r="J175" s="117"/>
      <c r="K175" s="117"/>
      <c r="L175" s="146"/>
      <c r="M175" s="146"/>
      <c r="N175" s="146"/>
      <c r="O175" s="117"/>
      <c r="P175" s="117"/>
      <c r="Q175" s="117"/>
      <c r="R175" s="117"/>
      <c r="S175" s="117"/>
      <c r="T175" s="475"/>
      <c r="U175" s="117"/>
      <c r="V175" s="117"/>
      <c r="W175" s="117"/>
      <c r="X175" s="117"/>
      <c r="Y175" s="208"/>
      <c r="Z175" s="117"/>
      <c r="AA175" s="117"/>
      <c r="AB175" s="117"/>
      <c r="AC175" s="117"/>
      <c r="AD175" s="117"/>
      <c r="AE175" s="117"/>
      <c r="AF175" s="117"/>
      <c r="AG175" s="117"/>
      <c r="AH175" s="117"/>
      <c r="AI175" s="117"/>
      <c r="AJ175" s="117"/>
      <c r="AK175" s="117"/>
      <c r="AL175" s="117"/>
      <c r="AM175" s="117"/>
      <c r="AN175" s="117"/>
      <c r="AO175" s="117"/>
      <c r="AP175" s="117"/>
      <c r="AQ175" s="118"/>
      <c r="AS175" s="82" t="str">
        <f t="shared" si="359"/>
        <v>2022년 11월 반입 예정 선박리스트</v>
      </c>
      <c r="AT175" s="311">
        <f t="shared" si="360"/>
        <v>0</v>
      </c>
      <c r="AU175" s="82"/>
      <c r="AV175" s="218">
        <f t="shared" si="457"/>
        <v>0</v>
      </c>
      <c r="AW175" s="218">
        <f t="shared" si="457"/>
        <v>0</v>
      </c>
      <c r="AX175" s="219">
        <f t="shared" si="361"/>
        <v>0</v>
      </c>
      <c r="AY175" s="219">
        <f t="shared" si="362"/>
        <v>0</v>
      </c>
      <c r="AZ175" s="136">
        <f t="shared" si="363"/>
        <v>0</v>
      </c>
    </row>
    <row r="176" spans="2:52" s="82" customFormat="1" ht="17.45" hidden="1" customHeight="1" outlineLevel="1">
      <c r="B176" s="389"/>
      <c r="C176" s="390"/>
      <c r="D176" s="391"/>
      <c r="E176" s="391"/>
      <c r="F176" s="391"/>
      <c r="G176" s="391"/>
      <c r="H176" s="391"/>
      <c r="I176" s="392"/>
      <c r="J176" s="392"/>
      <c r="K176" s="393"/>
      <c r="L176" s="394"/>
      <c r="M176" s="394"/>
      <c r="N176" s="394"/>
      <c r="O176" s="393"/>
      <c r="P176" s="393"/>
      <c r="Q176" s="393"/>
      <c r="R176" s="395"/>
      <c r="S176" s="395"/>
      <c r="T176" s="395"/>
      <c r="U176" s="396"/>
      <c r="V176" s="396"/>
      <c r="W176" s="393"/>
      <c r="X176" s="393"/>
      <c r="Y176" s="397"/>
      <c r="Z176" s="398"/>
      <c r="AA176" s="460"/>
      <c r="AB176" s="460"/>
      <c r="AC176" s="460"/>
      <c r="AD176" s="460"/>
      <c r="AE176" s="460"/>
      <c r="AF176" s="460"/>
      <c r="AG176" s="460"/>
      <c r="AH176" s="460"/>
      <c r="AI176" s="460"/>
      <c r="AJ176" s="460"/>
      <c r="AK176" s="460"/>
      <c r="AL176" s="399"/>
      <c r="AM176" s="396"/>
      <c r="AN176" s="396"/>
      <c r="AO176" s="400"/>
      <c r="AP176" s="476"/>
      <c r="AQ176" s="401"/>
      <c r="AS176" s="82">
        <f t="shared" si="359"/>
        <v>0</v>
      </c>
      <c r="AT176" s="311">
        <f t="shared" si="360"/>
        <v>0</v>
      </c>
      <c r="AV176" s="218">
        <f t="shared" si="457"/>
        <v>0</v>
      </c>
      <c r="AW176" s="218">
        <f t="shared" si="457"/>
        <v>0</v>
      </c>
      <c r="AX176" s="219">
        <f t="shared" si="361"/>
        <v>0</v>
      </c>
      <c r="AY176" s="219">
        <f t="shared" si="362"/>
        <v>0</v>
      </c>
      <c r="AZ176" s="136">
        <f t="shared" si="363"/>
        <v>0</v>
      </c>
    </row>
    <row r="177" spans="2:52" s="102" customFormat="1" ht="17.45" hidden="1" customHeight="1" outlineLevel="1" collapsed="1">
      <c r="B177" s="402"/>
      <c r="C177" s="400"/>
      <c r="D177" s="403"/>
      <c r="E177" s="403"/>
      <c r="F177" s="403"/>
      <c r="G177" s="403"/>
      <c r="H177" s="403"/>
      <c r="I177" s="405"/>
      <c r="J177" s="406"/>
      <c r="K177" s="407"/>
      <c r="L177" s="407"/>
      <c r="M177" s="408"/>
      <c r="N177" s="408"/>
      <c r="O177" s="409"/>
      <c r="P177" s="409"/>
      <c r="Q177" s="407"/>
      <c r="R177" s="473"/>
      <c r="S177" s="396"/>
      <c r="T177" s="396"/>
      <c r="U177" s="396"/>
      <c r="V177" s="396"/>
      <c r="W177" s="407"/>
      <c r="X177" s="407"/>
      <c r="Y177" s="410"/>
      <c r="Z177" s="411"/>
      <c r="AA177" s="376" t="str">
        <f t="shared" ref="AA177" si="480">IF(E177="","",E177-D177+AH177+AK177)</f>
        <v/>
      </c>
      <c r="AB177" s="376" t="str">
        <f t="shared" ref="AB177" si="481">IF(G177="","",G177-D177)</f>
        <v/>
      </c>
      <c r="AC177" s="377" t="str">
        <f t="shared" ref="AC177" si="482">IF(H177="","",H177-D177)</f>
        <v/>
      </c>
      <c r="AD177" s="378" t="str">
        <f t="shared" ref="AD177" si="483">IF(N177=0,"",((N177/AE177)*24)/24)</f>
        <v/>
      </c>
      <c r="AE177" s="412">
        <f t="shared" ref="AE177" si="484">IF(G177="",0,(G177-F177)-(AJ177-AI177)-(AG177-AF177))</f>
        <v>0</v>
      </c>
      <c r="AF177" s="411"/>
      <c r="AG177" s="411"/>
      <c r="AH177" s="411">
        <f t="shared" ref="AH177" si="485">AG177-AF177</f>
        <v>0</v>
      </c>
      <c r="AI177" s="411"/>
      <c r="AJ177" s="411"/>
      <c r="AK177" s="411">
        <f t="shared" ref="AK177" si="486">AJ177-AI177</f>
        <v>0</v>
      </c>
      <c r="AL177" s="396"/>
      <c r="AM177" s="396"/>
      <c r="AN177" s="396"/>
      <c r="AO177" s="400"/>
      <c r="AP177" s="400"/>
      <c r="AQ177" s="413"/>
      <c r="AS177" s="82">
        <f t="shared" si="359"/>
        <v>0</v>
      </c>
      <c r="AT177" s="311">
        <f t="shared" si="360"/>
        <v>0</v>
      </c>
      <c r="AU177" s="82"/>
      <c r="AV177" s="218">
        <f t="shared" si="457"/>
        <v>0</v>
      </c>
      <c r="AW177" s="218">
        <f t="shared" si="457"/>
        <v>0</v>
      </c>
      <c r="AX177" s="219">
        <f t="shared" si="361"/>
        <v>0</v>
      </c>
      <c r="AY177" s="219">
        <f t="shared" si="362"/>
        <v>0</v>
      </c>
      <c r="AZ177" s="136">
        <f t="shared" si="363"/>
        <v>0</v>
      </c>
    </row>
    <row r="178" spans="2:52" s="102" customFormat="1" ht="17.45" hidden="1" customHeight="1" outlineLevel="1">
      <c r="B178" s="402"/>
      <c r="C178" s="400"/>
      <c r="D178" s="403"/>
      <c r="E178" s="403"/>
      <c r="F178" s="403"/>
      <c r="G178" s="403"/>
      <c r="H178" s="403"/>
      <c r="I178" s="405"/>
      <c r="J178" s="406"/>
      <c r="K178" s="407"/>
      <c r="L178" s="408"/>
      <c r="M178" s="408"/>
      <c r="N178" s="394"/>
      <c r="O178" s="393"/>
      <c r="P178" s="393"/>
      <c r="Q178" s="407"/>
      <c r="R178" s="396"/>
      <c r="S178" s="396"/>
      <c r="T178" s="396"/>
      <c r="U178" s="396"/>
      <c r="V178" s="396"/>
      <c r="W178" s="407"/>
      <c r="X178" s="407"/>
      <c r="Y178" s="410"/>
      <c r="Z178" s="411"/>
      <c r="AA178" s="411"/>
      <c r="AB178" s="411"/>
      <c r="AC178" s="411"/>
      <c r="AD178" s="378"/>
      <c r="AE178" s="398"/>
      <c r="AF178" s="398"/>
      <c r="AG178" s="398"/>
      <c r="AH178" s="398"/>
      <c r="AI178" s="398"/>
      <c r="AJ178" s="398"/>
      <c r="AK178" s="398"/>
      <c r="AL178" s="396"/>
      <c r="AM178" s="396"/>
      <c r="AN178" s="396"/>
      <c r="AO178" s="400"/>
      <c r="AP178" s="400"/>
      <c r="AQ178" s="413"/>
      <c r="AS178" s="82">
        <f t="shared" si="359"/>
        <v>0</v>
      </c>
      <c r="AT178" s="311">
        <f t="shared" si="360"/>
        <v>0</v>
      </c>
      <c r="AU178" s="82"/>
      <c r="AV178" s="218">
        <f t="shared" si="457"/>
        <v>0</v>
      </c>
      <c r="AW178" s="218">
        <f t="shared" si="457"/>
        <v>0</v>
      </c>
      <c r="AX178" s="219">
        <f t="shared" si="361"/>
        <v>0</v>
      </c>
      <c r="AY178" s="219">
        <f t="shared" si="362"/>
        <v>0</v>
      </c>
      <c r="AZ178" s="136">
        <f t="shared" si="363"/>
        <v>0</v>
      </c>
    </row>
    <row r="179" spans="2:52" s="102" customFormat="1" ht="17.45" hidden="1" customHeight="1" outlineLevel="1">
      <c r="B179" s="402"/>
      <c r="C179" s="400"/>
      <c r="D179" s="403"/>
      <c r="E179" s="403"/>
      <c r="F179" s="403"/>
      <c r="G179" s="403"/>
      <c r="H179" s="403"/>
      <c r="I179" s="405"/>
      <c r="J179" s="406"/>
      <c r="K179" s="407"/>
      <c r="L179" s="408"/>
      <c r="M179" s="408"/>
      <c r="N179" s="408"/>
      <c r="O179" s="409"/>
      <c r="P179" s="409"/>
      <c r="Q179" s="407"/>
      <c r="R179" s="396"/>
      <c r="S179" s="396"/>
      <c r="T179" s="396"/>
      <c r="U179" s="414"/>
      <c r="V179" s="396"/>
      <c r="W179" s="407"/>
      <c r="X179" s="407"/>
      <c r="Y179" s="410"/>
      <c r="Z179" s="411"/>
      <c r="AA179" s="376" t="str">
        <f t="shared" ref="AA179" si="487">IF(E179="","",E179-D179+AH179+AK179)</f>
        <v/>
      </c>
      <c r="AB179" s="376" t="str">
        <f t="shared" ref="AB179" si="488">IF(G179="","",G179-D179)</f>
        <v/>
      </c>
      <c r="AC179" s="377" t="str">
        <f t="shared" ref="AC179" si="489">IF(H179="","",H179-D179)</f>
        <v/>
      </c>
      <c r="AD179" s="378" t="str">
        <f t="shared" ref="AD179" si="490">IF(N179=0,"",((N179/AE179)*24)/24)</f>
        <v/>
      </c>
      <c r="AE179" s="412">
        <f t="shared" ref="AE179" si="491">IF(G179="",0,(G179-F179)-(AJ179-AI179)-(AG179-AF179))</f>
        <v>0</v>
      </c>
      <c r="AF179" s="411"/>
      <c r="AG179" s="411"/>
      <c r="AH179" s="411">
        <f t="shared" ref="AH179" si="492">AG179-AF179</f>
        <v>0</v>
      </c>
      <c r="AI179" s="411"/>
      <c r="AJ179" s="411"/>
      <c r="AK179" s="411">
        <f t="shared" ref="AK179" si="493">AJ179-AI179</f>
        <v>0</v>
      </c>
      <c r="AL179" s="396"/>
      <c r="AM179" s="396"/>
      <c r="AN179" s="396"/>
      <c r="AO179" s="400"/>
      <c r="AP179" s="400"/>
      <c r="AQ179" s="401"/>
      <c r="AS179" s="82">
        <f t="shared" si="359"/>
        <v>0</v>
      </c>
      <c r="AT179" s="311">
        <f t="shared" si="360"/>
        <v>0</v>
      </c>
      <c r="AU179" s="82"/>
      <c r="AV179" s="218">
        <f t="shared" si="457"/>
        <v>0</v>
      </c>
      <c r="AW179" s="218">
        <f t="shared" si="457"/>
        <v>0</v>
      </c>
      <c r="AX179" s="219">
        <f t="shared" si="361"/>
        <v>0</v>
      </c>
      <c r="AY179" s="219">
        <f t="shared" si="362"/>
        <v>0</v>
      </c>
      <c r="AZ179" s="136">
        <f t="shared" si="363"/>
        <v>0</v>
      </c>
    </row>
    <row r="180" spans="2:52" s="102" customFormat="1" ht="17.45" hidden="1" customHeight="1" outlineLevel="1">
      <c r="B180" s="402"/>
      <c r="C180" s="400"/>
      <c r="D180" s="403"/>
      <c r="E180" s="403"/>
      <c r="F180" s="403"/>
      <c r="G180" s="403"/>
      <c r="H180" s="403"/>
      <c r="I180" s="405"/>
      <c r="J180" s="406"/>
      <c r="K180" s="407"/>
      <c r="L180" s="408"/>
      <c r="M180" s="408"/>
      <c r="N180" s="394"/>
      <c r="O180" s="393"/>
      <c r="P180" s="393"/>
      <c r="Q180" s="407"/>
      <c r="R180" s="396"/>
      <c r="S180" s="396"/>
      <c r="T180" s="396"/>
      <c r="U180" s="396"/>
      <c r="V180" s="396"/>
      <c r="W180" s="407"/>
      <c r="X180" s="407"/>
      <c r="Y180" s="410"/>
      <c r="Z180" s="411"/>
      <c r="AA180" s="411"/>
      <c r="AB180" s="411"/>
      <c r="AC180" s="411"/>
      <c r="AD180" s="378"/>
      <c r="AE180" s="398"/>
      <c r="AF180" s="398"/>
      <c r="AG180" s="398"/>
      <c r="AH180" s="398"/>
      <c r="AI180" s="398"/>
      <c r="AJ180" s="398"/>
      <c r="AK180" s="398"/>
      <c r="AL180" s="396"/>
      <c r="AM180" s="396"/>
      <c r="AN180" s="396"/>
      <c r="AO180" s="400"/>
      <c r="AP180" s="400"/>
      <c r="AQ180" s="413"/>
      <c r="AS180" s="82">
        <f t="shared" si="359"/>
        <v>0</v>
      </c>
      <c r="AT180" s="311">
        <f t="shared" si="360"/>
        <v>0</v>
      </c>
      <c r="AU180" s="82"/>
      <c r="AV180" s="218">
        <f t="shared" si="457"/>
        <v>0</v>
      </c>
      <c r="AW180" s="218">
        <f t="shared" si="457"/>
        <v>0</v>
      </c>
      <c r="AX180" s="219">
        <f t="shared" si="361"/>
        <v>0</v>
      </c>
      <c r="AY180" s="219">
        <f t="shared" si="362"/>
        <v>0</v>
      </c>
      <c r="AZ180" s="136">
        <f t="shared" si="363"/>
        <v>0</v>
      </c>
    </row>
    <row r="181" spans="2:52" s="102" customFormat="1" ht="17.45" hidden="1" customHeight="1" outlineLevel="1">
      <c r="B181" s="402"/>
      <c r="C181" s="400"/>
      <c r="D181" s="403"/>
      <c r="E181" s="403"/>
      <c r="F181" s="403"/>
      <c r="G181" s="403"/>
      <c r="H181" s="403"/>
      <c r="I181" s="405"/>
      <c r="J181" s="406"/>
      <c r="K181" s="407"/>
      <c r="L181" s="408"/>
      <c r="M181" s="408"/>
      <c r="N181" s="408"/>
      <c r="O181" s="409"/>
      <c r="P181" s="409"/>
      <c r="Q181" s="407"/>
      <c r="R181" s="396"/>
      <c r="S181" s="396"/>
      <c r="T181" s="396"/>
      <c r="U181" s="414"/>
      <c r="V181" s="396"/>
      <c r="W181" s="407"/>
      <c r="X181" s="407"/>
      <c r="Y181" s="410"/>
      <c r="Z181" s="411"/>
      <c r="AA181" s="376" t="str">
        <f t="shared" ref="AA181" si="494">IF(E181="","",E181-D181+AH181+AK181)</f>
        <v/>
      </c>
      <c r="AB181" s="376" t="str">
        <f t="shared" ref="AB181" si="495">IF(G181="","",G181-D181)</f>
        <v/>
      </c>
      <c r="AC181" s="377" t="str">
        <f t="shared" ref="AC181" si="496">IF(H181="","",H181-D181)</f>
        <v/>
      </c>
      <c r="AD181" s="378" t="str">
        <f t="shared" ref="AD181" si="497">IF(N181=0,"",((N181/AE181)*24)/24)</f>
        <v/>
      </c>
      <c r="AE181" s="412">
        <f t="shared" ref="AE181" si="498">IF(G181="",0,(G181-F181)-(AJ181-AI181)-(AG181-AF181))</f>
        <v>0</v>
      </c>
      <c r="AF181" s="411"/>
      <c r="AG181" s="411"/>
      <c r="AH181" s="411">
        <f t="shared" ref="AH181" si="499">AG181-AF181</f>
        <v>0</v>
      </c>
      <c r="AI181" s="411"/>
      <c r="AJ181" s="411"/>
      <c r="AK181" s="411">
        <f t="shared" ref="AK181" si="500">AJ181-AI181</f>
        <v>0</v>
      </c>
      <c r="AL181" s="396"/>
      <c r="AM181" s="396"/>
      <c r="AN181" s="396"/>
      <c r="AO181" s="400"/>
      <c r="AP181" s="400"/>
      <c r="AQ181" s="401"/>
      <c r="AS181" s="82">
        <f t="shared" si="359"/>
        <v>0</v>
      </c>
      <c r="AT181" s="311">
        <f t="shared" si="360"/>
        <v>0</v>
      </c>
      <c r="AU181" s="82"/>
      <c r="AV181" s="218">
        <f t="shared" si="457"/>
        <v>0</v>
      </c>
      <c r="AW181" s="218">
        <f t="shared" si="457"/>
        <v>0</v>
      </c>
      <c r="AX181" s="219">
        <f t="shared" si="361"/>
        <v>0</v>
      </c>
      <c r="AY181" s="219">
        <f t="shared" si="362"/>
        <v>0</v>
      </c>
      <c r="AZ181" s="136">
        <f t="shared" si="363"/>
        <v>0</v>
      </c>
    </row>
    <row r="182" spans="2:52" s="102" customFormat="1" ht="17.45" hidden="1" customHeight="1" outlineLevel="1">
      <c r="B182" s="402"/>
      <c r="C182" s="400"/>
      <c r="D182" s="403"/>
      <c r="E182" s="403"/>
      <c r="F182" s="403"/>
      <c r="G182" s="403"/>
      <c r="H182" s="403"/>
      <c r="I182" s="405"/>
      <c r="J182" s="406"/>
      <c r="K182" s="407"/>
      <c r="L182" s="408"/>
      <c r="M182" s="408"/>
      <c r="N182" s="394"/>
      <c r="O182" s="393"/>
      <c r="P182" s="393"/>
      <c r="Q182" s="407"/>
      <c r="R182" s="396"/>
      <c r="S182" s="396"/>
      <c r="T182" s="396"/>
      <c r="U182" s="396"/>
      <c r="V182" s="396"/>
      <c r="W182" s="407"/>
      <c r="X182" s="407"/>
      <c r="Y182" s="410"/>
      <c r="Z182" s="411"/>
      <c r="AA182" s="411"/>
      <c r="AB182" s="411"/>
      <c r="AC182" s="411"/>
      <c r="AD182" s="378"/>
      <c r="AE182" s="398"/>
      <c r="AF182" s="398"/>
      <c r="AG182" s="398"/>
      <c r="AH182" s="398"/>
      <c r="AI182" s="398"/>
      <c r="AJ182" s="398"/>
      <c r="AK182" s="398"/>
      <c r="AL182" s="396"/>
      <c r="AM182" s="396"/>
      <c r="AN182" s="396"/>
      <c r="AO182" s="400"/>
      <c r="AP182" s="400"/>
      <c r="AQ182" s="413"/>
      <c r="AS182" s="82">
        <f t="shared" si="359"/>
        <v>0</v>
      </c>
      <c r="AT182" s="311">
        <f t="shared" si="360"/>
        <v>0</v>
      </c>
      <c r="AU182" s="82"/>
      <c r="AV182" s="218">
        <f t="shared" si="457"/>
        <v>0</v>
      </c>
      <c r="AW182" s="218">
        <f t="shared" si="457"/>
        <v>0</v>
      </c>
      <c r="AX182" s="219">
        <f t="shared" si="361"/>
        <v>0</v>
      </c>
      <c r="AY182" s="219">
        <f t="shared" si="362"/>
        <v>0</v>
      </c>
      <c r="AZ182" s="136">
        <f t="shared" si="363"/>
        <v>0</v>
      </c>
    </row>
    <row r="183" spans="2:52" s="102" customFormat="1" ht="17.45" hidden="1" customHeight="1" outlineLevel="1">
      <c r="B183" s="402"/>
      <c r="C183" s="400"/>
      <c r="D183" s="403"/>
      <c r="E183" s="403"/>
      <c r="F183" s="403"/>
      <c r="G183" s="403"/>
      <c r="H183" s="403"/>
      <c r="I183" s="405"/>
      <c r="J183" s="406"/>
      <c r="K183" s="407"/>
      <c r="L183" s="408"/>
      <c r="M183" s="408"/>
      <c r="N183" s="408"/>
      <c r="O183" s="409"/>
      <c r="P183" s="409"/>
      <c r="Q183" s="407"/>
      <c r="R183" s="396"/>
      <c r="S183" s="396"/>
      <c r="T183" s="396"/>
      <c r="U183" s="414"/>
      <c r="V183" s="396"/>
      <c r="W183" s="407"/>
      <c r="X183" s="407"/>
      <c r="Y183" s="410"/>
      <c r="Z183" s="411"/>
      <c r="AA183" s="376" t="str">
        <f t="shared" ref="AA183" si="501">IF(E183="","",E183-D183+AH183+AK183)</f>
        <v/>
      </c>
      <c r="AB183" s="376" t="str">
        <f t="shared" ref="AB183" si="502">IF(G183="","",G183-D183)</f>
        <v/>
      </c>
      <c r="AC183" s="377" t="str">
        <f t="shared" ref="AC183" si="503">IF(H183="","",H183-D183)</f>
        <v/>
      </c>
      <c r="AD183" s="378" t="str">
        <f t="shared" ref="AD183" si="504">IF(N183=0,"",((N183/AE183)*24)/24)</f>
        <v/>
      </c>
      <c r="AE183" s="412">
        <f t="shared" ref="AE183" si="505">IF(G183="",0,(G183-F183)-(AJ183-AI183)-(AG183-AF183))</f>
        <v>0</v>
      </c>
      <c r="AF183" s="411"/>
      <c r="AG183" s="411"/>
      <c r="AH183" s="411">
        <f t="shared" ref="AH183" si="506">AG183-AF183</f>
        <v>0</v>
      </c>
      <c r="AI183" s="411"/>
      <c r="AJ183" s="411"/>
      <c r="AK183" s="411">
        <f t="shared" ref="AK183" si="507">AJ183-AI183</f>
        <v>0</v>
      </c>
      <c r="AL183" s="396"/>
      <c r="AM183" s="396"/>
      <c r="AN183" s="396"/>
      <c r="AO183" s="400"/>
      <c r="AP183" s="400"/>
      <c r="AQ183" s="401"/>
      <c r="AS183" s="82">
        <f t="shared" si="359"/>
        <v>0</v>
      </c>
      <c r="AT183" s="311">
        <f t="shared" si="360"/>
        <v>0</v>
      </c>
      <c r="AU183" s="82"/>
      <c r="AV183" s="218">
        <f t="shared" si="457"/>
        <v>0</v>
      </c>
      <c r="AW183" s="218">
        <f t="shared" si="457"/>
        <v>0</v>
      </c>
      <c r="AX183" s="219">
        <f t="shared" si="361"/>
        <v>0</v>
      </c>
      <c r="AY183" s="219">
        <f t="shared" si="362"/>
        <v>0</v>
      </c>
      <c r="AZ183" s="136">
        <f t="shared" si="363"/>
        <v>0</v>
      </c>
    </row>
    <row r="184" spans="2:52" s="102" customFormat="1" ht="17.45" hidden="1" customHeight="1" outlineLevel="1">
      <c r="B184" s="402"/>
      <c r="C184" s="400"/>
      <c r="D184" s="403"/>
      <c r="E184" s="403"/>
      <c r="F184" s="403"/>
      <c r="G184" s="403"/>
      <c r="H184" s="403"/>
      <c r="I184" s="405"/>
      <c r="J184" s="406"/>
      <c r="K184" s="407"/>
      <c r="L184" s="408"/>
      <c r="M184" s="408"/>
      <c r="N184" s="394"/>
      <c r="O184" s="393"/>
      <c r="P184" s="393"/>
      <c r="Q184" s="407"/>
      <c r="R184" s="396"/>
      <c r="S184" s="396"/>
      <c r="T184" s="396"/>
      <c r="U184" s="396"/>
      <c r="V184" s="396"/>
      <c r="W184" s="407"/>
      <c r="X184" s="407"/>
      <c r="Y184" s="410"/>
      <c r="Z184" s="411"/>
      <c r="AA184" s="411"/>
      <c r="AB184" s="411"/>
      <c r="AC184" s="411"/>
      <c r="AD184" s="378"/>
      <c r="AE184" s="398"/>
      <c r="AF184" s="398"/>
      <c r="AG184" s="398"/>
      <c r="AH184" s="398"/>
      <c r="AI184" s="398"/>
      <c r="AJ184" s="398"/>
      <c r="AK184" s="398"/>
      <c r="AL184" s="396"/>
      <c r="AM184" s="396"/>
      <c r="AN184" s="396"/>
      <c r="AO184" s="400"/>
      <c r="AP184" s="400"/>
      <c r="AQ184" s="413"/>
      <c r="AS184" s="82">
        <f t="shared" si="359"/>
        <v>0</v>
      </c>
      <c r="AT184" s="311">
        <f t="shared" si="360"/>
        <v>0</v>
      </c>
      <c r="AU184" s="82"/>
      <c r="AV184" s="218">
        <f t="shared" si="457"/>
        <v>0</v>
      </c>
      <c r="AW184" s="218">
        <f t="shared" si="457"/>
        <v>0</v>
      </c>
      <c r="AX184" s="219">
        <f t="shared" si="361"/>
        <v>0</v>
      </c>
      <c r="AY184" s="219">
        <f t="shared" si="362"/>
        <v>0</v>
      </c>
      <c r="AZ184" s="136">
        <f t="shared" si="363"/>
        <v>0</v>
      </c>
    </row>
    <row r="185" spans="2:52" s="102" customFormat="1" ht="17.45" hidden="1" customHeight="1" outlineLevel="1">
      <c r="B185" s="402"/>
      <c r="C185" s="400"/>
      <c r="D185" s="403"/>
      <c r="E185" s="403"/>
      <c r="F185" s="403"/>
      <c r="G185" s="403"/>
      <c r="H185" s="403"/>
      <c r="I185" s="405"/>
      <c r="J185" s="406"/>
      <c r="K185" s="407"/>
      <c r="L185" s="408"/>
      <c r="M185" s="408"/>
      <c r="N185" s="408"/>
      <c r="O185" s="409"/>
      <c r="P185" s="409"/>
      <c r="Q185" s="407"/>
      <c r="R185" s="396"/>
      <c r="S185" s="396"/>
      <c r="T185" s="396"/>
      <c r="U185" s="414"/>
      <c r="V185" s="396"/>
      <c r="W185" s="407"/>
      <c r="X185" s="407"/>
      <c r="Y185" s="410"/>
      <c r="Z185" s="411"/>
      <c r="AA185" s="376" t="str">
        <f t="shared" ref="AA185" si="508">IF(E185="","",E185-D185+AH185+AK185)</f>
        <v/>
      </c>
      <c r="AB185" s="376" t="str">
        <f t="shared" ref="AB185" si="509">IF(G185="","",G185-D185)</f>
        <v/>
      </c>
      <c r="AC185" s="377" t="str">
        <f t="shared" ref="AC185" si="510">IF(H185="","",H185-D185)</f>
        <v/>
      </c>
      <c r="AD185" s="378" t="str">
        <f t="shared" ref="AD185" si="511">IF(N185=0,"",((N185/AE185)*24)/24)</f>
        <v/>
      </c>
      <c r="AE185" s="412">
        <f t="shared" ref="AE185" si="512">IF(G185="",0,(G185-F185)-(AJ185-AI185)-(AG185-AF185))</f>
        <v>0</v>
      </c>
      <c r="AF185" s="411"/>
      <c r="AG185" s="411"/>
      <c r="AH185" s="411">
        <f t="shared" ref="AH185" si="513">AG185-AF185</f>
        <v>0</v>
      </c>
      <c r="AI185" s="411"/>
      <c r="AJ185" s="411"/>
      <c r="AK185" s="411">
        <f t="shared" ref="AK185" si="514">AJ185-AI185</f>
        <v>0</v>
      </c>
      <c r="AL185" s="396"/>
      <c r="AM185" s="396"/>
      <c r="AN185" s="396"/>
      <c r="AO185" s="400"/>
      <c r="AP185" s="400"/>
      <c r="AQ185" s="401"/>
      <c r="AS185" s="82">
        <f t="shared" si="359"/>
        <v>0</v>
      </c>
      <c r="AT185" s="311">
        <f t="shared" si="360"/>
        <v>0</v>
      </c>
      <c r="AU185" s="82"/>
      <c r="AV185" s="218">
        <f t="shared" si="457"/>
        <v>0</v>
      </c>
      <c r="AW185" s="218">
        <f t="shared" si="457"/>
        <v>0</v>
      </c>
      <c r="AX185" s="219">
        <f t="shared" si="361"/>
        <v>0</v>
      </c>
      <c r="AY185" s="219">
        <f t="shared" si="362"/>
        <v>0</v>
      </c>
      <c r="AZ185" s="136">
        <f t="shared" si="363"/>
        <v>0</v>
      </c>
    </row>
    <row r="186" spans="2:52" s="102" customFormat="1" ht="17.45" hidden="1" customHeight="1" outlineLevel="1">
      <c r="B186" s="402"/>
      <c r="C186" s="400"/>
      <c r="D186" s="403"/>
      <c r="E186" s="403"/>
      <c r="F186" s="403"/>
      <c r="G186" s="403"/>
      <c r="H186" s="403"/>
      <c r="I186" s="405"/>
      <c r="J186" s="406"/>
      <c r="K186" s="407"/>
      <c r="L186" s="408"/>
      <c r="M186" s="408"/>
      <c r="N186" s="394"/>
      <c r="O186" s="393"/>
      <c r="P186" s="393"/>
      <c r="Q186" s="407"/>
      <c r="R186" s="396"/>
      <c r="S186" s="396"/>
      <c r="T186" s="396"/>
      <c r="U186" s="396"/>
      <c r="V186" s="396"/>
      <c r="W186" s="407"/>
      <c r="X186" s="407"/>
      <c r="Y186" s="410"/>
      <c r="Z186" s="411"/>
      <c r="AA186" s="411"/>
      <c r="AB186" s="411"/>
      <c r="AC186" s="411"/>
      <c r="AD186" s="378"/>
      <c r="AE186" s="398"/>
      <c r="AF186" s="398"/>
      <c r="AG186" s="398"/>
      <c r="AH186" s="398"/>
      <c r="AI186" s="398"/>
      <c r="AJ186" s="398"/>
      <c r="AK186" s="398"/>
      <c r="AL186" s="396"/>
      <c r="AM186" s="396"/>
      <c r="AN186" s="396"/>
      <c r="AO186" s="400"/>
      <c r="AP186" s="400"/>
      <c r="AQ186" s="413"/>
      <c r="AS186" s="82">
        <f t="shared" si="359"/>
        <v>0</v>
      </c>
      <c r="AT186" s="311">
        <f t="shared" si="360"/>
        <v>0</v>
      </c>
      <c r="AU186" s="82"/>
      <c r="AV186" s="218">
        <f t="shared" si="457"/>
        <v>0</v>
      </c>
      <c r="AW186" s="218">
        <f t="shared" si="457"/>
        <v>0</v>
      </c>
      <c r="AX186" s="219">
        <f t="shared" si="361"/>
        <v>0</v>
      </c>
      <c r="AY186" s="219">
        <f t="shared" si="362"/>
        <v>0</v>
      </c>
      <c r="AZ186" s="136">
        <f t="shared" si="363"/>
        <v>0</v>
      </c>
    </row>
    <row r="187" spans="2:52" s="102" customFormat="1" ht="17.45" hidden="1" customHeight="1" outlineLevel="1">
      <c r="B187" s="402"/>
      <c r="C187" s="400"/>
      <c r="D187" s="403"/>
      <c r="E187" s="403"/>
      <c r="F187" s="403"/>
      <c r="G187" s="403"/>
      <c r="H187" s="403"/>
      <c r="I187" s="405"/>
      <c r="J187" s="406"/>
      <c r="K187" s="407"/>
      <c r="L187" s="408"/>
      <c r="M187" s="408"/>
      <c r="N187" s="408"/>
      <c r="O187" s="409"/>
      <c r="P187" s="409"/>
      <c r="Q187" s="407"/>
      <c r="R187" s="396"/>
      <c r="S187" s="396"/>
      <c r="T187" s="396"/>
      <c r="U187" s="414"/>
      <c r="V187" s="396"/>
      <c r="W187" s="407"/>
      <c r="X187" s="407"/>
      <c r="Y187" s="410"/>
      <c r="Z187" s="411"/>
      <c r="AA187" s="376" t="str">
        <f t="shared" ref="AA187" si="515">IF(E187="","",E187-D187+AH187+AK187)</f>
        <v/>
      </c>
      <c r="AB187" s="376" t="str">
        <f t="shared" ref="AB187" si="516">IF(G187="","",G187-D187)</f>
        <v/>
      </c>
      <c r="AC187" s="377" t="str">
        <f t="shared" ref="AC187" si="517">IF(H187="","",H187-D187)</f>
        <v/>
      </c>
      <c r="AD187" s="378" t="str">
        <f t="shared" ref="AD187" si="518">IF(N187=0,"",((N187/AE187)*24)/24)</f>
        <v/>
      </c>
      <c r="AE187" s="412">
        <f t="shared" ref="AE187" si="519">IF(G187="",0,(G187-F187)-(AJ187-AI187)-(AG187-AF187))</f>
        <v>0</v>
      </c>
      <c r="AF187" s="411"/>
      <c r="AG187" s="411"/>
      <c r="AH187" s="411">
        <f t="shared" ref="AH187" si="520">AG187-AF187</f>
        <v>0</v>
      </c>
      <c r="AI187" s="411"/>
      <c r="AJ187" s="411"/>
      <c r="AK187" s="411">
        <f t="shared" ref="AK187" si="521">AJ187-AI187</f>
        <v>0</v>
      </c>
      <c r="AL187" s="396"/>
      <c r="AM187" s="396"/>
      <c r="AN187" s="396"/>
      <c r="AO187" s="400"/>
      <c r="AP187" s="400"/>
      <c r="AQ187" s="401"/>
      <c r="AS187" s="82">
        <f t="shared" si="359"/>
        <v>0</v>
      </c>
      <c r="AT187" s="311">
        <f t="shared" si="360"/>
        <v>0</v>
      </c>
      <c r="AU187" s="82"/>
      <c r="AV187" s="218">
        <f t="shared" ref="AV187:AW224" si="522">IF(L187=0,0,1)</f>
        <v>0</v>
      </c>
      <c r="AW187" s="218">
        <f t="shared" si="522"/>
        <v>0</v>
      </c>
      <c r="AX187" s="219">
        <f t="shared" si="361"/>
        <v>0</v>
      </c>
      <c r="AY187" s="219">
        <f t="shared" si="362"/>
        <v>0</v>
      </c>
      <c r="AZ187" s="136">
        <f t="shared" si="363"/>
        <v>0</v>
      </c>
    </row>
    <row r="188" spans="2:52" s="102" customFormat="1" ht="17.45" hidden="1" customHeight="1" outlineLevel="1">
      <c r="B188" s="402"/>
      <c r="C188" s="400"/>
      <c r="D188" s="403"/>
      <c r="E188" s="403"/>
      <c r="F188" s="403"/>
      <c r="G188" s="403"/>
      <c r="H188" s="403"/>
      <c r="I188" s="405"/>
      <c r="J188" s="406"/>
      <c r="K188" s="407"/>
      <c r="L188" s="408"/>
      <c r="M188" s="408"/>
      <c r="N188" s="394"/>
      <c r="O188" s="393"/>
      <c r="P188" s="393"/>
      <c r="Q188" s="407"/>
      <c r="R188" s="396"/>
      <c r="S188" s="396"/>
      <c r="T188" s="396"/>
      <c r="U188" s="396"/>
      <c r="V188" s="396"/>
      <c r="W188" s="407"/>
      <c r="X188" s="407"/>
      <c r="Y188" s="410"/>
      <c r="Z188" s="411"/>
      <c r="AA188" s="411"/>
      <c r="AB188" s="411"/>
      <c r="AC188" s="411"/>
      <c r="AD188" s="378"/>
      <c r="AE188" s="398"/>
      <c r="AF188" s="398"/>
      <c r="AG188" s="398"/>
      <c r="AH188" s="398"/>
      <c r="AI188" s="398"/>
      <c r="AJ188" s="398"/>
      <c r="AK188" s="398"/>
      <c r="AL188" s="396"/>
      <c r="AM188" s="396"/>
      <c r="AN188" s="396"/>
      <c r="AO188" s="400"/>
      <c r="AP188" s="400"/>
      <c r="AQ188" s="413"/>
      <c r="AS188" s="82">
        <f t="shared" si="359"/>
        <v>0</v>
      </c>
      <c r="AT188" s="311">
        <f t="shared" si="360"/>
        <v>0</v>
      </c>
      <c r="AU188" s="82"/>
      <c r="AV188" s="218">
        <f t="shared" si="522"/>
        <v>0</v>
      </c>
      <c r="AW188" s="218">
        <f t="shared" si="522"/>
        <v>0</v>
      </c>
      <c r="AX188" s="219">
        <f t="shared" si="361"/>
        <v>0</v>
      </c>
      <c r="AY188" s="219">
        <f t="shared" si="362"/>
        <v>0</v>
      </c>
      <c r="AZ188" s="136">
        <f t="shared" si="363"/>
        <v>0</v>
      </c>
    </row>
    <row r="189" spans="2:52" s="102" customFormat="1" ht="17.45" hidden="1" customHeight="1" outlineLevel="1">
      <c r="B189" s="402"/>
      <c r="C189" s="400"/>
      <c r="D189" s="403"/>
      <c r="E189" s="403"/>
      <c r="F189" s="403"/>
      <c r="G189" s="64"/>
      <c r="H189" s="64"/>
      <c r="I189" s="405"/>
      <c r="J189" s="406"/>
      <c r="K189" s="69"/>
      <c r="L189" s="67"/>
      <c r="M189" s="67"/>
      <c r="N189" s="408"/>
      <c r="O189" s="68"/>
      <c r="P189" s="68"/>
      <c r="Q189" s="69"/>
      <c r="R189" s="70"/>
      <c r="S189" s="70"/>
      <c r="T189" s="70"/>
      <c r="U189" s="73"/>
      <c r="V189" s="70"/>
      <c r="W189" s="69"/>
      <c r="X189" s="69"/>
      <c r="Y189" s="204"/>
      <c r="Z189" s="72"/>
      <c r="AA189" s="376" t="str">
        <f t="shared" ref="AA189" si="523">IF(E189="","",E189-D189+AH189+AK189)</f>
        <v/>
      </c>
      <c r="AB189" s="376" t="str">
        <f t="shared" ref="AB189" si="524">IF(G189="","",G189-D189)</f>
        <v/>
      </c>
      <c r="AC189" s="377" t="str">
        <f t="shared" ref="AC189" si="525">IF(H189="","",H189-D189)</f>
        <v/>
      </c>
      <c r="AD189" s="378" t="str">
        <f t="shared" ref="AD189" si="526">IF(N189=0,"",((N189/AE189)*24)/24)</f>
        <v/>
      </c>
      <c r="AE189" s="412">
        <f t="shared" ref="AE189" si="527">IF(G189="",0,(G189-F189)-(AJ189-AI189)-(AG189-AF189))</f>
        <v>0</v>
      </c>
      <c r="AF189" s="411"/>
      <c r="AG189" s="411"/>
      <c r="AH189" s="411">
        <f t="shared" ref="AH189" si="528">AG189-AF189</f>
        <v>0</v>
      </c>
      <c r="AI189" s="411"/>
      <c r="AJ189" s="411"/>
      <c r="AK189" s="411">
        <f t="shared" ref="AK189" si="529">AJ189-AI189</f>
        <v>0</v>
      </c>
      <c r="AL189" s="396"/>
      <c r="AM189" s="70"/>
      <c r="AN189" s="70"/>
      <c r="AO189" s="71"/>
      <c r="AP189" s="71"/>
      <c r="AQ189" s="104"/>
      <c r="AS189" s="82">
        <f t="shared" si="359"/>
        <v>0</v>
      </c>
      <c r="AT189" s="311">
        <f t="shared" si="360"/>
        <v>0</v>
      </c>
      <c r="AU189" s="82"/>
      <c r="AV189" s="218">
        <f t="shared" si="522"/>
        <v>0</v>
      </c>
      <c r="AW189" s="218">
        <f t="shared" si="522"/>
        <v>0</v>
      </c>
      <c r="AX189" s="219">
        <f t="shared" si="361"/>
        <v>0</v>
      </c>
      <c r="AY189" s="219">
        <f t="shared" si="362"/>
        <v>0</v>
      </c>
      <c r="AZ189" s="136">
        <f t="shared" si="363"/>
        <v>0</v>
      </c>
    </row>
    <row r="190" spans="2:52" s="102" customFormat="1" ht="17.45" hidden="1" customHeight="1" outlineLevel="1">
      <c r="B190" s="402"/>
      <c r="C190" s="400"/>
      <c r="D190" s="403"/>
      <c r="E190" s="403"/>
      <c r="F190" s="403"/>
      <c r="G190" s="64"/>
      <c r="H190" s="64"/>
      <c r="I190" s="65"/>
      <c r="J190" s="66"/>
      <c r="K190" s="69"/>
      <c r="L190" s="67"/>
      <c r="M190" s="67"/>
      <c r="N190" s="77"/>
      <c r="O190" s="78"/>
      <c r="P190" s="78"/>
      <c r="Q190" s="69"/>
      <c r="R190" s="70"/>
      <c r="S190" s="70"/>
      <c r="T190" s="70"/>
      <c r="U190" s="70"/>
      <c r="V190" s="70"/>
      <c r="W190" s="69"/>
      <c r="X190" s="69"/>
      <c r="Y190" s="204"/>
      <c r="Z190" s="72"/>
      <c r="AA190" s="411"/>
      <c r="AB190" s="411"/>
      <c r="AC190" s="411"/>
      <c r="AD190" s="378"/>
      <c r="AE190" s="398"/>
      <c r="AF190" s="398"/>
      <c r="AG190" s="398"/>
      <c r="AH190" s="398"/>
      <c r="AI190" s="398"/>
      <c r="AJ190" s="398"/>
      <c r="AK190" s="398"/>
      <c r="AL190" s="396"/>
      <c r="AM190" s="70"/>
      <c r="AN190" s="70"/>
      <c r="AO190" s="71"/>
      <c r="AP190" s="71"/>
      <c r="AQ190" s="106"/>
      <c r="AS190" s="82">
        <f t="shared" si="359"/>
        <v>0</v>
      </c>
      <c r="AT190" s="311">
        <f t="shared" si="360"/>
        <v>0</v>
      </c>
      <c r="AU190" s="82"/>
      <c r="AV190" s="218">
        <f t="shared" si="522"/>
        <v>0</v>
      </c>
      <c r="AW190" s="218">
        <f t="shared" si="522"/>
        <v>0</v>
      </c>
      <c r="AX190" s="219">
        <f t="shared" si="361"/>
        <v>0</v>
      </c>
      <c r="AY190" s="219">
        <f t="shared" si="362"/>
        <v>0</v>
      </c>
      <c r="AZ190" s="136">
        <f t="shared" si="363"/>
        <v>0</v>
      </c>
    </row>
    <row r="191" spans="2:52" s="102" customFormat="1" ht="17.45" hidden="1" customHeight="1" outlineLevel="1">
      <c r="B191" s="402"/>
      <c r="C191" s="400"/>
      <c r="D191" s="403"/>
      <c r="E191" s="403"/>
      <c r="F191" s="403"/>
      <c r="G191" s="403"/>
      <c r="H191" s="403"/>
      <c r="I191" s="405"/>
      <c r="J191" s="406"/>
      <c r="K191" s="407"/>
      <c r="L191" s="408"/>
      <c r="M191" s="408"/>
      <c r="N191" s="408"/>
      <c r="O191" s="409"/>
      <c r="P191" s="407"/>
      <c r="Q191" s="407"/>
      <c r="R191" s="396"/>
      <c r="S191" s="396"/>
      <c r="T191" s="396"/>
      <c r="U191" s="396"/>
      <c r="V191" s="396"/>
      <c r="W191" s="407"/>
      <c r="X191" s="407"/>
      <c r="Y191" s="410"/>
      <c r="Z191" s="411"/>
      <c r="AA191" s="376" t="str">
        <f t="shared" ref="AA191" si="530">IF(E191="","",E191-D191+AH191+AK191)</f>
        <v/>
      </c>
      <c r="AB191" s="376" t="str">
        <f t="shared" ref="AB191" si="531">IF(G191="","",G191-D191)</f>
        <v/>
      </c>
      <c r="AC191" s="377" t="str">
        <f t="shared" ref="AC191" si="532">IF(H191="","",H191-D191)</f>
        <v/>
      </c>
      <c r="AD191" s="378" t="str">
        <f t="shared" ref="AD191" si="533">IF(N191=0,"",((N191/AE191)*24)/24)</f>
        <v/>
      </c>
      <c r="AE191" s="412">
        <f t="shared" ref="AE191" si="534">IF(G191="",0,(G191-F191)-(AJ191-AI191)-(AG191-AF191))</f>
        <v>0</v>
      </c>
      <c r="AF191" s="411"/>
      <c r="AG191" s="411"/>
      <c r="AH191" s="411">
        <f t="shared" ref="AH191" si="535">AG191-AF191</f>
        <v>0</v>
      </c>
      <c r="AI191" s="411"/>
      <c r="AJ191" s="411"/>
      <c r="AK191" s="411">
        <f t="shared" ref="AK191" si="536">AJ191-AI191</f>
        <v>0</v>
      </c>
      <c r="AL191" s="396"/>
      <c r="AM191" s="421"/>
      <c r="AN191" s="421"/>
      <c r="AO191" s="400"/>
      <c r="AP191" s="400"/>
      <c r="AQ191" s="419"/>
      <c r="AS191" s="82">
        <f t="shared" si="359"/>
        <v>0</v>
      </c>
      <c r="AT191" s="311">
        <f t="shared" si="360"/>
        <v>0</v>
      </c>
      <c r="AU191" s="82"/>
      <c r="AV191" s="218">
        <f t="shared" si="522"/>
        <v>0</v>
      </c>
      <c r="AW191" s="218">
        <f t="shared" si="522"/>
        <v>0</v>
      </c>
      <c r="AX191" s="219">
        <f t="shared" si="361"/>
        <v>0</v>
      </c>
      <c r="AY191" s="219">
        <f t="shared" si="362"/>
        <v>0</v>
      </c>
      <c r="AZ191" s="136">
        <f t="shared" si="363"/>
        <v>0</v>
      </c>
    </row>
    <row r="192" spans="2:52" s="82" customFormat="1" ht="17.45" hidden="1" customHeight="1" outlineLevel="1">
      <c r="B192" s="402"/>
      <c r="C192" s="400"/>
      <c r="D192" s="403"/>
      <c r="E192" s="404"/>
      <c r="F192" s="404"/>
      <c r="G192" s="404"/>
      <c r="H192" s="404"/>
      <c r="I192" s="405"/>
      <c r="J192" s="406"/>
      <c r="K192" s="407"/>
      <c r="L192" s="408"/>
      <c r="M192" s="408"/>
      <c r="N192" s="408"/>
      <c r="O192" s="409"/>
      <c r="P192" s="409"/>
      <c r="Q192" s="407"/>
      <c r="R192" s="396"/>
      <c r="S192" s="396"/>
      <c r="T192" s="396"/>
      <c r="U192" s="414"/>
      <c r="V192" s="396"/>
      <c r="W192" s="415"/>
      <c r="X192" s="415"/>
      <c r="Y192" s="416"/>
      <c r="Z192" s="417"/>
      <c r="AA192" s="411"/>
      <c r="AB192" s="411"/>
      <c r="AC192" s="411"/>
      <c r="AD192" s="378"/>
      <c r="AE192" s="398"/>
      <c r="AF192" s="398"/>
      <c r="AG192" s="398"/>
      <c r="AH192" s="398"/>
      <c r="AI192" s="398"/>
      <c r="AJ192" s="398"/>
      <c r="AK192" s="398"/>
      <c r="AL192" s="396"/>
      <c r="AM192" s="414"/>
      <c r="AN192" s="414"/>
      <c r="AO192" s="414"/>
      <c r="AP192" s="414"/>
      <c r="AQ192" s="418"/>
      <c r="AS192" s="82">
        <f t="shared" si="359"/>
        <v>0</v>
      </c>
      <c r="AT192" s="311">
        <f t="shared" si="360"/>
        <v>0</v>
      </c>
      <c r="AV192" s="218">
        <f t="shared" si="522"/>
        <v>0</v>
      </c>
      <c r="AW192" s="218">
        <f t="shared" si="522"/>
        <v>0</v>
      </c>
      <c r="AX192" s="219">
        <f t="shared" si="361"/>
        <v>0</v>
      </c>
      <c r="AY192" s="219">
        <f t="shared" si="362"/>
        <v>0</v>
      </c>
      <c r="AZ192" s="136">
        <f t="shared" si="363"/>
        <v>0</v>
      </c>
    </row>
    <row r="193" spans="2:52" s="82" customFormat="1" ht="17.45" hidden="1" customHeight="1" outlineLevel="1">
      <c r="B193" s="402"/>
      <c r="C193" s="400"/>
      <c r="D193" s="403"/>
      <c r="E193" s="403"/>
      <c r="F193" s="403"/>
      <c r="G193" s="403"/>
      <c r="H193" s="403"/>
      <c r="I193" s="405"/>
      <c r="J193" s="406"/>
      <c r="K193" s="407"/>
      <c r="L193" s="408"/>
      <c r="M193" s="408"/>
      <c r="N193" s="408"/>
      <c r="O193" s="409"/>
      <c r="P193" s="407"/>
      <c r="Q193" s="407"/>
      <c r="R193" s="396"/>
      <c r="S193" s="396"/>
      <c r="T193" s="396"/>
      <c r="U193" s="396"/>
      <c r="V193" s="396"/>
      <c r="W193" s="407"/>
      <c r="X193" s="407"/>
      <c r="Y193" s="410"/>
      <c r="Z193" s="411"/>
      <c r="AA193" s="376" t="str">
        <f t="shared" ref="AA193" si="537">IF(E193="","",E193-D193+AH193+AK193)</f>
        <v/>
      </c>
      <c r="AB193" s="376" t="str">
        <f t="shared" ref="AB193" si="538">IF(G193="","",G193-D193)</f>
        <v/>
      </c>
      <c r="AC193" s="377" t="str">
        <f t="shared" ref="AC193" si="539">IF(H193="","",H193-D193)</f>
        <v/>
      </c>
      <c r="AD193" s="378" t="str">
        <f t="shared" ref="AD193" si="540">IF(N193=0,"",((N193/AE193)*24)/24)</f>
        <v/>
      </c>
      <c r="AE193" s="412">
        <f t="shared" ref="AE193" si="541">IF(G193="",0,(G193-F193)-(AJ193-AI193)-(AG193-AF193))</f>
        <v>0</v>
      </c>
      <c r="AF193" s="411"/>
      <c r="AG193" s="411"/>
      <c r="AH193" s="411">
        <f t="shared" ref="AH193" si="542">AG193-AF193</f>
        <v>0</v>
      </c>
      <c r="AI193" s="411"/>
      <c r="AJ193" s="411"/>
      <c r="AK193" s="411">
        <f t="shared" ref="AK193" si="543">AJ193-AI193</f>
        <v>0</v>
      </c>
      <c r="AL193" s="396"/>
      <c r="AM193" s="396"/>
      <c r="AN193" s="396"/>
      <c r="AO193" s="400"/>
      <c r="AP193" s="400"/>
      <c r="AQ193" s="413"/>
      <c r="AS193" s="82">
        <f t="shared" si="359"/>
        <v>0</v>
      </c>
      <c r="AT193" s="311">
        <f t="shared" si="360"/>
        <v>0</v>
      </c>
      <c r="AV193" s="218">
        <f t="shared" si="522"/>
        <v>0</v>
      </c>
      <c r="AW193" s="218">
        <f t="shared" si="522"/>
        <v>0</v>
      </c>
      <c r="AX193" s="219">
        <f t="shared" si="361"/>
        <v>0</v>
      </c>
      <c r="AY193" s="219">
        <f t="shared" si="362"/>
        <v>0</v>
      </c>
      <c r="AZ193" s="136">
        <f t="shared" si="363"/>
        <v>0</v>
      </c>
    </row>
    <row r="194" spans="2:52" s="82" customFormat="1" ht="17.45" hidden="1" customHeight="1" outlineLevel="1">
      <c r="B194" s="402"/>
      <c r="C194" s="400"/>
      <c r="D194" s="403"/>
      <c r="E194" s="404"/>
      <c r="F194" s="404"/>
      <c r="G194" s="404"/>
      <c r="H194" s="404"/>
      <c r="I194" s="405"/>
      <c r="J194" s="406"/>
      <c r="K194" s="407"/>
      <c r="L194" s="408"/>
      <c r="M194" s="408"/>
      <c r="N194" s="408"/>
      <c r="O194" s="409"/>
      <c r="P194" s="409"/>
      <c r="Q194" s="407"/>
      <c r="R194" s="396"/>
      <c r="S194" s="396"/>
      <c r="T194" s="396"/>
      <c r="U194" s="396"/>
      <c r="V194" s="396"/>
      <c r="W194" s="407"/>
      <c r="X194" s="407"/>
      <c r="Y194" s="410"/>
      <c r="Z194" s="411"/>
      <c r="AA194" s="411"/>
      <c r="AB194" s="411"/>
      <c r="AC194" s="411"/>
      <c r="AD194" s="378"/>
      <c r="AE194" s="398"/>
      <c r="AF194" s="398"/>
      <c r="AG194" s="398"/>
      <c r="AH194" s="398"/>
      <c r="AI194" s="398"/>
      <c r="AJ194" s="398"/>
      <c r="AK194" s="398"/>
      <c r="AL194" s="396"/>
      <c r="AM194" s="396"/>
      <c r="AN194" s="396"/>
      <c r="AO194" s="414"/>
      <c r="AP194" s="414"/>
      <c r="AQ194" s="418"/>
      <c r="AS194" s="82">
        <f t="shared" si="359"/>
        <v>0</v>
      </c>
      <c r="AT194" s="311">
        <f t="shared" si="360"/>
        <v>0</v>
      </c>
      <c r="AV194" s="218">
        <f t="shared" si="522"/>
        <v>0</v>
      </c>
      <c r="AW194" s="218">
        <f t="shared" si="522"/>
        <v>0</v>
      </c>
      <c r="AX194" s="219">
        <f t="shared" si="361"/>
        <v>0</v>
      </c>
      <c r="AY194" s="219">
        <f t="shared" si="362"/>
        <v>0</v>
      </c>
      <c r="AZ194" s="136">
        <f t="shared" si="363"/>
        <v>0</v>
      </c>
    </row>
    <row r="195" spans="2:52" s="82" customFormat="1" ht="17.45" hidden="1" customHeight="1" outlineLevel="1">
      <c r="B195" s="402"/>
      <c r="C195" s="400"/>
      <c r="D195" s="403"/>
      <c r="E195" s="404"/>
      <c r="F195" s="404"/>
      <c r="G195" s="404"/>
      <c r="H195" s="404"/>
      <c r="I195" s="405"/>
      <c r="J195" s="406"/>
      <c r="K195" s="407"/>
      <c r="L195" s="408"/>
      <c r="M195" s="408"/>
      <c r="N195" s="408"/>
      <c r="O195" s="409"/>
      <c r="P195" s="409"/>
      <c r="Q195" s="407"/>
      <c r="R195" s="396"/>
      <c r="S195" s="396"/>
      <c r="T195" s="396"/>
      <c r="U195" s="396"/>
      <c r="V195" s="396"/>
      <c r="W195" s="415"/>
      <c r="X195" s="415"/>
      <c r="Y195" s="416"/>
      <c r="Z195" s="417"/>
      <c r="AA195" s="376" t="str">
        <f t="shared" ref="AA195" si="544">IF(E195="","",E195-D195+AH195+AK195)</f>
        <v/>
      </c>
      <c r="AB195" s="376" t="str">
        <f t="shared" ref="AB195" si="545">IF(G195="","",G195-D195)</f>
        <v/>
      </c>
      <c r="AC195" s="377" t="str">
        <f t="shared" ref="AC195" si="546">IF(H195="","",H195-D195)</f>
        <v/>
      </c>
      <c r="AD195" s="378" t="str">
        <f t="shared" ref="AD195" si="547">IF(N195=0,"",((N195/AE195)*24)/24)</f>
        <v/>
      </c>
      <c r="AE195" s="412">
        <f t="shared" ref="AE195" si="548">IF(G195="",0,(G195-F195)-(AJ195-AI195)-(AG195-AF195))</f>
        <v>0</v>
      </c>
      <c r="AF195" s="411"/>
      <c r="AG195" s="411"/>
      <c r="AH195" s="411">
        <f t="shared" ref="AH195" si="549">AG195-AF195</f>
        <v>0</v>
      </c>
      <c r="AI195" s="411"/>
      <c r="AJ195" s="411"/>
      <c r="AK195" s="411">
        <f t="shared" ref="AK195" si="550">AJ195-AI195</f>
        <v>0</v>
      </c>
      <c r="AL195" s="396"/>
      <c r="AM195" s="421"/>
      <c r="AN195" s="421"/>
      <c r="AO195" s="414"/>
      <c r="AP195" s="414"/>
      <c r="AQ195" s="413"/>
      <c r="AS195" s="82">
        <f t="shared" si="359"/>
        <v>0</v>
      </c>
      <c r="AT195" s="311">
        <f t="shared" si="360"/>
        <v>0</v>
      </c>
      <c r="AV195" s="218">
        <f t="shared" si="522"/>
        <v>0</v>
      </c>
      <c r="AW195" s="218">
        <f t="shared" si="522"/>
        <v>0</v>
      </c>
      <c r="AX195" s="219">
        <f t="shared" si="361"/>
        <v>0</v>
      </c>
      <c r="AY195" s="219">
        <f t="shared" si="362"/>
        <v>0</v>
      </c>
      <c r="AZ195" s="136">
        <f t="shared" si="363"/>
        <v>0</v>
      </c>
    </row>
    <row r="196" spans="2:52" s="82" customFormat="1" ht="17.45" hidden="1" customHeight="1" outlineLevel="1">
      <c r="B196" s="402"/>
      <c r="C196" s="400"/>
      <c r="D196" s="403"/>
      <c r="E196" s="404"/>
      <c r="F196" s="404"/>
      <c r="G196" s="404"/>
      <c r="H196" s="404"/>
      <c r="I196" s="405"/>
      <c r="J196" s="406"/>
      <c r="K196" s="407"/>
      <c r="L196" s="408"/>
      <c r="M196" s="408"/>
      <c r="N196" s="408"/>
      <c r="O196" s="409"/>
      <c r="P196" s="409"/>
      <c r="Q196" s="407"/>
      <c r="R196" s="396"/>
      <c r="S196" s="396"/>
      <c r="T196" s="396"/>
      <c r="U196" s="396"/>
      <c r="V196" s="396"/>
      <c r="W196" s="415"/>
      <c r="X196" s="415"/>
      <c r="Y196" s="416"/>
      <c r="Z196" s="417"/>
      <c r="AA196" s="411"/>
      <c r="AB196" s="411"/>
      <c r="AC196" s="411"/>
      <c r="AD196" s="378"/>
      <c r="AE196" s="398"/>
      <c r="AF196" s="398"/>
      <c r="AG196" s="398"/>
      <c r="AH196" s="398"/>
      <c r="AI196" s="398"/>
      <c r="AJ196" s="398"/>
      <c r="AK196" s="398"/>
      <c r="AL196" s="396"/>
      <c r="AM196" s="421"/>
      <c r="AN196" s="421"/>
      <c r="AO196" s="414"/>
      <c r="AP196" s="414"/>
      <c r="AQ196" s="413"/>
      <c r="AS196" s="82">
        <f t="shared" si="359"/>
        <v>0</v>
      </c>
      <c r="AT196" s="311">
        <f t="shared" si="360"/>
        <v>0</v>
      </c>
      <c r="AV196" s="218">
        <f t="shared" si="522"/>
        <v>0</v>
      </c>
      <c r="AW196" s="218">
        <f t="shared" si="522"/>
        <v>0</v>
      </c>
      <c r="AX196" s="219">
        <f t="shared" si="361"/>
        <v>0</v>
      </c>
      <c r="AY196" s="219">
        <f t="shared" si="362"/>
        <v>0</v>
      </c>
      <c r="AZ196" s="136">
        <f t="shared" si="363"/>
        <v>0</v>
      </c>
    </row>
    <row r="197" spans="2:52" s="82" customFormat="1" ht="17.45" hidden="1" customHeight="1" outlineLevel="1">
      <c r="B197" s="402"/>
      <c r="C197" s="400"/>
      <c r="D197" s="403"/>
      <c r="E197" s="403"/>
      <c r="F197" s="403"/>
      <c r="G197" s="403"/>
      <c r="H197" s="403"/>
      <c r="I197" s="405"/>
      <c r="J197" s="406"/>
      <c r="K197" s="407"/>
      <c r="L197" s="408"/>
      <c r="M197" s="408"/>
      <c r="N197" s="408"/>
      <c r="O197" s="409"/>
      <c r="P197" s="407"/>
      <c r="Q197" s="407"/>
      <c r="R197" s="396"/>
      <c r="S197" s="396"/>
      <c r="T197" s="396"/>
      <c r="U197" s="396"/>
      <c r="V197" s="396"/>
      <c r="W197" s="407"/>
      <c r="X197" s="407"/>
      <c r="Y197" s="410"/>
      <c r="Z197" s="411"/>
      <c r="AA197" s="376" t="str">
        <f t="shared" ref="AA197" si="551">IF(E197="","",E197-D197+AH197+AK197)</f>
        <v/>
      </c>
      <c r="AB197" s="376" t="str">
        <f t="shared" ref="AB197" si="552">IF(G197="","",G197-D197)</f>
        <v/>
      </c>
      <c r="AC197" s="377" t="str">
        <f t="shared" ref="AC197" si="553">IF(H197="","",H197-D197)</f>
        <v/>
      </c>
      <c r="AD197" s="378" t="str">
        <f t="shared" ref="AD197" si="554">IF(N197=0,"",((N197/AE197)*24)/24)</f>
        <v/>
      </c>
      <c r="AE197" s="412">
        <f t="shared" ref="AE197" si="555">IF(G197="",0,(G197-F197)-(AJ197-AI197)-(AG197-AF197))</f>
        <v>0</v>
      </c>
      <c r="AF197" s="411"/>
      <c r="AG197" s="411"/>
      <c r="AH197" s="411">
        <f t="shared" ref="AH197" si="556">AG197-AF197</f>
        <v>0</v>
      </c>
      <c r="AI197" s="411"/>
      <c r="AJ197" s="411"/>
      <c r="AK197" s="411">
        <f t="shared" ref="AK197" si="557">AJ197-AI197</f>
        <v>0</v>
      </c>
      <c r="AL197" s="396"/>
      <c r="AM197" s="396"/>
      <c r="AN197" s="396"/>
      <c r="AO197" s="400"/>
      <c r="AP197" s="400"/>
      <c r="AQ197" s="419"/>
      <c r="AS197" s="82">
        <f t="shared" si="359"/>
        <v>0</v>
      </c>
      <c r="AT197" s="311">
        <f t="shared" si="360"/>
        <v>0</v>
      </c>
      <c r="AV197" s="218">
        <f t="shared" si="522"/>
        <v>0</v>
      </c>
      <c r="AW197" s="218">
        <f t="shared" si="522"/>
        <v>0</v>
      </c>
      <c r="AX197" s="219">
        <f t="shared" si="361"/>
        <v>0</v>
      </c>
      <c r="AY197" s="219">
        <f t="shared" si="362"/>
        <v>0</v>
      </c>
      <c r="AZ197" s="136">
        <f t="shared" si="363"/>
        <v>0</v>
      </c>
    </row>
    <row r="198" spans="2:52" s="82" customFormat="1" ht="17.45" hidden="1" customHeight="1" outlineLevel="1" collapsed="1">
      <c r="B198" s="402"/>
      <c r="C198" s="400"/>
      <c r="D198" s="403"/>
      <c r="E198" s="403"/>
      <c r="F198" s="403"/>
      <c r="G198" s="403"/>
      <c r="H198" s="403"/>
      <c r="I198" s="403"/>
      <c r="J198" s="403"/>
      <c r="K198" s="407"/>
      <c r="L198" s="408"/>
      <c r="M198" s="408"/>
      <c r="N198" s="408"/>
      <c r="O198" s="393"/>
      <c r="P198" s="393"/>
      <c r="Q198" s="407"/>
      <c r="R198" s="396"/>
      <c r="S198" s="396"/>
      <c r="T198" s="396"/>
      <c r="U198" s="396"/>
      <c r="V198" s="396"/>
      <c r="W198" s="407"/>
      <c r="X198" s="407"/>
      <c r="Y198" s="410"/>
      <c r="Z198" s="411"/>
      <c r="AA198" s="411"/>
      <c r="AB198" s="411"/>
      <c r="AC198" s="411"/>
      <c r="AD198" s="378"/>
      <c r="AE198" s="398"/>
      <c r="AF198" s="398"/>
      <c r="AG198" s="398"/>
      <c r="AH198" s="398"/>
      <c r="AI198" s="398"/>
      <c r="AJ198" s="398"/>
      <c r="AK198" s="398"/>
      <c r="AL198" s="396"/>
      <c r="AM198" s="396"/>
      <c r="AN198" s="396"/>
      <c r="AO198" s="400"/>
      <c r="AP198" s="400"/>
      <c r="AQ198" s="418"/>
      <c r="AS198" s="82">
        <f t="shared" si="359"/>
        <v>0</v>
      </c>
      <c r="AT198" s="311">
        <f t="shared" si="360"/>
        <v>0</v>
      </c>
      <c r="AV198" s="218">
        <f t="shared" si="522"/>
        <v>0</v>
      </c>
      <c r="AW198" s="218">
        <f t="shared" si="522"/>
        <v>0</v>
      </c>
      <c r="AX198" s="219">
        <f t="shared" si="361"/>
        <v>0</v>
      </c>
      <c r="AY198" s="219">
        <f t="shared" si="362"/>
        <v>0</v>
      </c>
      <c r="AZ198" s="136">
        <f t="shared" si="363"/>
        <v>0</v>
      </c>
    </row>
    <row r="199" spans="2:52" s="82" customFormat="1" ht="17.45" hidden="1" customHeight="1" outlineLevel="1" thickBot="1">
      <c r="B199" s="108"/>
      <c r="C199" s="91"/>
      <c r="D199" s="92"/>
      <c r="E199" s="92"/>
      <c r="F199" s="92"/>
      <c r="G199" s="92"/>
      <c r="H199" s="92"/>
      <c r="I199" s="150">
        <f>IFERROR(AVERAGE(I176:I198),0)</f>
        <v>0</v>
      </c>
      <c r="J199" s="150">
        <f>IFERROR(AVERAGE(J176:J198),0)</f>
        <v>0</v>
      </c>
      <c r="K199" s="95">
        <f>SUM(K176:K198)</f>
        <v>0</v>
      </c>
      <c r="L199" s="94">
        <f>SUM(L176:L198)</f>
        <v>0</v>
      </c>
      <c r="M199" s="94">
        <f>SUM(M176:M198)</f>
        <v>0</v>
      </c>
      <c r="N199" s="93">
        <f>SUM(N176:N198)</f>
        <v>0</v>
      </c>
      <c r="O199" s="95"/>
      <c r="P199" s="95"/>
      <c r="Q199" s="95"/>
      <c r="R199" s="91"/>
      <c r="S199" s="91"/>
      <c r="T199" s="97"/>
      <c r="U199" s="96"/>
      <c r="V199" s="97"/>
      <c r="W199" s="98"/>
      <c r="X199" s="98"/>
      <c r="Y199" s="207"/>
      <c r="Z199" s="99"/>
      <c r="AA199" s="99"/>
      <c r="AB199" s="99"/>
      <c r="AC199" s="99"/>
      <c r="AD199" s="99"/>
      <c r="AE199" s="99"/>
      <c r="AF199" s="99"/>
      <c r="AG199" s="99"/>
      <c r="AH199" s="99"/>
      <c r="AI199" s="99"/>
      <c r="AJ199" s="99"/>
      <c r="AK199" s="99"/>
      <c r="AL199" s="100"/>
      <c r="AM199" s="100"/>
      <c r="AN199" s="100"/>
      <c r="AO199" s="96"/>
      <c r="AP199" s="96"/>
      <c r="AQ199" s="109"/>
      <c r="AS199" s="82">
        <f t="shared" ref="AS199:AS224" si="558">B199</f>
        <v>0</v>
      </c>
      <c r="AT199" s="311">
        <f t="shared" ref="AT199:AT224" si="559">K199</f>
        <v>0</v>
      </c>
      <c r="AV199" s="218">
        <f t="shared" si="522"/>
        <v>0</v>
      </c>
      <c r="AW199" s="218">
        <f t="shared" si="522"/>
        <v>0</v>
      </c>
      <c r="AX199" s="219">
        <f t="shared" ref="AX199:AX224" si="560">IF(AV199+AW199=2,0.5,AV199)</f>
        <v>0</v>
      </c>
      <c r="AY199" s="219">
        <f t="shared" ref="AY199:AY224" si="561">IF(AV199+AW199=2,0.5,AW199)</f>
        <v>0</v>
      </c>
      <c r="AZ199" s="136">
        <f t="shared" ref="AZ199:AZ224" si="562">AX199+AY199</f>
        <v>0</v>
      </c>
    </row>
    <row r="200" spans="2:52" ht="24.95" hidden="1" customHeight="1" outlineLevel="1" thickBot="1">
      <c r="B200" s="246" t="s">
        <v>252</v>
      </c>
      <c r="C200" s="117"/>
      <c r="D200" s="117"/>
      <c r="E200" s="117"/>
      <c r="F200" s="117"/>
      <c r="G200" s="117"/>
      <c r="H200" s="117"/>
      <c r="I200" s="117"/>
      <c r="J200" s="117"/>
      <c r="K200" s="117"/>
      <c r="L200" s="146"/>
      <c r="M200" s="146"/>
      <c r="N200" s="146"/>
      <c r="O200" s="117"/>
      <c r="P200" s="117"/>
      <c r="Q200" s="117"/>
      <c r="R200" s="117"/>
      <c r="S200" s="117"/>
      <c r="T200" s="475"/>
      <c r="U200" s="117"/>
      <c r="V200" s="117"/>
      <c r="W200" s="117"/>
      <c r="X200" s="117"/>
      <c r="Y200" s="208"/>
      <c r="Z200" s="117"/>
      <c r="AA200" s="117"/>
      <c r="AB200" s="117"/>
      <c r="AC200" s="117"/>
      <c r="AD200" s="117"/>
      <c r="AE200" s="117"/>
      <c r="AF200" s="117"/>
      <c r="AG200" s="117"/>
      <c r="AH200" s="117"/>
      <c r="AI200" s="117"/>
      <c r="AJ200" s="117"/>
      <c r="AK200" s="117"/>
      <c r="AL200" s="117"/>
      <c r="AM200" s="117"/>
      <c r="AN200" s="117"/>
      <c r="AO200" s="117"/>
      <c r="AP200" s="117"/>
      <c r="AQ200" s="118"/>
      <c r="AS200" s="82" t="str">
        <f t="shared" si="558"/>
        <v>2022년 12월 반입 예정 선박리스트</v>
      </c>
      <c r="AT200" s="311">
        <f t="shared" si="559"/>
        <v>0</v>
      </c>
      <c r="AU200" s="82"/>
      <c r="AV200" s="218">
        <f t="shared" si="522"/>
        <v>0</v>
      </c>
      <c r="AW200" s="218">
        <f t="shared" si="522"/>
        <v>0</v>
      </c>
      <c r="AX200" s="219">
        <f t="shared" si="560"/>
        <v>0</v>
      </c>
      <c r="AY200" s="219">
        <f t="shared" si="561"/>
        <v>0</v>
      </c>
      <c r="AZ200" s="136">
        <f t="shared" si="562"/>
        <v>0</v>
      </c>
    </row>
    <row r="201" spans="2:52" s="82" customFormat="1" ht="17.45" hidden="1" customHeight="1" outlineLevel="1">
      <c r="B201" s="402"/>
      <c r="C201" s="400"/>
      <c r="D201" s="403"/>
      <c r="E201" s="64"/>
      <c r="F201" s="64"/>
      <c r="G201" s="64"/>
      <c r="H201" s="64"/>
      <c r="I201" s="58"/>
      <c r="J201" s="58"/>
      <c r="K201" s="69"/>
      <c r="L201" s="67"/>
      <c r="M201" s="67"/>
      <c r="N201" s="67"/>
      <c r="O201" s="69"/>
      <c r="P201" s="69"/>
      <c r="Q201" s="69"/>
      <c r="R201" s="70"/>
      <c r="S201" s="70"/>
      <c r="T201" s="70"/>
      <c r="U201" s="70"/>
      <c r="V201" s="70"/>
      <c r="W201" s="69"/>
      <c r="X201" s="69"/>
      <c r="Y201" s="204"/>
      <c r="Z201" s="72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59"/>
      <c r="AM201" s="70"/>
      <c r="AN201" s="70"/>
      <c r="AO201" s="71"/>
      <c r="AP201" s="61"/>
      <c r="AQ201" s="104"/>
      <c r="AS201" s="82">
        <f t="shared" si="558"/>
        <v>0</v>
      </c>
      <c r="AT201" s="311">
        <f t="shared" si="559"/>
        <v>0</v>
      </c>
      <c r="AV201" s="218">
        <f t="shared" si="522"/>
        <v>0</v>
      </c>
      <c r="AW201" s="218">
        <f t="shared" si="522"/>
        <v>0</v>
      </c>
      <c r="AX201" s="219">
        <f t="shared" si="560"/>
        <v>0</v>
      </c>
      <c r="AY201" s="219">
        <f t="shared" si="561"/>
        <v>0</v>
      </c>
      <c r="AZ201" s="136">
        <f t="shared" si="562"/>
        <v>0</v>
      </c>
    </row>
    <row r="202" spans="2:52" s="102" customFormat="1" ht="17.45" hidden="1" customHeight="1" outlineLevel="1">
      <c r="B202" s="105"/>
      <c r="C202" s="71"/>
      <c r="D202" s="64"/>
      <c r="E202" s="64"/>
      <c r="F202" s="64"/>
      <c r="G202" s="64"/>
      <c r="H202" s="64"/>
      <c r="I202" s="405"/>
      <c r="J202" s="406"/>
      <c r="K202" s="69"/>
      <c r="L202" s="67"/>
      <c r="M202" s="67"/>
      <c r="N202" s="408"/>
      <c r="O202" s="68"/>
      <c r="P202" s="68"/>
      <c r="Q202" s="69"/>
      <c r="R202" s="70"/>
      <c r="S202" s="70"/>
      <c r="T202" s="70"/>
      <c r="U202" s="73"/>
      <c r="V202" s="70"/>
      <c r="W202" s="69"/>
      <c r="X202" s="69"/>
      <c r="Y202" s="204"/>
      <c r="Z202" s="72"/>
      <c r="AA202" s="376" t="str">
        <f t="shared" ref="AA202" si="563">IF(E202="","",E202-D202+AH202+AK202)</f>
        <v/>
      </c>
      <c r="AB202" s="376" t="str">
        <f t="shared" ref="AB202" si="564">IF(G202="","",G202-D202)</f>
        <v/>
      </c>
      <c r="AC202" s="377" t="str">
        <f t="shared" ref="AC202" si="565">IF(H202="","",H202-D202)</f>
        <v/>
      </c>
      <c r="AD202" s="378" t="str">
        <f t="shared" ref="AD202" si="566">IF(N202=0,"",((N202/AE202)*24)/24)</f>
        <v/>
      </c>
      <c r="AE202" s="412">
        <f t="shared" ref="AE202" si="567">IF(G202="",0,(G202-F202)-(AJ202-AI202)-(AG202-AF202))</f>
        <v>0</v>
      </c>
      <c r="AF202" s="411"/>
      <c r="AG202" s="411"/>
      <c r="AH202" s="411">
        <f t="shared" ref="AH202" si="568">AG202-AF202</f>
        <v>0</v>
      </c>
      <c r="AI202" s="411"/>
      <c r="AJ202" s="411"/>
      <c r="AK202" s="411">
        <f t="shared" ref="AK202" si="569">AJ202-AI202</f>
        <v>0</v>
      </c>
      <c r="AL202" s="396"/>
      <c r="AM202" s="70"/>
      <c r="AN202" s="70"/>
      <c r="AO202" s="71"/>
      <c r="AP202" s="71"/>
      <c r="AQ202" s="104"/>
      <c r="AS202" s="82">
        <f t="shared" si="558"/>
        <v>0</v>
      </c>
      <c r="AT202" s="311">
        <f t="shared" si="559"/>
        <v>0</v>
      </c>
      <c r="AU202" s="82"/>
      <c r="AV202" s="218">
        <f t="shared" si="522"/>
        <v>0</v>
      </c>
      <c r="AW202" s="218">
        <f t="shared" si="522"/>
        <v>0</v>
      </c>
      <c r="AX202" s="219">
        <f t="shared" si="560"/>
        <v>0</v>
      </c>
      <c r="AY202" s="219">
        <f t="shared" si="561"/>
        <v>0</v>
      </c>
      <c r="AZ202" s="136">
        <f t="shared" si="562"/>
        <v>0</v>
      </c>
    </row>
    <row r="203" spans="2:52" s="102" customFormat="1" ht="17.45" hidden="1" customHeight="1" outlineLevel="1">
      <c r="B203" s="105"/>
      <c r="C203" s="71"/>
      <c r="D203" s="64"/>
      <c r="E203" s="64"/>
      <c r="F203" s="64"/>
      <c r="G203" s="64"/>
      <c r="H203" s="64"/>
      <c r="I203" s="65"/>
      <c r="J203" s="66"/>
      <c r="K203" s="69"/>
      <c r="L203" s="67"/>
      <c r="M203" s="67"/>
      <c r="N203" s="77"/>
      <c r="O203" s="78"/>
      <c r="P203" s="78"/>
      <c r="Q203" s="69"/>
      <c r="R203" s="70"/>
      <c r="S203" s="70"/>
      <c r="T203" s="70"/>
      <c r="U203" s="70"/>
      <c r="V203" s="70"/>
      <c r="W203" s="69"/>
      <c r="X203" s="69"/>
      <c r="Y203" s="204"/>
      <c r="Z203" s="72"/>
      <c r="AA203" s="411"/>
      <c r="AB203" s="411"/>
      <c r="AC203" s="411"/>
      <c r="AD203" s="378"/>
      <c r="AE203" s="398"/>
      <c r="AF203" s="398"/>
      <c r="AG203" s="398"/>
      <c r="AH203" s="398"/>
      <c r="AI203" s="398"/>
      <c r="AJ203" s="398"/>
      <c r="AK203" s="398"/>
      <c r="AL203" s="396"/>
      <c r="AM203" s="70"/>
      <c r="AN203" s="70"/>
      <c r="AO203" s="71"/>
      <c r="AP203" s="71"/>
      <c r="AQ203" s="106"/>
      <c r="AS203" s="82">
        <f t="shared" si="558"/>
        <v>0</v>
      </c>
      <c r="AT203" s="311">
        <f t="shared" si="559"/>
        <v>0</v>
      </c>
      <c r="AU203" s="82"/>
      <c r="AV203" s="218">
        <f t="shared" si="522"/>
        <v>0</v>
      </c>
      <c r="AW203" s="218">
        <f t="shared" si="522"/>
        <v>0</v>
      </c>
      <c r="AX203" s="219">
        <f t="shared" si="560"/>
        <v>0</v>
      </c>
      <c r="AY203" s="219">
        <f t="shared" si="561"/>
        <v>0</v>
      </c>
      <c r="AZ203" s="136">
        <f t="shared" si="562"/>
        <v>0</v>
      </c>
    </row>
    <row r="204" spans="2:52" s="102" customFormat="1" ht="17.45" hidden="1" customHeight="1" outlineLevel="1">
      <c r="B204" s="105"/>
      <c r="C204" s="459"/>
      <c r="D204" s="64"/>
      <c r="E204" s="64"/>
      <c r="F204" s="64"/>
      <c r="G204" s="64"/>
      <c r="H204" s="64"/>
      <c r="I204" s="65"/>
      <c r="J204" s="66"/>
      <c r="K204" s="69"/>
      <c r="L204" s="67"/>
      <c r="M204" s="67"/>
      <c r="N204" s="408"/>
      <c r="O204" s="68"/>
      <c r="P204" s="68"/>
      <c r="Q204" s="69"/>
      <c r="R204" s="70"/>
      <c r="S204" s="70"/>
      <c r="T204" s="70"/>
      <c r="U204" s="73"/>
      <c r="V204" s="70"/>
      <c r="W204" s="69"/>
      <c r="X204" s="69"/>
      <c r="Y204" s="204"/>
      <c r="Z204" s="72"/>
      <c r="AA204" s="376" t="str">
        <f t="shared" ref="AA204" si="570">IF(E204="","",E204-D204+AH204+AK204)</f>
        <v/>
      </c>
      <c r="AB204" s="376" t="str">
        <f t="shared" ref="AB204" si="571">IF(G204="","",G204-D204)</f>
        <v/>
      </c>
      <c r="AC204" s="377" t="str">
        <f t="shared" ref="AC204" si="572">IF(H204="","",H204-D204)</f>
        <v/>
      </c>
      <c r="AD204" s="378" t="str">
        <f t="shared" ref="AD204" si="573">IF(N204=0,"",((N204/AE204)*24)/24)</f>
        <v/>
      </c>
      <c r="AE204" s="412">
        <f t="shared" ref="AE204" si="574">IF(G204="",0,(G204-F204)-(AJ204-AI204)-(AG204-AF204))</f>
        <v>0</v>
      </c>
      <c r="AF204" s="411"/>
      <c r="AG204" s="411"/>
      <c r="AH204" s="411">
        <f t="shared" ref="AH204" si="575">AG204-AF204</f>
        <v>0</v>
      </c>
      <c r="AI204" s="411"/>
      <c r="AJ204" s="411"/>
      <c r="AK204" s="411">
        <f t="shared" ref="AK204" si="576">AJ204-AI204</f>
        <v>0</v>
      </c>
      <c r="AL204" s="396"/>
      <c r="AM204" s="70"/>
      <c r="AN204" s="70"/>
      <c r="AO204" s="71"/>
      <c r="AP204" s="71"/>
      <c r="AQ204" s="477"/>
      <c r="AS204" s="82">
        <f t="shared" si="558"/>
        <v>0</v>
      </c>
      <c r="AT204" s="311">
        <f t="shared" si="559"/>
        <v>0</v>
      </c>
      <c r="AU204" s="82"/>
      <c r="AV204" s="218">
        <f t="shared" si="522"/>
        <v>0</v>
      </c>
      <c r="AW204" s="218">
        <f t="shared" si="522"/>
        <v>0</v>
      </c>
      <c r="AX204" s="219">
        <f t="shared" si="560"/>
        <v>0</v>
      </c>
      <c r="AY204" s="219">
        <f t="shared" si="561"/>
        <v>0</v>
      </c>
      <c r="AZ204" s="136">
        <f t="shared" si="562"/>
        <v>0</v>
      </c>
    </row>
    <row r="205" spans="2:52" s="102" customFormat="1" ht="17.45" hidden="1" customHeight="1" outlineLevel="1">
      <c r="B205" s="105"/>
      <c r="C205" s="71"/>
      <c r="D205" s="64"/>
      <c r="E205" s="64"/>
      <c r="F205" s="64"/>
      <c r="G205" s="64"/>
      <c r="H205" s="64"/>
      <c r="I205" s="65"/>
      <c r="J205" s="66"/>
      <c r="K205" s="69"/>
      <c r="L205" s="67"/>
      <c r="M205" s="67"/>
      <c r="N205" s="77"/>
      <c r="O205" s="78"/>
      <c r="P205" s="78"/>
      <c r="Q205" s="69"/>
      <c r="R205" s="70"/>
      <c r="S205" s="70"/>
      <c r="T205" s="70"/>
      <c r="U205" s="70"/>
      <c r="V205" s="70"/>
      <c r="W205" s="69"/>
      <c r="X205" s="69"/>
      <c r="Y205" s="204"/>
      <c r="Z205" s="72"/>
      <c r="AA205" s="411"/>
      <c r="AB205" s="411"/>
      <c r="AC205" s="411"/>
      <c r="AD205" s="378"/>
      <c r="AE205" s="398"/>
      <c r="AF205" s="398"/>
      <c r="AG205" s="398"/>
      <c r="AH205" s="398"/>
      <c r="AI205" s="398"/>
      <c r="AJ205" s="398"/>
      <c r="AK205" s="398"/>
      <c r="AL205" s="396"/>
      <c r="AM205" s="70"/>
      <c r="AN205" s="70"/>
      <c r="AO205" s="71"/>
      <c r="AP205" s="71"/>
      <c r="AQ205" s="106"/>
      <c r="AS205" s="82">
        <f t="shared" si="558"/>
        <v>0</v>
      </c>
      <c r="AT205" s="311">
        <f t="shared" si="559"/>
        <v>0</v>
      </c>
      <c r="AU205" s="82"/>
      <c r="AV205" s="218">
        <f t="shared" si="522"/>
        <v>0</v>
      </c>
      <c r="AW205" s="218">
        <f t="shared" si="522"/>
        <v>0</v>
      </c>
      <c r="AX205" s="219">
        <f t="shared" si="560"/>
        <v>0</v>
      </c>
      <c r="AY205" s="219">
        <f t="shared" si="561"/>
        <v>0</v>
      </c>
      <c r="AZ205" s="136">
        <f t="shared" si="562"/>
        <v>0</v>
      </c>
    </row>
    <row r="206" spans="2:52" s="102" customFormat="1" ht="17.45" hidden="1" customHeight="1" outlineLevel="1" collapsed="1">
      <c r="B206" s="105"/>
      <c r="C206" s="71"/>
      <c r="D206" s="64"/>
      <c r="E206" s="64"/>
      <c r="F206" s="64"/>
      <c r="G206" s="64"/>
      <c r="H206" s="64"/>
      <c r="I206" s="65"/>
      <c r="J206" s="66"/>
      <c r="K206" s="69"/>
      <c r="L206" s="69"/>
      <c r="M206" s="67"/>
      <c r="N206" s="408"/>
      <c r="O206" s="68"/>
      <c r="P206" s="68"/>
      <c r="Q206" s="69"/>
      <c r="R206" s="471"/>
      <c r="S206" s="70"/>
      <c r="T206" s="70"/>
      <c r="U206" s="70"/>
      <c r="V206" s="70"/>
      <c r="W206" s="69"/>
      <c r="X206" s="69"/>
      <c r="Y206" s="204"/>
      <c r="Z206" s="72"/>
      <c r="AA206" s="376" t="str">
        <f t="shared" ref="AA206" si="577">IF(E206="","",E206-D206+AH206+AK206)</f>
        <v/>
      </c>
      <c r="AB206" s="376" t="str">
        <f t="shared" ref="AB206" si="578">IF(G206="","",G206-D206)</f>
        <v/>
      </c>
      <c r="AC206" s="377" t="str">
        <f t="shared" ref="AC206" si="579">IF(H206="","",H206-D206)</f>
        <v/>
      </c>
      <c r="AD206" s="378" t="str">
        <f t="shared" ref="AD206" si="580">IF(N206=0,"",((N206/AE206)*24)/24)</f>
        <v/>
      </c>
      <c r="AE206" s="412">
        <f t="shared" ref="AE206" si="581">IF(G206="",0,(G206-F206)-(AJ206-AI206)-(AG206-AF206))</f>
        <v>0</v>
      </c>
      <c r="AF206" s="411"/>
      <c r="AG206" s="411"/>
      <c r="AH206" s="411">
        <f t="shared" ref="AH206" si="582">AG206-AF206</f>
        <v>0</v>
      </c>
      <c r="AI206" s="411"/>
      <c r="AJ206" s="411"/>
      <c r="AK206" s="411">
        <f t="shared" ref="AK206" si="583">AJ206-AI206</f>
        <v>0</v>
      </c>
      <c r="AL206" s="396"/>
      <c r="AM206" s="70"/>
      <c r="AN206" s="70"/>
      <c r="AO206" s="71"/>
      <c r="AP206" s="71"/>
      <c r="AQ206" s="104"/>
      <c r="AS206" s="82">
        <f t="shared" si="558"/>
        <v>0</v>
      </c>
      <c r="AT206" s="311">
        <f t="shared" si="559"/>
        <v>0</v>
      </c>
      <c r="AU206" s="82"/>
      <c r="AV206" s="218">
        <f t="shared" si="522"/>
        <v>0</v>
      </c>
      <c r="AW206" s="218">
        <f t="shared" si="522"/>
        <v>0</v>
      </c>
      <c r="AX206" s="219">
        <f t="shared" si="560"/>
        <v>0</v>
      </c>
      <c r="AY206" s="219">
        <f t="shared" si="561"/>
        <v>0</v>
      </c>
      <c r="AZ206" s="136">
        <f t="shared" si="562"/>
        <v>0</v>
      </c>
    </row>
    <row r="207" spans="2:52" s="102" customFormat="1" ht="17.45" hidden="1" customHeight="1" outlineLevel="1">
      <c r="B207" s="105"/>
      <c r="C207" s="71"/>
      <c r="D207" s="64"/>
      <c r="E207" s="64"/>
      <c r="F207" s="64"/>
      <c r="G207" s="64"/>
      <c r="H207" s="64"/>
      <c r="I207" s="65"/>
      <c r="J207" s="66"/>
      <c r="K207" s="69"/>
      <c r="L207" s="67"/>
      <c r="M207" s="67"/>
      <c r="N207" s="77"/>
      <c r="O207" s="78"/>
      <c r="P207" s="78"/>
      <c r="Q207" s="69"/>
      <c r="R207" s="70"/>
      <c r="S207" s="70"/>
      <c r="T207" s="70"/>
      <c r="U207" s="70"/>
      <c r="V207" s="70"/>
      <c r="W207" s="69"/>
      <c r="X207" s="69"/>
      <c r="Y207" s="204"/>
      <c r="Z207" s="72"/>
      <c r="AA207" s="411"/>
      <c r="AB207" s="411"/>
      <c r="AC207" s="411"/>
      <c r="AD207" s="378"/>
      <c r="AE207" s="398"/>
      <c r="AF207" s="398"/>
      <c r="AG207" s="398"/>
      <c r="AH207" s="398"/>
      <c r="AI207" s="398"/>
      <c r="AJ207" s="398"/>
      <c r="AK207" s="398"/>
      <c r="AL207" s="396"/>
      <c r="AM207" s="70"/>
      <c r="AN207" s="70"/>
      <c r="AO207" s="71"/>
      <c r="AP207" s="71"/>
      <c r="AQ207" s="106"/>
      <c r="AS207" s="82">
        <f t="shared" si="558"/>
        <v>0</v>
      </c>
      <c r="AT207" s="311">
        <f t="shared" si="559"/>
        <v>0</v>
      </c>
      <c r="AU207" s="82"/>
      <c r="AV207" s="218">
        <f t="shared" si="522"/>
        <v>0</v>
      </c>
      <c r="AW207" s="218">
        <f t="shared" si="522"/>
        <v>0</v>
      </c>
      <c r="AX207" s="219">
        <f t="shared" si="560"/>
        <v>0</v>
      </c>
      <c r="AY207" s="219">
        <f t="shared" si="561"/>
        <v>0</v>
      </c>
      <c r="AZ207" s="136">
        <f t="shared" si="562"/>
        <v>0</v>
      </c>
    </row>
    <row r="208" spans="2:52" s="102" customFormat="1" ht="17.45" hidden="1" customHeight="1" outlineLevel="1" collapsed="1">
      <c r="B208" s="105"/>
      <c r="C208" s="71"/>
      <c r="D208" s="64"/>
      <c r="E208" s="64"/>
      <c r="F208" s="64"/>
      <c r="G208" s="64"/>
      <c r="H208" s="64"/>
      <c r="I208" s="65"/>
      <c r="J208" s="66"/>
      <c r="K208" s="69"/>
      <c r="L208" s="69"/>
      <c r="M208" s="67"/>
      <c r="N208" s="408"/>
      <c r="O208" s="68"/>
      <c r="P208" s="68"/>
      <c r="Q208" s="69"/>
      <c r="R208" s="471"/>
      <c r="S208" s="70"/>
      <c r="T208" s="70"/>
      <c r="U208" s="70"/>
      <c r="V208" s="70"/>
      <c r="W208" s="69"/>
      <c r="X208" s="69"/>
      <c r="Y208" s="204"/>
      <c r="Z208" s="72"/>
      <c r="AA208" s="376" t="str">
        <f t="shared" ref="AA208" si="584">IF(E208="","",E208-D208+AH208+AK208)</f>
        <v/>
      </c>
      <c r="AB208" s="376" t="str">
        <f t="shared" ref="AB208" si="585">IF(G208="","",G208-D208)</f>
        <v/>
      </c>
      <c r="AC208" s="377" t="str">
        <f t="shared" ref="AC208" si="586">IF(H208="","",H208-D208)</f>
        <v/>
      </c>
      <c r="AD208" s="378" t="str">
        <f t="shared" ref="AD208" si="587">IF(N208=0,"",((N208/AE208)*24)/24)</f>
        <v/>
      </c>
      <c r="AE208" s="412">
        <f t="shared" ref="AE208" si="588">IF(G208="",0,(G208-F208)-(AJ208-AI208)-(AG208-AF208))</f>
        <v>0</v>
      </c>
      <c r="AF208" s="411"/>
      <c r="AG208" s="411"/>
      <c r="AH208" s="411">
        <f t="shared" ref="AH208" si="589">AG208-AF208</f>
        <v>0</v>
      </c>
      <c r="AI208" s="411"/>
      <c r="AJ208" s="411"/>
      <c r="AK208" s="411">
        <f t="shared" ref="AK208" si="590">AJ208-AI208</f>
        <v>0</v>
      </c>
      <c r="AL208" s="396"/>
      <c r="AM208" s="70"/>
      <c r="AN208" s="70"/>
      <c r="AO208" s="71"/>
      <c r="AP208" s="71"/>
      <c r="AQ208" s="104"/>
      <c r="AS208" s="82">
        <f t="shared" si="558"/>
        <v>0</v>
      </c>
      <c r="AT208" s="311">
        <f t="shared" si="559"/>
        <v>0</v>
      </c>
      <c r="AU208" s="82"/>
      <c r="AV208" s="218">
        <f t="shared" si="522"/>
        <v>0</v>
      </c>
      <c r="AW208" s="218">
        <f t="shared" si="522"/>
        <v>0</v>
      </c>
      <c r="AX208" s="219">
        <f t="shared" si="560"/>
        <v>0</v>
      </c>
      <c r="AY208" s="219">
        <f t="shared" si="561"/>
        <v>0</v>
      </c>
      <c r="AZ208" s="136">
        <f t="shared" si="562"/>
        <v>0</v>
      </c>
    </row>
    <row r="209" spans="2:52" s="102" customFormat="1" ht="17.45" hidden="1" customHeight="1" outlineLevel="1">
      <c r="B209" s="105"/>
      <c r="C209" s="71"/>
      <c r="D209" s="64"/>
      <c r="E209" s="64"/>
      <c r="F209" s="64"/>
      <c r="G209" s="64"/>
      <c r="H209" s="64"/>
      <c r="I209" s="65"/>
      <c r="J209" s="66"/>
      <c r="K209" s="69"/>
      <c r="L209" s="67"/>
      <c r="M209" s="67"/>
      <c r="N209" s="77"/>
      <c r="O209" s="78"/>
      <c r="P209" s="78"/>
      <c r="Q209" s="69"/>
      <c r="R209" s="70"/>
      <c r="S209" s="70"/>
      <c r="T209" s="70"/>
      <c r="U209" s="70"/>
      <c r="V209" s="70"/>
      <c r="W209" s="69"/>
      <c r="X209" s="69"/>
      <c r="Y209" s="204"/>
      <c r="Z209" s="72"/>
      <c r="AA209" s="411"/>
      <c r="AB209" s="411"/>
      <c r="AC209" s="411"/>
      <c r="AD209" s="378"/>
      <c r="AE209" s="398"/>
      <c r="AF209" s="398"/>
      <c r="AG209" s="398"/>
      <c r="AH209" s="398"/>
      <c r="AI209" s="398"/>
      <c r="AJ209" s="398"/>
      <c r="AK209" s="398"/>
      <c r="AL209" s="396"/>
      <c r="AM209" s="70"/>
      <c r="AN209" s="70"/>
      <c r="AO209" s="71"/>
      <c r="AP209" s="71"/>
      <c r="AQ209" s="106"/>
      <c r="AS209" s="82">
        <f t="shared" si="558"/>
        <v>0</v>
      </c>
      <c r="AT209" s="311">
        <f t="shared" si="559"/>
        <v>0</v>
      </c>
      <c r="AU209" s="82"/>
      <c r="AV209" s="218">
        <f t="shared" si="522"/>
        <v>0</v>
      </c>
      <c r="AW209" s="218">
        <f t="shared" si="522"/>
        <v>0</v>
      </c>
      <c r="AX209" s="219">
        <f t="shared" si="560"/>
        <v>0</v>
      </c>
      <c r="AY209" s="219">
        <f t="shared" si="561"/>
        <v>0</v>
      </c>
      <c r="AZ209" s="136">
        <f t="shared" si="562"/>
        <v>0</v>
      </c>
    </row>
    <row r="210" spans="2:52" s="102" customFormat="1" ht="17.45" hidden="1" customHeight="1" outlineLevel="1">
      <c r="B210" s="105"/>
      <c r="C210" s="459"/>
      <c r="D210" s="64"/>
      <c r="E210" s="64"/>
      <c r="F210" s="64"/>
      <c r="G210" s="64"/>
      <c r="H210" s="64"/>
      <c r="I210" s="65"/>
      <c r="J210" s="66"/>
      <c r="K210" s="69"/>
      <c r="L210" s="67"/>
      <c r="M210" s="67"/>
      <c r="N210" s="408"/>
      <c r="O210" s="68"/>
      <c r="P210" s="68"/>
      <c r="Q210" s="69"/>
      <c r="R210" s="70"/>
      <c r="S210" s="70"/>
      <c r="T210" s="70"/>
      <c r="U210" s="73"/>
      <c r="V210" s="70"/>
      <c r="W210" s="69"/>
      <c r="X210" s="69"/>
      <c r="Y210" s="204"/>
      <c r="Z210" s="72"/>
      <c r="AA210" s="376" t="str">
        <f t="shared" ref="AA210" si="591">IF(E210="","",E210-D210+AH210+AK210)</f>
        <v/>
      </c>
      <c r="AB210" s="376" t="str">
        <f t="shared" ref="AB210" si="592">IF(G210="","",G210-D210)</f>
        <v/>
      </c>
      <c r="AC210" s="377" t="str">
        <f t="shared" ref="AC210" si="593">IF(H210="","",H210-D210)</f>
        <v/>
      </c>
      <c r="AD210" s="378" t="str">
        <f t="shared" ref="AD210" si="594">IF(N210=0,"",((N210/AE210)*24)/24)</f>
        <v/>
      </c>
      <c r="AE210" s="412">
        <f t="shared" ref="AE210" si="595">IF(G210="",0,(G210-F210)-(AJ210-AI210)-(AG210-AF210))</f>
        <v>0</v>
      </c>
      <c r="AF210" s="411"/>
      <c r="AG210" s="411"/>
      <c r="AH210" s="411">
        <f t="shared" ref="AH210" si="596">AG210-AF210</f>
        <v>0</v>
      </c>
      <c r="AI210" s="411"/>
      <c r="AJ210" s="411"/>
      <c r="AK210" s="411">
        <f t="shared" ref="AK210" si="597">AJ210-AI210</f>
        <v>0</v>
      </c>
      <c r="AL210" s="396"/>
      <c r="AM210" s="70"/>
      <c r="AN210" s="70"/>
      <c r="AO210" s="71"/>
      <c r="AP210" s="71"/>
      <c r="AQ210" s="104"/>
      <c r="AS210" s="82">
        <f t="shared" si="558"/>
        <v>0</v>
      </c>
      <c r="AT210" s="311">
        <f t="shared" si="559"/>
        <v>0</v>
      </c>
      <c r="AU210" s="82"/>
      <c r="AV210" s="218">
        <f t="shared" si="522"/>
        <v>0</v>
      </c>
      <c r="AW210" s="218">
        <f t="shared" si="522"/>
        <v>0</v>
      </c>
      <c r="AX210" s="219">
        <f t="shared" si="560"/>
        <v>0</v>
      </c>
      <c r="AY210" s="219">
        <f t="shared" si="561"/>
        <v>0</v>
      </c>
      <c r="AZ210" s="136">
        <f t="shared" si="562"/>
        <v>0</v>
      </c>
    </row>
    <row r="211" spans="2:52" s="102" customFormat="1" ht="17.45" hidden="1" customHeight="1" outlineLevel="1">
      <c r="B211" s="105"/>
      <c r="C211" s="71"/>
      <c r="D211" s="64"/>
      <c r="E211" s="64"/>
      <c r="F211" s="64"/>
      <c r="G211" s="64"/>
      <c r="H211" s="64"/>
      <c r="I211" s="65"/>
      <c r="J211" s="66"/>
      <c r="K211" s="69"/>
      <c r="L211" s="67"/>
      <c r="M211" s="67"/>
      <c r="N211" s="77"/>
      <c r="O211" s="78"/>
      <c r="P211" s="78"/>
      <c r="Q211" s="69"/>
      <c r="R211" s="70"/>
      <c r="S211" s="70"/>
      <c r="T211" s="70"/>
      <c r="U211" s="70"/>
      <c r="V211" s="70"/>
      <c r="W211" s="69"/>
      <c r="X211" s="69"/>
      <c r="Y211" s="204"/>
      <c r="Z211" s="72"/>
      <c r="AA211" s="411"/>
      <c r="AB211" s="411"/>
      <c r="AC211" s="411"/>
      <c r="AD211" s="378"/>
      <c r="AE211" s="398"/>
      <c r="AF211" s="398"/>
      <c r="AG211" s="398"/>
      <c r="AH211" s="398"/>
      <c r="AI211" s="398"/>
      <c r="AJ211" s="398"/>
      <c r="AK211" s="398"/>
      <c r="AL211" s="396"/>
      <c r="AM211" s="70"/>
      <c r="AN211" s="70"/>
      <c r="AO211" s="71"/>
      <c r="AP211" s="71"/>
      <c r="AQ211" s="106"/>
      <c r="AS211" s="82">
        <f t="shared" si="558"/>
        <v>0</v>
      </c>
      <c r="AT211" s="311">
        <f t="shared" si="559"/>
        <v>0</v>
      </c>
      <c r="AU211" s="82"/>
      <c r="AV211" s="218">
        <f t="shared" si="522"/>
        <v>0</v>
      </c>
      <c r="AW211" s="218">
        <f t="shared" si="522"/>
        <v>0</v>
      </c>
      <c r="AX211" s="219">
        <f t="shared" si="560"/>
        <v>0</v>
      </c>
      <c r="AY211" s="219">
        <f t="shared" si="561"/>
        <v>0</v>
      </c>
      <c r="AZ211" s="136">
        <f t="shared" si="562"/>
        <v>0</v>
      </c>
    </row>
    <row r="212" spans="2:52" s="102" customFormat="1" ht="17.45" hidden="1" customHeight="1" outlineLevel="1">
      <c r="B212" s="402"/>
      <c r="C212" s="400"/>
      <c r="D212" s="403"/>
      <c r="E212" s="403"/>
      <c r="F212" s="403"/>
      <c r="G212" s="64"/>
      <c r="H212" s="64"/>
      <c r="I212" s="405"/>
      <c r="J212" s="406"/>
      <c r="K212" s="69"/>
      <c r="L212" s="67"/>
      <c r="M212" s="67"/>
      <c r="N212" s="408"/>
      <c r="O212" s="68"/>
      <c r="P212" s="68"/>
      <c r="Q212" s="69"/>
      <c r="R212" s="70"/>
      <c r="S212" s="70"/>
      <c r="T212" s="70"/>
      <c r="U212" s="73"/>
      <c r="V212" s="70"/>
      <c r="W212" s="69"/>
      <c r="X212" s="69"/>
      <c r="Y212" s="204"/>
      <c r="Z212" s="72"/>
      <c r="AA212" s="376" t="str">
        <f t="shared" ref="AA212" si="598">IF(E212="","",E212-D212+AH212+AK212)</f>
        <v/>
      </c>
      <c r="AB212" s="376" t="str">
        <f t="shared" ref="AB212" si="599">IF(G212="","",G212-D212)</f>
        <v/>
      </c>
      <c r="AC212" s="377" t="str">
        <f t="shared" ref="AC212" si="600">IF(H212="","",H212-D212)</f>
        <v/>
      </c>
      <c r="AD212" s="378" t="str">
        <f t="shared" ref="AD212" si="601">IF(N212=0,"",((N212/AE212)*24)/24)</f>
        <v/>
      </c>
      <c r="AE212" s="412">
        <f t="shared" ref="AE212" si="602">IF(G212="",0,(G212-F212)-(AJ212-AI212)-(AG212-AF212))</f>
        <v>0</v>
      </c>
      <c r="AF212" s="411"/>
      <c r="AG212" s="411"/>
      <c r="AH212" s="411">
        <f t="shared" ref="AH212" si="603">AG212-AF212</f>
        <v>0</v>
      </c>
      <c r="AI212" s="411"/>
      <c r="AJ212" s="411"/>
      <c r="AK212" s="411">
        <f t="shared" ref="AK212" si="604">AJ212-AI212</f>
        <v>0</v>
      </c>
      <c r="AL212" s="396"/>
      <c r="AM212" s="70"/>
      <c r="AN212" s="70"/>
      <c r="AO212" s="71"/>
      <c r="AP212" s="71"/>
      <c r="AQ212" s="104"/>
      <c r="AS212" s="82">
        <f t="shared" si="558"/>
        <v>0</v>
      </c>
      <c r="AT212" s="311">
        <f t="shared" si="559"/>
        <v>0</v>
      </c>
      <c r="AU212" s="82"/>
      <c r="AV212" s="218">
        <f t="shared" si="522"/>
        <v>0</v>
      </c>
      <c r="AW212" s="218">
        <f t="shared" si="522"/>
        <v>0</v>
      </c>
      <c r="AX212" s="219">
        <f t="shared" si="560"/>
        <v>0</v>
      </c>
      <c r="AY212" s="219">
        <f t="shared" si="561"/>
        <v>0</v>
      </c>
      <c r="AZ212" s="136">
        <f t="shared" si="562"/>
        <v>0</v>
      </c>
    </row>
    <row r="213" spans="2:52" s="102" customFormat="1" ht="17.45" hidden="1" customHeight="1" outlineLevel="1">
      <c r="B213" s="402"/>
      <c r="C213" s="400"/>
      <c r="D213" s="403"/>
      <c r="E213" s="403"/>
      <c r="F213" s="403"/>
      <c r="G213" s="64"/>
      <c r="H213" s="64"/>
      <c r="I213" s="65"/>
      <c r="J213" s="66"/>
      <c r="K213" s="69"/>
      <c r="L213" s="67"/>
      <c r="M213" s="67"/>
      <c r="N213" s="77"/>
      <c r="O213" s="78"/>
      <c r="P213" s="78"/>
      <c r="Q213" s="69"/>
      <c r="R213" s="70"/>
      <c r="S213" s="70"/>
      <c r="T213" s="70"/>
      <c r="U213" s="70"/>
      <c r="V213" s="70"/>
      <c r="W213" s="69"/>
      <c r="X213" s="69"/>
      <c r="Y213" s="204"/>
      <c r="Z213" s="72"/>
      <c r="AA213" s="411"/>
      <c r="AB213" s="411"/>
      <c r="AC213" s="411"/>
      <c r="AD213" s="378"/>
      <c r="AE213" s="398"/>
      <c r="AF213" s="398"/>
      <c r="AG213" s="398"/>
      <c r="AH213" s="398"/>
      <c r="AI213" s="398"/>
      <c r="AJ213" s="398"/>
      <c r="AK213" s="398"/>
      <c r="AL213" s="396"/>
      <c r="AM213" s="70"/>
      <c r="AN213" s="70"/>
      <c r="AO213" s="71"/>
      <c r="AP213" s="71"/>
      <c r="AQ213" s="106"/>
      <c r="AS213" s="82">
        <f t="shared" si="558"/>
        <v>0</v>
      </c>
      <c r="AT213" s="311">
        <f t="shared" si="559"/>
        <v>0</v>
      </c>
      <c r="AU213" s="82"/>
      <c r="AV213" s="218">
        <f t="shared" si="522"/>
        <v>0</v>
      </c>
      <c r="AW213" s="218">
        <f t="shared" si="522"/>
        <v>0</v>
      </c>
      <c r="AX213" s="219">
        <f t="shared" si="560"/>
        <v>0</v>
      </c>
      <c r="AY213" s="219">
        <f t="shared" si="561"/>
        <v>0</v>
      </c>
      <c r="AZ213" s="136">
        <f t="shared" si="562"/>
        <v>0</v>
      </c>
    </row>
    <row r="214" spans="2:52" s="82" customFormat="1" ht="17.45" hidden="1" customHeight="1" outlineLevel="1">
      <c r="B214" s="105"/>
      <c r="C214" s="71"/>
      <c r="D214" s="64"/>
      <c r="E214" s="64"/>
      <c r="F214" s="64"/>
      <c r="G214" s="64"/>
      <c r="H214" s="64"/>
      <c r="I214" s="65"/>
      <c r="J214" s="66"/>
      <c r="K214" s="69"/>
      <c r="L214" s="67"/>
      <c r="M214" s="67"/>
      <c r="N214" s="67"/>
      <c r="O214" s="68"/>
      <c r="P214" s="68"/>
      <c r="Q214" s="69"/>
      <c r="R214" s="70"/>
      <c r="S214" s="70"/>
      <c r="T214" s="70"/>
      <c r="U214" s="73"/>
      <c r="V214" s="70"/>
      <c r="W214" s="69"/>
      <c r="X214" s="69"/>
      <c r="Y214" s="204"/>
      <c r="Z214" s="72"/>
      <c r="AA214" s="376" t="str">
        <f t="shared" ref="AA214" si="605">IF(E214="","",E214-D214+AH214+AK214)</f>
        <v/>
      </c>
      <c r="AB214" s="376" t="str">
        <f t="shared" ref="AB214" si="606">IF(G214="","",G214-D214)</f>
        <v/>
      </c>
      <c r="AC214" s="377" t="str">
        <f t="shared" ref="AC214" si="607">IF(H214="","",H214-D214)</f>
        <v/>
      </c>
      <c r="AD214" s="378" t="str">
        <f t="shared" ref="AD214" si="608">IF(N214=0,"",((N214/AE214)*24)/24)</f>
        <v/>
      </c>
      <c r="AE214" s="412">
        <f t="shared" ref="AE214" si="609">IF(G214="",0,(G214-F214)-(AJ214-AI214)-(AG214-AF214))</f>
        <v>0</v>
      </c>
      <c r="AF214" s="411"/>
      <c r="AG214" s="411"/>
      <c r="AH214" s="411">
        <f t="shared" ref="AH214" si="610">AG214-AF214</f>
        <v>0</v>
      </c>
      <c r="AI214" s="411"/>
      <c r="AJ214" s="411"/>
      <c r="AK214" s="411">
        <f t="shared" ref="AK214" si="611">AJ214-AI214</f>
        <v>0</v>
      </c>
      <c r="AL214" s="396"/>
      <c r="AM214" s="211"/>
      <c r="AN214" s="211"/>
      <c r="AO214" s="73"/>
      <c r="AP214" s="73"/>
      <c r="AQ214" s="107"/>
      <c r="AS214" s="82">
        <f t="shared" si="558"/>
        <v>0</v>
      </c>
      <c r="AT214" s="311">
        <f t="shared" si="559"/>
        <v>0</v>
      </c>
      <c r="AV214" s="218">
        <f t="shared" si="522"/>
        <v>0</v>
      </c>
      <c r="AW214" s="218">
        <f t="shared" si="522"/>
        <v>0</v>
      </c>
      <c r="AX214" s="219">
        <f t="shared" si="560"/>
        <v>0</v>
      </c>
      <c r="AY214" s="219">
        <f t="shared" si="561"/>
        <v>0</v>
      </c>
      <c r="AZ214" s="136">
        <f t="shared" si="562"/>
        <v>0</v>
      </c>
    </row>
    <row r="215" spans="2:52" ht="17.45" hidden="1" customHeight="1" outlineLevel="1">
      <c r="B215" s="105"/>
      <c r="C215" s="71"/>
      <c r="D215" s="64"/>
      <c r="E215" s="86"/>
      <c r="F215" s="86"/>
      <c r="G215" s="86"/>
      <c r="H215" s="86"/>
      <c r="I215" s="65"/>
      <c r="J215" s="66"/>
      <c r="K215" s="69"/>
      <c r="L215" s="67"/>
      <c r="M215" s="67"/>
      <c r="N215" s="67"/>
      <c r="O215" s="69"/>
      <c r="P215" s="69"/>
      <c r="Q215" s="69"/>
      <c r="R215" s="87"/>
      <c r="S215" s="70"/>
      <c r="T215" s="73"/>
      <c r="U215" s="70"/>
      <c r="V215" s="70"/>
      <c r="W215" s="69"/>
      <c r="X215" s="69"/>
      <c r="Y215" s="204"/>
      <c r="Z215" s="72"/>
      <c r="AA215" s="411"/>
      <c r="AB215" s="411"/>
      <c r="AC215" s="411"/>
      <c r="AD215" s="378"/>
      <c r="AE215" s="398"/>
      <c r="AF215" s="398"/>
      <c r="AG215" s="398"/>
      <c r="AH215" s="398"/>
      <c r="AI215" s="398"/>
      <c r="AJ215" s="398"/>
      <c r="AK215" s="398"/>
      <c r="AL215" s="396"/>
      <c r="AM215" s="73"/>
      <c r="AN215" s="73"/>
      <c r="AO215" s="71"/>
      <c r="AP215" s="71"/>
      <c r="AQ215" s="106"/>
      <c r="AS215" s="82">
        <f t="shared" si="558"/>
        <v>0</v>
      </c>
      <c r="AT215" s="311">
        <f t="shared" si="559"/>
        <v>0</v>
      </c>
      <c r="AU215" s="82"/>
      <c r="AV215" s="218">
        <f t="shared" si="522"/>
        <v>0</v>
      </c>
      <c r="AW215" s="218">
        <f t="shared" si="522"/>
        <v>0</v>
      </c>
      <c r="AX215" s="219">
        <f t="shared" si="560"/>
        <v>0</v>
      </c>
      <c r="AY215" s="219">
        <f t="shared" si="561"/>
        <v>0</v>
      </c>
      <c r="AZ215" s="136">
        <f t="shared" si="562"/>
        <v>0</v>
      </c>
    </row>
    <row r="216" spans="2:52" ht="17.45" hidden="1" customHeight="1" outlineLevel="1">
      <c r="B216" s="105"/>
      <c r="C216" s="71"/>
      <c r="D216" s="64"/>
      <c r="E216" s="64"/>
      <c r="F216" s="64"/>
      <c r="G216" s="64"/>
      <c r="H216" s="64"/>
      <c r="I216" s="65"/>
      <c r="J216" s="66"/>
      <c r="K216" s="69"/>
      <c r="L216" s="67"/>
      <c r="M216" s="67"/>
      <c r="N216" s="67"/>
      <c r="O216" s="68"/>
      <c r="P216" s="68"/>
      <c r="Q216" s="69"/>
      <c r="R216" s="70"/>
      <c r="S216" s="70"/>
      <c r="T216" s="70"/>
      <c r="U216" s="73"/>
      <c r="V216" s="70"/>
      <c r="W216" s="83"/>
      <c r="X216" s="83"/>
      <c r="Y216" s="206"/>
      <c r="Z216" s="84"/>
      <c r="AA216" s="376" t="str">
        <f t="shared" ref="AA216" si="612">IF(E216="","",E216-D216+AH216+AK216)</f>
        <v/>
      </c>
      <c r="AB216" s="376" t="str">
        <f t="shared" ref="AB216" si="613">IF(G216="","",G216-D216)</f>
        <v/>
      </c>
      <c r="AC216" s="377" t="str">
        <f t="shared" ref="AC216" si="614">IF(H216="","",H216-D216)</f>
        <v/>
      </c>
      <c r="AD216" s="378" t="str">
        <f t="shared" ref="AD216" si="615">IF(N216=0,"",((N216/AE216)*24)/24)</f>
        <v/>
      </c>
      <c r="AE216" s="412">
        <f t="shared" ref="AE216" si="616">IF(G216="",0,(G216-F216)-(AJ216-AI216)-(AG216-AF216))</f>
        <v>0</v>
      </c>
      <c r="AF216" s="411"/>
      <c r="AG216" s="411"/>
      <c r="AH216" s="411">
        <f t="shared" ref="AH216" si="617">AG216-AF216</f>
        <v>0</v>
      </c>
      <c r="AI216" s="411"/>
      <c r="AJ216" s="411"/>
      <c r="AK216" s="411">
        <f t="shared" ref="AK216" si="618">AJ216-AI216</f>
        <v>0</v>
      </c>
      <c r="AL216" s="396"/>
      <c r="AM216" s="73"/>
      <c r="AN216" s="73"/>
      <c r="AO216" s="73"/>
      <c r="AP216" s="73"/>
      <c r="AQ216" s="107"/>
      <c r="AS216" s="82">
        <f t="shared" si="558"/>
        <v>0</v>
      </c>
      <c r="AT216" s="311">
        <f t="shared" si="559"/>
        <v>0</v>
      </c>
      <c r="AU216" s="82"/>
      <c r="AV216" s="218">
        <f t="shared" si="522"/>
        <v>0</v>
      </c>
      <c r="AW216" s="218">
        <f t="shared" si="522"/>
        <v>0</v>
      </c>
      <c r="AX216" s="219">
        <f t="shared" si="560"/>
        <v>0</v>
      </c>
      <c r="AY216" s="219">
        <f t="shared" si="561"/>
        <v>0</v>
      </c>
      <c r="AZ216" s="136">
        <f t="shared" si="562"/>
        <v>0</v>
      </c>
    </row>
    <row r="217" spans="2:52" ht="17.45" hidden="1" customHeight="1" outlineLevel="1">
      <c r="B217" s="105"/>
      <c r="C217" s="71"/>
      <c r="D217" s="64"/>
      <c r="E217" s="86"/>
      <c r="F217" s="86"/>
      <c r="G217" s="86"/>
      <c r="H217" s="86"/>
      <c r="I217" s="65"/>
      <c r="J217" s="66"/>
      <c r="K217" s="69"/>
      <c r="L217" s="67"/>
      <c r="M217" s="67"/>
      <c r="N217" s="67"/>
      <c r="O217" s="69"/>
      <c r="P217" s="69"/>
      <c r="Q217" s="69"/>
      <c r="R217" s="87"/>
      <c r="S217" s="70"/>
      <c r="T217" s="73"/>
      <c r="U217" s="70"/>
      <c r="V217" s="70"/>
      <c r="W217" s="69"/>
      <c r="X217" s="69"/>
      <c r="Y217" s="204"/>
      <c r="Z217" s="72"/>
      <c r="AA217" s="411"/>
      <c r="AB217" s="411"/>
      <c r="AC217" s="411"/>
      <c r="AD217" s="378"/>
      <c r="AE217" s="398"/>
      <c r="AF217" s="398"/>
      <c r="AG217" s="398"/>
      <c r="AH217" s="398"/>
      <c r="AI217" s="398"/>
      <c r="AJ217" s="398"/>
      <c r="AK217" s="398"/>
      <c r="AL217" s="396"/>
      <c r="AM217" s="73"/>
      <c r="AN217" s="73"/>
      <c r="AO217" s="71"/>
      <c r="AP217" s="71"/>
      <c r="AQ217" s="104"/>
      <c r="AS217" s="82">
        <f t="shared" si="558"/>
        <v>0</v>
      </c>
      <c r="AT217" s="311">
        <f t="shared" si="559"/>
        <v>0</v>
      </c>
      <c r="AU217" s="82"/>
      <c r="AV217" s="218">
        <f t="shared" si="522"/>
        <v>0</v>
      </c>
      <c r="AW217" s="218">
        <f t="shared" si="522"/>
        <v>0</v>
      </c>
      <c r="AX217" s="219">
        <f t="shared" si="560"/>
        <v>0</v>
      </c>
      <c r="AY217" s="219">
        <f t="shared" si="561"/>
        <v>0</v>
      </c>
      <c r="AZ217" s="136">
        <f t="shared" si="562"/>
        <v>0</v>
      </c>
    </row>
    <row r="218" spans="2:52" s="82" customFormat="1" ht="17.45" hidden="1" customHeight="1" outlineLevel="1">
      <c r="B218" s="105"/>
      <c r="C218" s="71"/>
      <c r="D218" s="64"/>
      <c r="E218" s="198"/>
      <c r="F218" s="64"/>
      <c r="G218" s="64"/>
      <c r="H218" s="64"/>
      <c r="I218" s="65"/>
      <c r="J218" s="66"/>
      <c r="K218" s="69"/>
      <c r="L218" s="67"/>
      <c r="M218" s="67"/>
      <c r="N218" s="67"/>
      <c r="O218" s="68"/>
      <c r="P218" s="68"/>
      <c r="Q218" s="69"/>
      <c r="R218" s="70"/>
      <c r="S218" s="70"/>
      <c r="T218" s="70"/>
      <c r="U218" s="73"/>
      <c r="V218" s="70"/>
      <c r="W218" s="83"/>
      <c r="X218" s="83"/>
      <c r="Y218" s="206"/>
      <c r="Z218" s="84"/>
      <c r="AA218" s="376" t="str">
        <f t="shared" ref="AA218" si="619">IF(E218="","",E218-D218+AH218+AK218)</f>
        <v/>
      </c>
      <c r="AB218" s="376" t="str">
        <f t="shared" ref="AB218" si="620">IF(G218="","",G218-D218)</f>
        <v/>
      </c>
      <c r="AC218" s="377" t="str">
        <f t="shared" ref="AC218" si="621">IF(H218="","",H218-D218)</f>
        <v/>
      </c>
      <c r="AD218" s="378" t="str">
        <f t="shared" ref="AD218" si="622">IF(N218=0,"",((N218/AE218)*24)/24)</f>
        <v/>
      </c>
      <c r="AE218" s="412">
        <f t="shared" ref="AE218" si="623">IF(G218="",0,(G218-F218)-(AJ218-AI218)-(AG218-AF218))</f>
        <v>0</v>
      </c>
      <c r="AF218" s="411"/>
      <c r="AG218" s="411"/>
      <c r="AH218" s="411">
        <f t="shared" ref="AH218" si="624">AG218-AF218</f>
        <v>0</v>
      </c>
      <c r="AI218" s="411"/>
      <c r="AJ218" s="411"/>
      <c r="AK218" s="411">
        <f t="shared" ref="AK218" si="625">AJ218-AI218</f>
        <v>0</v>
      </c>
      <c r="AL218" s="396"/>
      <c r="AM218" s="73"/>
      <c r="AN218" s="73"/>
      <c r="AO218" s="73"/>
      <c r="AP218" s="73"/>
      <c r="AQ218" s="107"/>
      <c r="AS218" s="82">
        <f t="shared" si="558"/>
        <v>0</v>
      </c>
      <c r="AT218" s="311">
        <f t="shared" si="559"/>
        <v>0</v>
      </c>
      <c r="AV218" s="218">
        <f t="shared" si="522"/>
        <v>0</v>
      </c>
      <c r="AW218" s="218">
        <f t="shared" si="522"/>
        <v>0</v>
      </c>
      <c r="AX218" s="219">
        <f t="shared" si="560"/>
        <v>0</v>
      </c>
      <c r="AY218" s="219">
        <f t="shared" si="561"/>
        <v>0</v>
      </c>
      <c r="AZ218" s="136">
        <f t="shared" si="562"/>
        <v>0</v>
      </c>
    </row>
    <row r="219" spans="2:52" s="82" customFormat="1" ht="17.45" hidden="1" customHeight="1" outlineLevel="1">
      <c r="B219" s="105"/>
      <c r="C219" s="71"/>
      <c r="D219" s="64"/>
      <c r="E219" s="86"/>
      <c r="F219" s="86"/>
      <c r="G219" s="86"/>
      <c r="H219" s="86"/>
      <c r="I219" s="65"/>
      <c r="J219" s="66"/>
      <c r="K219" s="69"/>
      <c r="L219" s="67"/>
      <c r="M219" s="67"/>
      <c r="N219" s="67"/>
      <c r="O219" s="69"/>
      <c r="P219" s="69"/>
      <c r="Q219" s="69"/>
      <c r="R219" s="87"/>
      <c r="S219" s="70"/>
      <c r="T219" s="73"/>
      <c r="U219" s="70"/>
      <c r="V219" s="70"/>
      <c r="W219" s="69"/>
      <c r="X219" s="69"/>
      <c r="Y219" s="204"/>
      <c r="Z219" s="72"/>
      <c r="AA219" s="411"/>
      <c r="AB219" s="411"/>
      <c r="AC219" s="411"/>
      <c r="AD219" s="378"/>
      <c r="AE219" s="398"/>
      <c r="AF219" s="398"/>
      <c r="AG219" s="398"/>
      <c r="AH219" s="398"/>
      <c r="AI219" s="398"/>
      <c r="AJ219" s="398"/>
      <c r="AK219" s="398"/>
      <c r="AL219" s="396"/>
      <c r="AM219" s="73"/>
      <c r="AN219" s="73"/>
      <c r="AO219" s="71"/>
      <c r="AP219" s="71"/>
      <c r="AQ219" s="106"/>
      <c r="AS219" s="82">
        <f t="shared" si="558"/>
        <v>0</v>
      </c>
      <c r="AT219" s="311">
        <f t="shared" si="559"/>
        <v>0</v>
      </c>
      <c r="AV219" s="218">
        <f t="shared" si="522"/>
        <v>0</v>
      </c>
      <c r="AW219" s="218">
        <f t="shared" si="522"/>
        <v>0</v>
      </c>
      <c r="AX219" s="219">
        <f t="shared" si="560"/>
        <v>0</v>
      </c>
      <c r="AY219" s="219">
        <f t="shared" si="561"/>
        <v>0</v>
      </c>
      <c r="AZ219" s="136">
        <f t="shared" si="562"/>
        <v>0</v>
      </c>
    </row>
    <row r="220" spans="2:52" ht="17.45" hidden="1" customHeight="1" outlineLevel="1">
      <c r="B220" s="105"/>
      <c r="C220" s="71"/>
      <c r="D220" s="64"/>
      <c r="E220" s="64"/>
      <c r="F220" s="64"/>
      <c r="G220" s="64"/>
      <c r="H220" s="64"/>
      <c r="I220" s="65"/>
      <c r="J220" s="66"/>
      <c r="K220" s="69"/>
      <c r="L220" s="67"/>
      <c r="M220" s="67"/>
      <c r="N220" s="67"/>
      <c r="O220" s="68"/>
      <c r="P220" s="68"/>
      <c r="Q220" s="69"/>
      <c r="R220" s="70"/>
      <c r="S220" s="70"/>
      <c r="T220" s="70"/>
      <c r="U220" s="73"/>
      <c r="V220" s="70"/>
      <c r="W220" s="83"/>
      <c r="X220" s="83"/>
      <c r="Y220" s="206"/>
      <c r="Z220" s="84"/>
      <c r="AA220" s="376" t="str">
        <f t="shared" ref="AA220" si="626">IF(E220="","",E220-D220+AH220+AK220)</f>
        <v/>
      </c>
      <c r="AB220" s="376" t="str">
        <f t="shared" ref="AB220" si="627">IF(G220="","",G220-D220)</f>
        <v/>
      </c>
      <c r="AC220" s="377" t="str">
        <f t="shared" ref="AC220" si="628">IF(H220="","",H220-D220)</f>
        <v/>
      </c>
      <c r="AD220" s="378" t="str">
        <f t="shared" ref="AD220" si="629">IF(N220=0,"",((N220/AE220)*24)/24)</f>
        <v/>
      </c>
      <c r="AE220" s="412">
        <f t="shared" ref="AE220" si="630">IF(G220="",0,(G220-F220)-(AJ220-AI220)-(AG220-AF220))</f>
        <v>0</v>
      </c>
      <c r="AF220" s="411"/>
      <c r="AG220" s="411"/>
      <c r="AH220" s="411">
        <f t="shared" ref="AH220" si="631">AG220-AF220</f>
        <v>0</v>
      </c>
      <c r="AI220" s="411"/>
      <c r="AJ220" s="411"/>
      <c r="AK220" s="411">
        <f t="shared" ref="AK220" si="632">AJ220-AI220</f>
        <v>0</v>
      </c>
      <c r="AL220" s="396"/>
      <c r="AM220" s="73"/>
      <c r="AN220" s="73"/>
      <c r="AO220" s="73"/>
      <c r="AP220" s="73"/>
      <c r="AQ220" s="386"/>
      <c r="AS220" s="82">
        <f t="shared" si="558"/>
        <v>0</v>
      </c>
      <c r="AT220" s="311">
        <f t="shared" si="559"/>
        <v>0</v>
      </c>
      <c r="AU220" s="82"/>
      <c r="AV220" s="218">
        <f t="shared" si="522"/>
        <v>0</v>
      </c>
      <c r="AW220" s="218">
        <f t="shared" si="522"/>
        <v>0</v>
      </c>
      <c r="AX220" s="219">
        <f t="shared" si="560"/>
        <v>0</v>
      </c>
      <c r="AY220" s="219">
        <f t="shared" si="561"/>
        <v>0</v>
      </c>
      <c r="AZ220" s="136">
        <f t="shared" si="562"/>
        <v>0</v>
      </c>
    </row>
    <row r="221" spans="2:52" ht="17.45" hidden="1" customHeight="1" outlineLevel="1">
      <c r="B221" s="105"/>
      <c r="C221" s="71"/>
      <c r="D221" s="64"/>
      <c r="E221" s="86"/>
      <c r="F221" s="86"/>
      <c r="G221" s="86"/>
      <c r="H221" s="86"/>
      <c r="I221" s="64"/>
      <c r="J221" s="64"/>
      <c r="K221" s="69"/>
      <c r="L221" s="67"/>
      <c r="M221" s="67"/>
      <c r="N221" s="67"/>
      <c r="O221" s="69"/>
      <c r="P221" s="69"/>
      <c r="Q221" s="69"/>
      <c r="R221" s="87"/>
      <c r="S221" s="70"/>
      <c r="T221" s="73"/>
      <c r="U221" s="70"/>
      <c r="V221" s="70"/>
      <c r="W221" s="69"/>
      <c r="X221" s="69"/>
      <c r="Y221" s="204"/>
      <c r="Z221" s="72"/>
      <c r="AA221" s="411"/>
      <c r="AB221" s="411"/>
      <c r="AC221" s="411"/>
      <c r="AD221" s="378"/>
      <c r="AE221" s="398"/>
      <c r="AF221" s="398"/>
      <c r="AG221" s="398"/>
      <c r="AH221" s="398"/>
      <c r="AI221" s="398"/>
      <c r="AJ221" s="398"/>
      <c r="AK221" s="398"/>
      <c r="AL221" s="396"/>
      <c r="AM221" s="73"/>
      <c r="AN221" s="73"/>
      <c r="AO221" s="71"/>
      <c r="AP221" s="71"/>
      <c r="AQ221" s="106"/>
      <c r="AS221" s="82">
        <f t="shared" si="558"/>
        <v>0</v>
      </c>
      <c r="AT221" s="311">
        <f t="shared" si="559"/>
        <v>0</v>
      </c>
      <c r="AU221" s="82"/>
      <c r="AV221" s="218">
        <f t="shared" si="522"/>
        <v>0</v>
      </c>
      <c r="AW221" s="218">
        <f t="shared" si="522"/>
        <v>0</v>
      </c>
      <c r="AX221" s="219">
        <f t="shared" si="560"/>
        <v>0</v>
      </c>
      <c r="AY221" s="219">
        <f t="shared" si="561"/>
        <v>0</v>
      </c>
      <c r="AZ221" s="136">
        <f t="shared" si="562"/>
        <v>0</v>
      </c>
    </row>
    <row r="222" spans="2:52" s="82" customFormat="1" ht="17.45" hidden="1" customHeight="1" outlineLevel="1">
      <c r="B222" s="105"/>
      <c r="C222" s="71"/>
      <c r="D222" s="64"/>
      <c r="E222" s="198"/>
      <c r="F222" s="198"/>
      <c r="G222" s="198"/>
      <c r="H222" s="198"/>
      <c r="I222" s="65"/>
      <c r="J222" s="66"/>
      <c r="K222" s="69"/>
      <c r="L222" s="69"/>
      <c r="M222" s="67"/>
      <c r="N222" s="67"/>
      <c r="O222" s="68"/>
      <c r="P222" s="68"/>
      <c r="Q222" s="69"/>
      <c r="R222" s="70"/>
      <c r="S222" s="70"/>
      <c r="T222" s="70"/>
      <c r="U222" s="73"/>
      <c r="V222" s="70"/>
      <c r="W222" s="83"/>
      <c r="X222" s="83"/>
      <c r="Y222" s="206"/>
      <c r="Z222" s="84"/>
      <c r="AA222" s="376" t="str">
        <f t="shared" ref="AA222" si="633">IF(E222="","",E222-D222+AH222+AK222)</f>
        <v/>
      </c>
      <c r="AB222" s="376" t="str">
        <f t="shared" ref="AB222" si="634">IF(G222="","",G222-D222)</f>
        <v/>
      </c>
      <c r="AC222" s="377" t="str">
        <f t="shared" ref="AC222" si="635">IF(H222="","",H222-D222)</f>
        <v/>
      </c>
      <c r="AD222" s="378" t="str">
        <f t="shared" ref="AD222" si="636">IF(N222=0,"",((N222/AE222)*24)/24)</f>
        <v/>
      </c>
      <c r="AE222" s="412">
        <f t="shared" ref="AE222" si="637">IF(G222="",0,(G222-F222)-(AJ222-AI222)-(AG222-AF222))</f>
        <v>0</v>
      </c>
      <c r="AF222" s="411"/>
      <c r="AG222" s="411"/>
      <c r="AH222" s="411">
        <f t="shared" ref="AH222" si="638">AG222-AF222</f>
        <v>0</v>
      </c>
      <c r="AI222" s="411"/>
      <c r="AJ222" s="411"/>
      <c r="AK222" s="411">
        <f t="shared" ref="AK222" si="639">AJ222-AI222</f>
        <v>0</v>
      </c>
      <c r="AL222" s="396"/>
      <c r="AM222" s="73"/>
      <c r="AN222" s="73"/>
      <c r="AO222" s="217"/>
      <c r="AP222" s="217"/>
      <c r="AQ222" s="107"/>
      <c r="AS222" s="82">
        <f t="shared" si="558"/>
        <v>0</v>
      </c>
      <c r="AT222" s="311">
        <f t="shared" si="559"/>
        <v>0</v>
      </c>
      <c r="AV222" s="218">
        <f t="shared" si="522"/>
        <v>0</v>
      </c>
      <c r="AW222" s="218">
        <f t="shared" si="522"/>
        <v>0</v>
      </c>
      <c r="AX222" s="219">
        <f t="shared" si="560"/>
        <v>0</v>
      </c>
      <c r="AY222" s="219">
        <f t="shared" si="561"/>
        <v>0</v>
      </c>
      <c r="AZ222" s="136">
        <f t="shared" si="562"/>
        <v>0</v>
      </c>
    </row>
    <row r="223" spans="2:52" s="82" customFormat="1" ht="17.45" hidden="1" customHeight="1" outlineLevel="1">
      <c r="B223" s="103"/>
      <c r="C223" s="75"/>
      <c r="D223" s="76"/>
      <c r="E223" s="76"/>
      <c r="F223" s="76"/>
      <c r="G223" s="76"/>
      <c r="H223" s="76"/>
      <c r="I223" s="64"/>
      <c r="J223" s="64"/>
      <c r="K223" s="78"/>
      <c r="L223" s="77"/>
      <c r="M223" s="77"/>
      <c r="N223" s="77"/>
      <c r="O223" s="78"/>
      <c r="P223" s="78"/>
      <c r="Q223" s="78"/>
      <c r="R223" s="79"/>
      <c r="S223" s="79"/>
      <c r="T223" s="79"/>
      <c r="U223" s="70"/>
      <c r="V223" s="70"/>
      <c r="W223" s="78"/>
      <c r="X223" s="78"/>
      <c r="Y223" s="205"/>
      <c r="Z223" s="80"/>
      <c r="AA223" s="411"/>
      <c r="AB223" s="411"/>
      <c r="AC223" s="411"/>
      <c r="AD223" s="378"/>
      <c r="AE223" s="398"/>
      <c r="AF223" s="398"/>
      <c r="AG223" s="398"/>
      <c r="AH223" s="398"/>
      <c r="AI223" s="398"/>
      <c r="AJ223" s="398"/>
      <c r="AK223" s="398"/>
      <c r="AL223" s="396"/>
      <c r="AM223" s="70"/>
      <c r="AN223" s="70"/>
      <c r="AO223" s="71"/>
      <c r="AP223" s="71"/>
      <c r="AQ223" s="106"/>
      <c r="AS223" s="82">
        <f t="shared" si="558"/>
        <v>0</v>
      </c>
      <c r="AT223" s="311">
        <f t="shared" si="559"/>
        <v>0</v>
      </c>
      <c r="AV223" s="218">
        <f t="shared" si="522"/>
        <v>0</v>
      </c>
      <c r="AW223" s="218">
        <f t="shared" si="522"/>
        <v>0</v>
      </c>
      <c r="AX223" s="219">
        <f t="shared" si="560"/>
        <v>0</v>
      </c>
      <c r="AY223" s="219">
        <f t="shared" si="561"/>
        <v>0</v>
      </c>
      <c r="AZ223" s="136">
        <f t="shared" si="562"/>
        <v>0</v>
      </c>
    </row>
    <row r="224" spans="2:52" ht="17.45" hidden="1" customHeight="1" outlineLevel="1" thickBot="1">
      <c r="B224" s="108"/>
      <c r="C224" s="91"/>
      <c r="D224" s="92"/>
      <c r="E224" s="92"/>
      <c r="F224" s="92"/>
      <c r="G224" s="92"/>
      <c r="H224" s="92"/>
      <c r="I224" s="150">
        <f>IFERROR(AVERAGE(I201:I223),0)</f>
        <v>0</v>
      </c>
      <c r="J224" s="150">
        <f>IFERROR(AVERAGE(J201:J223),0)</f>
        <v>0</v>
      </c>
      <c r="K224" s="95">
        <f>SUM(K201:K223)</f>
        <v>0</v>
      </c>
      <c r="L224" s="94">
        <f>SUM(L201:L223)</f>
        <v>0</v>
      </c>
      <c r="M224" s="94">
        <f>SUM(M201:M223)</f>
        <v>0</v>
      </c>
      <c r="N224" s="93">
        <f>SUM(N201:N223)</f>
        <v>0</v>
      </c>
      <c r="O224" s="95"/>
      <c r="P224" s="95"/>
      <c r="Q224" s="95"/>
      <c r="R224" s="91"/>
      <c r="S224" s="91"/>
      <c r="T224" s="97"/>
      <c r="U224" s="96"/>
      <c r="V224" s="97"/>
      <c r="W224" s="98"/>
      <c r="X224" s="98"/>
      <c r="Y224" s="207"/>
      <c r="Z224" s="99"/>
      <c r="AA224" s="99"/>
      <c r="AB224" s="99"/>
      <c r="AC224" s="99"/>
      <c r="AD224" s="99"/>
      <c r="AE224" s="99"/>
      <c r="AF224" s="99"/>
      <c r="AG224" s="99"/>
      <c r="AH224" s="99"/>
      <c r="AI224" s="99"/>
      <c r="AJ224" s="99"/>
      <c r="AK224" s="99"/>
      <c r="AL224" s="100"/>
      <c r="AM224" s="100"/>
      <c r="AN224" s="100"/>
      <c r="AO224" s="96"/>
      <c r="AP224" s="96"/>
      <c r="AQ224" s="109"/>
      <c r="AS224" s="82">
        <f t="shared" si="558"/>
        <v>0</v>
      </c>
      <c r="AT224" s="311">
        <f t="shared" si="559"/>
        <v>0</v>
      </c>
      <c r="AU224" s="82"/>
      <c r="AV224" s="218">
        <f t="shared" si="522"/>
        <v>0</v>
      </c>
      <c r="AW224" s="218">
        <f t="shared" si="522"/>
        <v>0</v>
      </c>
      <c r="AX224" s="219">
        <f t="shared" si="560"/>
        <v>0</v>
      </c>
      <c r="AY224" s="219">
        <f t="shared" si="561"/>
        <v>0</v>
      </c>
      <c r="AZ224" s="136">
        <f t="shared" si="562"/>
        <v>0</v>
      </c>
    </row>
    <row r="225" spans="4:52" ht="17.45" customHeight="1" collapsed="1">
      <c r="L225" s="247"/>
      <c r="M225" s="247"/>
      <c r="N225" s="247"/>
      <c r="AS225" s="82"/>
      <c r="AT225" s="311"/>
      <c r="AU225" s="82"/>
      <c r="AV225" s="218"/>
      <c r="AW225" s="218"/>
      <c r="AX225" s="219"/>
      <c r="AY225" s="219"/>
      <c r="AZ225" s="136"/>
    </row>
    <row r="226" spans="4:52" ht="15" hidden="1" customHeight="1" outlineLevel="1">
      <c r="E226" s="248" t="s">
        <v>36</v>
      </c>
      <c r="L226" s="385">
        <f>SUM(L25,L48,L59,L68,L85,L98,L113,L136,L155,L174,L199,L224)</f>
        <v>824107</v>
      </c>
      <c r="M226" s="385">
        <f>SUM(M25,M48,M59,M68,M85,M98,M113,M136,M155,M174,M199,M224)</f>
        <v>1002936</v>
      </c>
      <c r="N226" s="385">
        <f>SUM(N25,N48,N59,N68,N85,N98,N113,N136,N155,N174,N199,N224)</f>
        <v>1827043</v>
      </c>
    </row>
    <row r="227" spans="4:52" ht="15" hidden="1" customHeight="1" outlineLevel="1">
      <c r="E227" s="249" t="s">
        <v>36</v>
      </c>
      <c r="F227" s="250"/>
      <c r="G227" s="251" t="s">
        <v>98</v>
      </c>
      <c r="H227" s="252"/>
      <c r="I227" s="252"/>
      <c r="J227" s="253" t="s">
        <v>104</v>
      </c>
      <c r="K227" s="254">
        <v>5.2088599999999996</v>
      </c>
      <c r="L227" s="254"/>
      <c r="M227" s="254"/>
      <c r="N227" s="254"/>
      <c r="O227" s="254"/>
      <c r="P227" s="254"/>
      <c r="Q227" s="1161"/>
      <c r="R227" s="1161"/>
      <c r="S227" s="255"/>
      <c r="T227" s="256"/>
      <c r="V227" s="1165" t="str">
        <f>"망간광 "&amp;E227&amp;" 실적"</f>
        <v>망간광 1월 실적</v>
      </c>
      <c r="W227" s="1166"/>
      <c r="X227" s="1166"/>
      <c r="Y227" s="1166"/>
      <c r="Z227" s="1166"/>
      <c r="AA227" s="1166"/>
      <c r="AB227" s="1166"/>
      <c r="AC227" s="1166"/>
      <c r="AD227" s="1167"/>
    </row>
    <row r="228" spans="4:52" ht="15" hidden="1" customHeight="1" outlineLevel="1">
      <c r="E228" s="257"/>
      <c r="F228" s="248"/>
      <c r="G228" s="258"/>
      <c r="J228" s="259" t="s">
        <v>160</v>
      </c>
      <c r="K228" s="239">
        <f>N25/1000</f>
        <v>94.87</v>
      </c>
      <c r="Q228" s="260"/>
      <c r="R228" s="260"/>
      <c r="T228" s="261"/>
      <c r="V228" s="498" t="s">
        <v>102</v>
      </c>
      <c r="W228" s="499" t="s">
        <v>103</v>
      </c>
      <c r="X228" s="500" t="s">
        <v>129</v>
      </c>
      <c r="Y228" s="498" t="s">
        <v>102</v>
      </c>
      <c r="Z228" s="499" t="s">
        <v>103</v>
      </c>
      <c r="AA228" s="500" t="s">
        <v>129</v>
      </c>
      <c r="AB228" s="498" t="s">
        <v>102</v>
      </c>
      <c r="AC228" s="499" t="s">
        <v>103</v>
      </c>
      <c r="AD228" s="500" t="s">
        <v>129</v>
      </c>
    </row>
    <row r="229" spans="4:52" ht="15" hidden="1" customHeight="1" outlineLevel="1">
      <c r="E229" s="257"/>
      <c r="F229" s="248"/>
      <c r="G229" s="258"/>
      <c r="J229" s="259"/>
      <c r="Q229" s="260"/>
      <c r="R229" s="260"/>
      <c r="T229" s="261"/>
      <c r="V229" s="501" t="s">
        <v>342</v>
      </c>
      <c r="W229" s="502">
        <v>2587.08</v>
      </c>
      <c r="X229" s="503" t="s">
        <v>345</v>
      </c>
      <c r="Y229" s="504"/>
      <c r="Z229" s="505"/>
      <c r="AA229" s="506"/>
      <c r="AB229" s="507"/>
      <c r="AC229" s="505"/>
      <c r="AD229" s="506"/>
    </row>
    <row r="230" spans="4:52" ht="15" hidden="1" customHeight="1" outlineLevel="1">
      <c r="E230" s="264"/>
      <c r="G230" s="265"/>
      <c r="H230" s="266"/>
      <c r="I230" s="267" t="s">
        <v>28</v>
      </c>
      <c r="J230" s="267" t="str">
        <f>E227&amp;" 전망"</f>
        <v>1월 전망</v>
      </c>
      <c r="K230" s="268">
        <f>K227+K228-K229</f>
        <v>100.07886000000001</v>
      </c>
      <c r="L230" s="268"/>
      <c r="M230" s="268"/>
      <c r="N230" s="269"/>
      <c r="O230" s="269"/>
      <c r="P230" s="269"/>
      <c r="Q230" s="270">
        <f>K230/K231</f>
        <v>0.37894305187429</v>
      </c>
      <c r="R230" s="271" t="str">
        <f>E227&amp;" 누계 전망"</f>
        <v>1월 누계 전망</v>
      </c>
      <c r="S230" s="272">
        <f>K230</f>
        <v>100.07886000000001</v>
      </c>
      <c r="T230" s="273">
        <f>S230/S231</f>
        <v>0.37894305187429</v>
      </c>
      <c r="U230" s="274"/>
      <c r="V230" s="430" t="s">
        <v>343</v>
      </c>
      <c r="W230" s="437">
        <v>2888.9</v>
      </c>
      <c r="X230" s="374" t="s">
        <v>344</v>
      </c>
      <c r="Y230" s="433"/>
      <c r="Z230" s="438"/>
      <c r="AA230" s="263"/>
      <c r="AB230" s="435"/>
      <c r="AC230" s="438"/>
      <c r="AD230" s="263"/>
    </row>
    <row r="231" spans="4:52" ht="15" hidden="1" customHeight="1" outlineLevel="1">
      <c r="E231" s="264"/>
      <c r="G231" s="275" t="s">
        <v>27</v>
      </c>
      <c r="H231" s="276"/>
      <c r="I231" s="276"/>
      <c r="J231" s="277" t="str">
        <f>E227&amp;" 계획(ST)"</f>
        <v>1월 계획(ST)</v>
      </c>
      <c r="K231" s="318">
        <v>264.10000000000002</v>
      </c>
      <c r="L231" s="278"/>
      <c r="M231" s="278"/>
      <c r="N231" s="278"/>
      <c r="O231" s="278"/>
      <c r="P231" s="278"/>
      <c r="Q231" s="279"/>
      <c r="R231" s="279" t="s">
        <v>131</v>
      </c>
      <c r="S231" s="280">
        <f>K231</f>
        <v>264.10000000000002</v>
      </c>
      <c r="T231" s="281"/>
      <c r="V231" s="431"/>
      <c r="W231" s="437"/>
      <c r="X231" s="374"/>
      <c r="Y231" s="433"/>
      <c r="Z231" s="438"/>
      <c r="AA231" s="263"/>
      <c r="AB231" s="435"/>
      <c r="AC231" s="438"/>
      <c r="AD231" s="263"/>
    </row>
    <row r="232" spans="4:52" ht="15" hidden="1" customHeight="1" outlineLevel="1">
      <c r="E232" s="264"/>
      <c r="G232" s="258"/>
      <c r="J232" s="259" t="s">
        <v>27</v>
      </c>
      <c r="K232" s="282">
        <f>K230-K231</f>
        <v>-164.02114</v>
      </c>
      <c r="Q232" s="283"/>
      <c r="R232" s="284"/>
      <c r="S232" s="282">
        <f>S230-S231</f>
        <v>-164.02114</v>
      </c>
      <c r="T232" s="285"/>
      <c r="V232" s="431"/>
      <c r="W232" s="437"/>
      <c r="X232" s="374"/>
      <c r="Y232" s="433"/>
      <c r="Z232" s="438"/>
      <c r="AA232" s="263"/>
      <c r="AB232" s="435"/>
      <c r="AC232" s="438"/>
      <c r="AD232" s="263"/>
    </row>
    <row r="233" spans="4:52" ht="15" hidden="1" customHeight="1" outlineLevel="1">
      <c r="E233" s="264"/>
      <c r="G233" s="265"/>
      <c r="H233" s="266"/>
      <c r="I233" s="266"/>
      <c r="J233" s="267" t="s">
        <v>31</v>
      </c>
      <c r="K233" s="286">
        <f>K234/K231</f>
        <v>0.37995448693676631</v>
      </c>
      <c r="L233" s="286"/>
      <c r="M233" s="286"/>
      <c r="N233" s="269"/>
      <c r="O233" s="269"/>
      <c r="P233" s="269"/>
      <c r="Q233" s="287"/>
      <c r="R233" s="288"/>
      <c r="S233" s="286">
        <f>K235/S231</f>
        <v>0.37995448693676631</v>
      </c>
      <c r="T233" s="289"/>
      <c r="V233" s="432"/>
      <c r="W233" s="439"/>
      <c r="X233" s="375"/>
      <c r="Y233" s="434"/>
      <c r="Z233" s="440"/>
      <c r="AA233" s="294"/>
      <c r="AB233" s="436"/>
      <c r="AC233" s="440"/>
      <c r="AD233" s="294"/>
    </row>
    <row r="234" spans="4:52" ht="15" hidden="1" customHeight="1" outlineLevel="1">
      <c r="E234" s="264"/>
      <c r="G234" s="275" t="s">
        <v>99</v>
      </c>
      <c r="H234" s="276"/>
      <c r="I234" s="373">
        <v>44592</v>
      </c>
      <c r="J234" s="379" t="s">
        <v>167</v>
      </c>
      <c r="K234" s="290">
        <f>(N25+W235)/1000</f>
        <v>100.34598</v>
      </c>
      <c r="L234" s="290"/>
      <c r="M234" s="290"/>
      <c r="N234" s="278"/>
      <c r="O234" s="278"/>
      <c r="P234" s="278"/>
      <c r="Q234" s="291" t="s">
        <v>97</v>
      </c>
      <c r="R234" s="292"/>
      <c r="S234" s="293"/>
      <c r="T234" s="281"/>
      <c r="V234" s="320" t="s">
        <v>79</v>
      </c>
      <c r="W234" s="306">
        <f>SUM(W229:W233)+SUM(Z229:Z233)+SUM(AC229:AC233)</f>
        <v>5475.98</v>
      </c>
    </row>
    <row r="235" spans="4:52" ht="15" hidden="1" customHeight="1" outlineLevel="1">
      <c r="E235" s="295"/>
      <c r="F235" s="296"/>
      <c r="G235" s="297"/>
      <c r="H235" s="296"/>
      <c r="I235" s="296"/>
      <c r="J235" s="298" t="str">
        <f>E227&amp;" 누계 실적(종합)"</f>
        <v>1월 누계 실적(종합)</v>
      </c>
      <c r="K235" s="299">
        <f>K234</f>
        <v>100.34598</v>
      </c>
      <c r="L235" s="299"/>
      <c r="M235" s="299"/>
      <c r="N235" s="300"/>
      <c r="O235" s="300"/>
      <c r="P235" s="300"/>
      <c r="Q235" s="301" t="s">
        <v>97</v>
      </c>
      <c r="R235" s="302"/>
      <c r="S235" s="303"/>
      <c r="T235" s="304"/>
      <c r="V235" s="321" t="s">
        <v>112</v>
      </c>
      <c r="W235" s="322">
        <f>W234</f>
        <v>5475.98</v>
      </c>
    </row>
    <row r="236" spans="4:52" ht="15" hidden="1" customHeight="1" outlineLevel="1">
      <c r="E236" s="307" t="s">
        <v>105</v>
      </c>
      <c r="F236" s="308"/>
      <c r="G236" s="308"/>
      <c r="H236" s="308"/>
      <c r="I236" s="308"/>
      <c r="J236" s="309"/>
      <c r="K236" s="310"/>
      <c r="L236" s="310"/>
      <c r="M236" s="310"/>
      <c r="N236" s="311"/>
      <c r="O236" s="311"/>
      <c r="P236" s="311"/>
      <c r="Q236" s="312"/>
      <c r="R236" s="313"/>
      <c r="S236" s="314"/>
      <c r="T236" s="314"/>
      <c r="U236" s="315"/>
      <c r="V236" s="316"/>
      <c r="W236" s="317"/>
    </row>
    <row r="237" spans="4:52" ht="15" hidden="1" customHeight="1" outlineLevel="1">
      <c r="E237" s="249" t="s">
        <v>105</v>
      </c>
      <c r="F237" s="250"/>
      <c r="G237" s="251" t="s">
        <v>98</v>
      </c>
      <c r="H237" s="252"/>
      <c r="I237" s="252"/>
      <c r="J237" s="253" t="s">
        <v>104</v>
      </c>
      <c r="K237" s="254">
        <v>50</v>
      </c>
      <c r="L237" s="254"/>
      <c r="M237" s="254"/>
      <c r="N237" s="254"/>
      <c r="O237" s="254"/>
      <c r="P237" s="254"/>
      <c r="Q237" s="1161"/>
      <c r="R237" s="1161"/>
      <c r="S237" s="255"/>
      <c r="T237" s="256"/>
      <c r="V237" s="1162" t="str">
        <f>"망간광 "&amp;E237&amp;" 실적"</f>
        <v>망간광 2월 실적</v>
      </c>
      <c r="W237" s="1163"/>
      <c r="X237" s="1163"/>
      <c r="Y237" s="1163"/>
      <c r="Z237" s="1163"/>
      <c r="AA237" s="1163"/>
      <c r="AB237" s="1163"/>
      <c r="AC237" s="1163"/>
      <c r="AD237" s="1164"/>
    </row>
    <row r="238" spans="4:52" ht="15" hidden="1" customHeight="1" outlineLevel="1">
      <c r="E238" s="257"/>
      <c r="F238" s="248"/>
      <c r="G238" s="258"/>
      <c r="J238" s="259" t="s">
        <v>160</v>
      </c>
      <c r="K238" s="239">
        <f>N48/1000</f>
        <v>588.56100000000004</v>
      </c>
      <c r="Q238" s="260"/>
      <c r="R238" s="260"/>
      <c r="T238" s="261"/>
      <c r="V238" s="498" t="s">
        <v>102</v>
      </c>
      <c r="W238" s="499" t="s">
        <v>103</v>
      </c>
      <c r="X238" s="500" t="s">
        <v>129</v>
      </c>
      <c r="Y238" s="498" t="s">
        <v>102</v>
      </c>
      <c r="Z238" s="499" t="s">
        <v>103</v>
      </c>
      <c r="AA238" s="500" t="s">
        <v>129</v>
      </c>
      <c r="AB238" s="498" t="s">
        <v>102</v>
      </c>
      <c r="AC238" s="499" t="s">
        <v>103</v>
      </c>
      <c r="AD238" s="500" t="s">
        <v>129</v>
      </c>
    </row>
    <row r="239" spans="4:52" ht="15" hidden="1" customHeight="1" outlineLevel="1">
      <c r="D239" s="57"/>
      <c r="E239" s="257"/>
      <c r="F239" s="248"/>
      <c r="G239" s="258"/>
      <c r="J239" s="259"/>
      <c r="Q239" s="260"/>
      <c r="R239" s="260"/>
      <c r="T239" s="261"/>
      <c r="V239" s="501" t="s">
        <v>358</v>
      </c>
      <c r="W239" s="502">
        <v>3185.52</v>
      </c>
      <c r="X239" s="503" t="s">
        <v>359</v>
      </c>
      <c r="Y239" s="504"/>
      <c r="Z239" s="505"/>
      <c r="AA239" s="506"/>
      <c r="AB239" s="507"/>
      <c r="AC239" s="505"/>
      <c r="AD239" s="506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</row>
    <row r="240" spans="4:52" ht="15" hidden="1" customHeight="1" outlineLevel="1">
      <c r="D240" s="57"/>
      <c r="E240" s="264"/>
      <c r="G240" s="265"/>
      <c r="H240" s="266"/>
      <c r="I240" s="267" t="s">
        <v>28</v>
      </c>
      <c r="J240" s="267" t="str">
        <f>E237&amp;" 전망"</f>
        <v>2월 전망</v>
      </c>
      <c r="K240" s="268">
        <f>K237+K238-K239</f>
        <v>638.56100000000004</v>
      </c>
      <c r="L240" s="268"/>
      <c r="M240" s="268"/>
      <c r="N240" s="269"/>
      <c r="O240" s="269"/>
      <c r="P240" s="269"/>
      <c r="Q240" s="270">
        <f>K240/K241</f>
        <v>1.8033352160406664</v>
      </c>
      <c r="R240" s="271" t="str">
        <f>E237&amp;" 누계 전망"</f>
        <v>2월 누계 전망</v>
      </c>
      <c r="S240" s="272">
        <f>K235+K240</f>
        <v>738.90697999999998</v>
      </c>
      <c r="T240" s="273">
        <f>S240/S241</f>
        <v>1.1952555483662244</v>
      </c>
      <c r="U240" s="274"/>
      <c r="V240" s="430" t="s">
        <v>360</v>
      </c>
      <c r="W240" s="437">
        <v>6865.22</v>
      </c>
      <c r="X240" s="374" t="s">
        <v>359</v>
      </c>
      <c r="Y240" s="433"/>
      <c r="Z240" s="438"/>
      <c r="AA240" s="263"/>
      <c r="AB240" s="435"/>
      <c r="AC240" s="438"/>
      <c r="AD240" s="263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</row>
    <row r="241" spans="4:43" ht="15" hidden="1" customHeight="1" outlineLevel="1">
      <c r="D241" s="57"/>
      <c r="E241" s="264"/>
      <c r="G241" s="275" t="s">
        <v>27</v>
      </c>
      <c r="H241" s="276"/>
      <c r="I241" s="276"/>
      <c r="J241" s="277" t="str">
        <f>E237&amp;" 계획(ST)"</f>
        <v>2월 계획(ST)</v>
      </c>
      <c r="K241" s="318">
        <v>354.1</v>
      </c>
      <c r="L241" s="278"/>
      <c r="M241" s="278"/>
      <c r="N241" s="278"/>
      <c r="O241" s="278"/>
      <c r="P241" s="278"/>
      <c r="Q241" s="279"/>
      <c r="R241" s="279" t="s">
        <v>131</v>
      </c>
      <c r="S241" s="319">
        <f>S231+K241</f>
        <v>618.20000000000005</v>
      </c>
      <c r="T241" s="281"/>
      <c r="V241" s="430" t="s">
        <v>376</v>
      </c>
      <c r="W241" s="437">
        <v>8603.4599999999991</v>
      </c>
      <c r="X241" s="374" t="s">
        <v>379</v>
      </c>
      <c r="Y241" s="433"/>
      <c r="Z241" s="438"/>
      <c r="AA241" s="263"/>
      <c r="AB241" s="435"/>
      <c r="AC241" s="438"/>
      <c r="AD241" s="263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</row>
    <row r="242" spans="4:43" ht="15" hidden="1" customHeight="1" outlineLevel="1">
      <c r="D242" s="57"/>
      <c r="E242" s="264"/>
      <c r="G242" s="258"/>
      <c r="J242" s="259" t="s">
        <v>27</v>
      </c>
      <c r="K242" s="282">
        <f>K240-K241</f>
        <v>284.46100000000001</v>
      </c>
      <c r="Q242" s="283"/>
      <c r="R242" s="284"/>
      <c r="S242" s="282">
        <f>S240-S241</f>
        <v>120.70697999999993</v>
      </c>
      <c r="T242" s="285"/>
      <c r="V242" s="430" t="s">
        <v>377</v>
      </c>
      <c r="W242" s="437">
        <v>7915.12</v>
      </c>
      <c r="X242" s="374" t="s">
        <v>379</v>
      </c>
      <c r="Y242" s="433"/>
      <c r="Z242" s="438"/>
      <c r="AA242" s="263"/>
      <c r="AB242" s="435"/>
      <c r="AC242" s="438"/>
      <c r="AD242" s="263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</row>
    <row r="243" spans="4:43" ht="15" hidden="1" customHeight="1" outlineLevel="1">
      <c r="D243" s="57"/>
      <c r="E243" s="264"/>
      <c r="G243" s="265"/>
      <c r="H243" s="266"/>
      <c r="I243" s="266"/>
      <c r="J243" s="267" t="s">
        <v>31</v>
      </c>
      <c r="K243" s="286">
        <f>K244/K241</f>
        <v>1.7434134990115786</v>
      </c>
      <c r="L243" s="286"/>
      <c r="M243" s="286"/>
      <c r="N243" s="269"/>
      <c r="O243" s="269"/>
      <c r="P243" s="269"/>
      <c r="Q243" s="287"/>
      <c r="R243" s="288"/>
      <c r="S243" s="286">
        <f>K245/S241</f>
        <v>1.1609328696214816</v>
      </c>
      <c r="T243" s="289"/>
      <c r="V243" s="430" t="s">
        <v>378</v>
      </c>
      <c r="W243" s="439">
        <v>2212.4</v>
      </c>
      <c r="X243" s="375" t="s">
        <v>379</v>
      </c>
      <c r="Y243" s="434"/>
      <c r="Z243" s="440"/>
      <c r="AA243" s="294"/>
      <c r="AB243" s="436"/>
      <c r="AC243" s="440"/>
      <c r="AD243" s="294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</row>
    <row r="244" spans="4:43" ht="15" hidden="1" customHeight="1" outlineLevel="1">
      <c r="D244" s="57"/>
      <c r="E244" s="264"/>
      <c r="G244" s="275" t="s">
        <v>99</v>
      </c>
      <c r="H244" s="276"/>
      <c r="I244" s="373">
        <v>44620</v>
      </c>
      <c r="J244" s="379" t="s">
        <v>167</v>
      </c>
      <c r="K244" s="290">
        <f>(N48+W244)/1000</f>
        <v>617.34271999999999</v>
      </c>
      <c r="L244" s="290"/>
      <c r="M244" s="290"/>
      <c r="N244" s="278"/>
      <c r="O244" s="278"/>
      <c r="P244" s="278"/>
      <c r="Q244" s="291" t="s">
        <v>97</v>
      </c>
      <c r="R244" s="292"/>
      <c r="S244" s="293"/>
      <c r="T244" s="281"/>
      <c r="V244" s="320" t="s">
        <v>79</v>
      </c>
      <c r="W244" s="306">
        <f>SUM(W239:W243)+SUM(Z239:Z243)+SUM(AC239:AC243)</f>
        <v>28781.719999999998</v>
      </c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</row>
    <row r="245" spans="4:43" ht="15" hidden="1" customHeight="1" outlineLevel="1">
      <c r="D245" s="57"/>
      <c r="E245" s="295"/>
      <c r="F245" s="296"/>
      <c r="G245" s="297"/>
      <c r="H245" s="296"/>
      <c r="I245" s="296"/>
      <c r="J245" s="298" t="str">
        <f>E237&amp;" 누계 실적(종합)"</f>
        <v>2월 누계 실적(종합)</v>
      </c>
      <c r="K245" s="299">
        <f>K235+K244</f>
        <v>717.68869999999993</v>
      </c>
      <c r="L245" s="299"/>
      <c r="M245" s="299"/>
      <c r="N245" s="300"/>
      <c r="O245" s="300"/>
      <c r="P245" s="300"/>
      <c r="Q245" s="301" t="s">
        <v>97</v>
      </c>
      <c r="R245" s="302"/>
      <c r="S245" s="303"/>
      <c r="T245" s="304"/>
      <c r="V245" s="321" t="s">
        <v>112</v>
      </c>
      <c r="W245" s="322">
        <f>W235+W244</f>
        <v>34257.699999999997</v>
      </c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</row>
    <row r="246" spans="4:43" ht="15" hidden="1" customHeight="1" outlineLevel="1">
      <c r="D246" s="57"/>
      <c r="E246" s="307" t="s">
        <v>508</v>
      </c>
      <c r="I246" s="323"/>
      <c r="V246" s="324"/>
      <c r="W246" s="325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</row>
    <row r="247" spans="4:43" ht="15" hidden="1" customHeight="1" outlineLevel="1">
      <c r="D247" s="57"/>
      <c r="E247" s="249" t="s">
        <v>114</v>
      </c>
      <c r="F247" s="250"/>
      <c r="G247" s="251" t="s">
        <v>98</v>
      </c>
      <c r="H247" s="252"/>
      <c r="I247" s="252"/>
      <c r="J247" s="253" t="s">
        <v>104</v>
      </c>
      <c r="K247" s="254">
        <v>50</v>
      </c>
      <c r="L247" s="254"/>
      <c r="M247" s="254"/>
      <c r="N247" s="254"/>
      <c r="O247" s="254"/>
      <c r="P247" s="254"/>
      <c r="Q247" s="1161"/>
      <c r="R247" s="1161"/>
      <c r="S247" s="255"/>
      <c r="T247" s="256"/>
      <c r="V247" s="1162" t="str">
        <f>"망간광 "&amp;E247&amp;" 실적"</f>
        <v>망간광 3월 실적</v>
      </c>
      <c r="W247" s="1163"/>
      <c r="X247" s="1163"/>
      <c r="Y247" s="1163"/>
      <c r="Z247" s="1163"/>
      <c r="AA247" s="1163"/>
      <c r="AB247" s="1163"/>
      <c r="AC247" s="1163"/>
      <c r="AD247" s="1164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</row>
    <row r="248" spans="4:43" ht="15" hidden="1" customHeight="1" outlineLevel="1">
      <c r="D248" s="57"/>
      <c r="E248" s="257"/>
      <c r="F248" s="248"/>
      <c r="G248" s="258"/>
      <c r="J248" s="259" t="s">
        <v>160</v>
      </c>
      <c r="K248" s="239">
        <f>N59/1000</f>
        <v>235.73</v>
      </c>
      <c r="Q248" s="260"/>
      <c r="R248" s="260"/>
      <c r="T248" s="261"/>
      <c r="V248" s="498" t="s">
        <v>102</v>
      </c>
      <c r="W248" s="499" t="s">
        <v>103</v>
      </c>
      <c r="X248" s="500" t="s">
        <v>129</v>
      </c>
      <c r="Y248" s="498" t="s">
        <v>102</v>
      </c>
      <c r="Z248" s="499" t="s">
        <v>103</v>
      </c>
      <c r="AA248" s="500" t="s">
        <v>129</v>
      </c>
      <c r="AB248" s="498" t="s">
        <v>102</v>
      </c>
      <c r="AC248" s="499" t="s">
        <v>103</v>
      </c>
      <c r="AD248" s="500" t="s">
        <v>129</v>
      </c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</row>
    <row r="249" spans="4:43" ht="15" hidden="1" customHeight="1" outlineLevel="1">
      <c r="D249" s="57"/>
      <c r="E249" s="257"/>
      <c r="F249" s="248"/>
      <c r="G249" s="258"/>
      <c r="J249" s="259"/>
      <c r="Q249" s="260"/>
      <c r="R249" s="260"/>
      <c r="T249" s="261"/>
      <c r="V249" s="501" t="s">
        <v>380</v>
      </c>
      <c r="W249" s="502">
        <v>8055.24</v>
      </c>
      <c r="X249" s="503" t="s">
        <v>359</v>
      </c>
      <c r="Y249" s="504"/>
      <c r="Z249" s="505"/>
      <c r="AA249" s="506"/>
      <c r="AB249" s="507"/>
      <c r="AC249" s="505"/>
      <c r="AD249" s="506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</row>
    <row r="250" spans="4:43" ht="15" hidden="1" customHeight="1" outlineLevel="1">
      <c r="D250" s="57"/>
      <c r="E250" s="264"/>
      <c r="G250" s="265"/>
      <c r="H250" s="266"/>
      <c r="I250" s="267" t="s">
        <v>28</v>
      </c>
      <c r="J250" s="267" t="str">
        <f>E247&amp;" 전망"</f>
        <v>3월 전망</v>
      </c>
      <c r="K250" s="268">
        <f>K247+K248-K249</f>
        <v>285.73</v>
      </c>
      <c r="L250" s="268"/>
      <c r="M250" s="268"/>
      <c r="N250" s="269"/>
      <c r="O250" s="269"/>
      <c r="P250" s="269"/>
      <c r="Q250" s="270">
        <f>K250/K251</f>
        <v>1.2471846355303362</v>
      </c>
      <c r="R250" s="271" t="str">
        <f>E247&amp;" 누계 전망"</f>
        <v>3월 누계 전망</v>
      </c>
      <c r="S250" s="272">
        <f>K245+K250</f>
        <v>1003.4186999999999</v>
      </c>
      <c r="T250" s="273">
        <f>S250/S251</f>
        <v>1.1842543373067389</v>
      </c>
      <c r="U250" s="274"/>
      <c r="V250" s="430" t="s">
        <v>381</v>
      </c>
      <c r="W250" s="437">
        <v>7242.8</v>
      </c>
      <c r="X250" s="374" t="s">
        <v>382</v>
      </c>
      <c r="Y250" s="433"/>
      <c r="Z250" s="438"/>
      <c r="AA250" s="263"/>
      <c r="AB250" s="435"/>
      <c r="AC250" s="438"/>
      <c r="AD250" s="263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</row>
    <row r="251" spans="4:43" ht="15" hidden="1" customHeight="1" outlineLevel="1">
      <c r="D251" s="57"/>
      <c r="E251" s="264"/>
      <c r="G251" s="275" t="s">
        <v>27</v>
      </c>
      <c r="H251" s="276"/>
      <c r="I251" s="276"/>
      <c r="J251" s="277" t="str">
        <f>E247&amp;" 계획(ST)"</f>
        <v>3월 계획(ST)</v>
      </c>
      <c r="K251" s="318">
        <v>229.1</v>
      </c>
      <c r="L251" s="278"/>
      <c r="M251" s="278"/>
      <c r="N251" s="278"/>
      <c r="O251" s="278"/>
      <c r="P251" s="278"/>
      <c r="Q251" s="279"/>
      <c r="R251" s="279" t="s">
        <v>131</v>
      </c>
      <c r="S251" s="319">
        <f>S241+K251</f>
        <v>847.30000000000007</v>
      </c>
      <c r="T251" s="281"/>
      <c r="V251" s="431"/>
      <c r="W251" s="437"/>
      <c r="X251" s="374"/>
      <c r="Y251" s="433"/>
      <c r="Z251" s="438"/>
      <c r="AA251" s="263"/>
      <c r="AB251" s="435"/>
      <c r="AC251" s="438"/>
      <c r="AD251" s="263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</row>
    <row r="252" spans="4:43" ht="15" hidden="1" customHeight="1" outlineLevel="1">
      <c r="D252" s="57"/>
      <c r="E252" s="264"/>
      <c r="G252" s="258"/>
      <c r="J252" s="259" t="s">
        <v>27</v>
      </c>
      <c r="K252" s="282">
        <f>K250-K251</f>
        <v>56.630000000000024</v>
      </c>
      <c r="Q252" s="283"/>
      <c r="R252" s="284"/>
      <c r="S252" s="282">
        <f>S250-S251</f>
        <v>156.11869999999988</v>
      </c>
      <c r="T252" s="285"/>
      <c r="V252" s="431"/>
      <c r="W252" s="437"/>
      <c r="X252" s="374"/>
      <c r="Y252" s="433"/>
      <c r="Z252" s="438"/>
      <c r="AA252" s="263"/>
      <c r="AB252" s="435"/>
      <c r="AC252" s="438"/>
      <c r="AD252" s="263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</row>
    <row r="253" spans="4:43" ht="15" hidden="1" customHeight="1" outlineLevel="1">
      <c r="D253" s="57"/>
      <c r="E253" s="264"/>
      <c r="G253" s="265"/>
      <c r="H253" s="266"/>
      <c r="I253" s="266"/>
      <c r="J253" s="267" t="s">
        <v>31</v>
      </c>
      <c r="K253" s="286">
        <f>K254/K251</f>
        <v>1.0957138367525099</v>
      </c>
      <c r="L253" s="286"/>
      <c r="M253" s="286"/>
      <c r="N253" s="269"/>
      <c r="O253" s="269"/>
      <c r="P253" s="269"/>
      <c r="Q253" s="287"/>
      <c r="R253" s="288"/>
      <c r="S253" s="286">
        <f>K255/S251</f>
        <v>1.1432984067036467</v>
      </c>
      <c r="T253" s="289"/>
      <c r="V253" s="432"/>
      <c r="W253" s="439"/>
      <c r="X253" s="375"/>
      <c r="Y253" s="434"/>
      <c r="Z253" s="440"/>
      <c r="AA253" s="294"/>
      <c r="AB253" s="436"/>
      <c r="AC253" s="440"/>
      <c r="AD253" s="294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</row>
    <row r="254" spans="4:43" ht="15" hidden="1" customHeight="1" outlineLevel="1">
      <c r="D254" s="57"/>
      <c r="E254" s="264"/>
      <c r="G254" s="275" t="s">
        <v>99</v>
      </c>
      <c r="H254" s="276"/>
      <c r="I254" s="373">
        <v>44651</v>
      </c>
      <c r="J254" s="379" t="s">
        <v>167</v>
      </c>
      <c r="K254" s="290">
        <f>((N59+W254)/1000)</f>
        <v>251.02804</v>
      </c>
      <c r="L254" s="290"/>
      <c r="M254" s="290"/>
      <c r="N254" s="278"/>
      <c r="O254" s="278"/>
      <c r="P254" s="278"/>
      <c r="Q254" s="291" t="s">
        <v>97</v>
      </c>
      <c r="R254" s="292"/>
      <c r="S254" s="293"/>
      <c r="T254" s="281"/>
      <c r="V254" s="305" t="s">
        <v>79</v>
      </c>
      <c r="W254" s="306">
        <f>SUM(W249:W253)+SUM(Z249:Z254)+SUM(AC249:AC254)</f>
        <v>15298.04</v>
      </c>
      <c r="X254" s="441"/>
      <c r="Y254" s="442"/>
      <c r="Z254" s="443"/>
      <c r="AA254" s="444"/>
      <c r="AB254" s="444"/>
      <c r="AC254" s="444"/>
      <c r="AD254" s="445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</row>
    <row r="255" spans="4:43" ht="15" hidden="1" customHeight="1" outlineLevel="1">
      <c r="D255" s="57"/>
      <c r="E255" s="295"/>
      <c r="F255" s="296"/>
      <c r="G255" s="297"/>
      <c r="H255" s="296"/>
      <c r="I255" s="296"/>
      <c r="J255" s="298" t="str">
        <f>E247&amp;" 누계 실적(종합)"</f>
        <v>3월 누계 실적(종합)</v>
      </c>
      <c r="K255" s="299">
        <f>K245+K254</f>
        <v>968.71673999999996</v>
      </c>
      <c r="L255" s="299"/>
      <c r="M255" s="299"/>
      <c r="N255" s="300"/>
      <c r="O255" s="300"/>
      <c r="P255" s="300"/>
      <c r="Q255" s="301" t="s">
        <v>97</v>
      </c>
      <c r="R255" s="302"/>
      <c r="S255" s="303"/>
      <c r="T255" s="304"/>
      <c r="V255" s="321" t="s">
        <v>112</v>
      </c>
      <c r="W255" s="322">
        <f>W245+W254</f>
        <v>49555.74</v>
      </c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</row>
    <row r="256" spans="4:43" ht="15" hidden="1" customHeight="1" outlineLevel="1">
      <c r="D256" s="57"/>
      <c r="E256" s="248" t="s">
        <v>115</v>
      </c>
      <c r="I256" s="323"/>
      <c r="V256" s="326"/>
      <c r="W256" s="32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</row>
    <row r="257" spans="4:43" ht="15" hidden="1" customHeight="1" outlineLevel="1">
      <c r="D257" s="57"/>
      <c r="E257" s="249" t="s">
        <v>115</v>
      </c>
      <c r="F257" s="250"/>
      <c r="G257" s="251" t="s">
        <v>98</v>
      </c>
      <c r="H257" s="252"/>
      <c r="I257" s="252"/>
      <c r="J257" s="253" t="s">
        <v>104</v>
      </c>
      <c r="K257" s="254">
        <v>20</v>
      </c>
      <c r="L257" s="254"/>
      <c r="M257" s="254"/>
      <c r="N257" s="254"/>
      <c r="O257" s="254"/>
      <c r="P257" s="254"/>
      <c r="Q257" s="1161"/>
      <c r="R257" s="1161"/>
      <c r="S257" s="255"/>
      <c r="T257" s="256"/>
      <c r="V257" s="1162" t="str">
        <f>"망간광 "&amp;E257&amp;" 실적"</f>
        <v>망간광 4월 실적</v>
      </c>
      <c r="W257" s="1163"/>
      <c r="X257" s="1163"/>
      <c r="Y257" s="1163"/>
      <c r="Z257" s="1163"/>
      <c r="AA257" s="1163"/>
      <c r="AB257" s="1163"/>
      <c r="AC257" s="1163"/>
      <c r="AD257" s="1164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</row>
    <row r="258" spans="4:43" ht="15" hidden="1" customHeight="1" outlineLevel="1">
      <c r="D258" s="57"/>
      <c r="E258" s="257"/>
      <c r="F258" s="248"/>
      <c r="G258" s="258"/>
      <c r="J258" s="259" t="s">
        <v>160</v>
      </c>
      <c r="K258" s="239">
        <f>N68/1000</f>
        <v>162.501</v>
      </c>
      <c r="Q258" s="260"/>
      <c r="R258" s="260"/>
      <c r="T258" s="261"/>
      <c r="V258" s="498" t="s">
        <v>102</v>
      </c>
      <c r="W258" s="499" t="s">
        <v>103</v>
      </c>
      <c r="X258" s="500" t="s">
        <v>129</v>
      </c>
      <c r="Y258" s="498" t="s">
        <v>102</v>
      </c>
      <c r="Z258" s="499" t="s">
        <v>103</v>
      </c>
      <c r="AA258" s="500" t="s">
        <v>129</v>
      </c>
      <c r="AB258" s="498" t="s">
        <v>102</v>
      </c>
      <c r="AC258" s="499" t="s">
        <v>103</v>
      </c>
      <c r="AD258" s="500" t="s">
        <v>129</v>
      </c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</row>
    <row r="259" spans="4:43" ht="15" hidden="1" customHeight="1" outlineLevel="1">
      <c r="D259" s="57"/>
      <c r="E259" s="257"/>
      <c r="F259" s="248"/>
      <c r="G259" s="258"/>
      <c r="J259" s="259" t="s">
        <v>116</v>
      </c>
      <c r="Q259" s="260"/>
      <c r="R259" s="260"/>
      <c r="T259" s="261"/>
      <c r="V259" s="501" t="s">
        <v>414</v>
      </c>
      <c r="W259" s="502">
        <v>5509.42</v>
      </c>
      <c r="X259" s="503" t="s">
        <v>415</v>
      </c>
      <c r="Y259" s="504"/>
      <c r="Z259" s="505"/>
      <c r="AA259" s="506"/>
      <c r="AB259" s="507"/>
      <c r="AC259" s="505"/>
      <c r="AD259" s="506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</row>
    <row r="260" spans="4:43" ht="15" hidden="1" customHeight="1" outlineLevel="1">
      <c r="D260" s="57"/>
      <c r="E260" s="264"/>
      <c r="G260" s="265"/>
      <c r="H260" s="266"/>
      <c r="I260" s="267" t="s">
        <v>28</v>
      </c>
      <c r="J260" s="267" t="str">
        <f>E257&amp;" 전망"</f>
        <v>4월 전망</v>
      </c>
      <c r="K260" s="268">
        <f>K257+K258-K259</f>
        <v>182.501</v>
      </c>
      <c r="L260" s="268"/>
      <c r="M260" s="268"/>
      <c r="N260" s="269"/>
      <c r="O260" s="269"/>
      <c r="P260" s="269"/>
      <c r="Q260" s="270">
        <f>K260/K261</f>
        <v>0.60271136063408193</v>
      </c>
      <c r="R260" s="271" t="str">
        <f>E257&amp;" 누계 전망"</f>
        <v>4월 누계 전망</v>
      </c>
      <c r="S260" s="272">
        <f>K255+K260</f>
        <v>1151.21774</v>
      </c>
      <c r="T260" s="273">
        <f>S260/S261</f>
        <v>1.0009718633162332</v>
      </c>
      <c r="U260" s="274"/>
      <c r="V260" s="430" t="s">
        <v>417</v>
      </c>
      <c r="W260" s="437">
        <v>7580.98</v>
      </c>
      <c r="X260" s="374" t="s">
        <v>415</v>
      </c>
      <c r="Y260" s="433"/>
      <c r="Z260" s="438"/>
      <c r="AA260" s="263"/>
      <c r="AB260" s="435"/>
      <c r="AC260" s="438"/>
      <c r="AD260" s="263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</row>
    <row r="261" spans="4:43" ht="15" hidden="1" customHeight="1" outlineLevel="1">
      <c r="D261" s="57"/>
      <c r="E261" s="264"/>
      <c r="G261" s="275" t="s">
        <v>27</v>
      </c>
      <c r="H261" s="276"/>
      <c r="I261" s="276"/>
      <c r="J261" s="277" t="str">
        <f>E257&amp;" 계획(ST)"</f>
        <v>4월 계획(ST)</v>
      </c>
      <c r="K261" s="318">
        <v>302.8</v>
      </c>
      <c r="L261" s="278"/>
      <c r="M261" s="278"/>
      <c r="N261" s="278"/>
      <c r="O261" s="278"/>
      <c r="P261" s="278"/>
      <c r="Q261" s="279"/>
      <c r="R261" s="279" t="s">
        <v>131</v>
      </c>
      <c r="S261" s="319">
        <f>S251+K261</f>
        <v>1150.1000000000001</v>
      </c>
      <c r="T261" s="281"/>
      <c r="V261" s="430" t="s">
        <v>418</v>
      </c>
      <c r="W261" s="437">
        <v>2642</v>
      </c>
      <c r="X261" s="374" t="s">
        <v>415</v>
      </c>
      <c r="Y261" s="433"/>
      <c r="Z261" s="438"/>
      <c r="AA261" s="263"/>
      <c r="AB261" s="435"/>
      <c r="AC261" s="438"/>
      <c r="AD261" s="263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</row>
    <row r="262" spans="4:43" ht="15" hidden="1" customHeight="1" outlineLevel="1">
      <c r="D262" s="57"/>
      <c r="E262" s="264"/>
      <c r="G262" s="258"/>
      <c r="J262" s="259" t="s">
        <v>27</v>
      </c>
      <c r="K262" s="282">
        <f>K260-K261</f>
        <v>-120.29900000000001</v>
      </c>
      <c r="Q262" s="283"/>
      <c r="R262" s="284"/>
      <c r="S262" s="282">
        <f>S260-S261</f>
        <v>1.1177399999999125</v>
      </c>
      <c r="T262" s="285"/>
      <c r="V262" s="430" t="s">
        <v>416</v>
      </c>
      <c r="W262" s="437">
        <v>4408.08</v>
      </c>
      <c r="X262" s="374" t="s">
        <v>359</v>
      </c>
      <c r="Y262" s="433"/>
      <c r="Z262" s="438"/>
      <c r="AA262" s="263"/>
      <c r="AB262" s="435"/>
      <c r="AC262" s="438"/>
      <c r="AD262" s="263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</row>
    <row r="263" spans="4:43" ht="15" hidden="1" customHeight="1" outlineLevel="1">
      <c r="D263" s="57"/>
      <c r="E263" s="264"/>
      <c r="G263" s="265"/>
      <c r="H263" s="266"/>
      <c r="I263" s="266"/>
      <c r="J263" s="267" t="s">
        <v>31</v>
      </c>
      <c r="K263" s="286">
        <f>K264/K261</f>
        <v>0.60389154557463665</v>
      </c>
      <c r="L263" s="286"/>
      <c r="M263" s="286"/>
      <c r="N263" s="269"/>
      <c r="O263" s="269"/>
      <c r="P263" s="269"/>
      <c r="Q263" s="287"/>
      <c r="R263" s="288"/>
      <c r="S263" s="286">
        <f>K265/S261</f>
        <v>1.0012825841231197</v>
      </c>
      <c r="T263" s="289"/>
      <c r="V263" s="432" t="s">
        <v>419</v>
      </c>
      <c r="W263" s="439">
        <v>216.88</v>
      </c>
      <c r="X263" s="375" t="s">
        <v>359</v>
      </c>
      <c r="Y263" s="434"/>
      <c r="Z263" s="440"/>
      <c r="AA263" s="294"/>
      <c r="AB263" s="436"/>
      <c r="AC263" s="440"/>
      <c r="AD263" s="294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</row>
    <row r="264" spans="4:43" ht="15" hidden="1" customHeight="1" outlineLevel="1">
      <c r="D264" s="57"/>
      <c r="E264" s="264"/>
      <c r="G264" s="275" t="s">
        <v>99</v>
      </c>
      <c r="H264" s="276"/>
      <c r="I264" s="373">
        <v>44681</v>
      </c>
      <c r="J264" s="379" t="s">
        <v>167</v>
      </c>
      <c r="K264" s="290">
        <f>(N68+W264)/1000</f>
        <v>182.85835999999998</v>
      </c>
      <c r="L264" s="290"/>
      <c r="M264" s="290"/>
      <c r="N264" s="278"/>
      <c r="O264" s="278"/>
      <c r="P264" s="278"/>
      <c r="Q264" s="291" t="s">
        <v>97</v>
      </c>
      <c r="R264" s="292"/>
      <c r="S264" s="293"/>
      <c r="T264" s="281"/>
      <c r="V264" s="305" t="s">
        <v>79</v>
      </c>
      <c r="W264" s="306">
        <f>SUM(W259:W263)+SUM(Z259:Z263)+SUM(AC259:AC263)</f>
        <v>20357.36</v>
      </c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</row>
    <row r="265" spans="4:43" ht="15" hidden="1" customHeight="1" outlineLevel="1">
      <c r="D265" s="57"/>
      <c r="E265" s="295"/>
      <c r="F265" s="296"/>
      <c r="G265" s="297"/>
      <c r="H265" s="296"/>
      <c r="I265" s="296"/>
      <c r="J265" s="298" t="str">
        <f>E257&amp;" 누계 실적(종합)"</f>
        <v>4월 누계 실적(종합)</v>
      </c>
      <c r="K265" s="299">
        <f>K255+K264</f>
        <v>1151.5751</v>
      </c>
      <c r="L265" s="299"/>
      <c r="M265" s="299"/>
      <c r="N265" s="300"/>
      <c r="O265" s="300"/>
      <c r="P265" s="300"/>
      <c r="Q265" s="301" t="s">
        <v>97</v>
      </c>
      <c r="R265" s="302"/>
      <c r="S265" s="303"/>
      <c r="T265" s="304"/>
      <c r="V265" s="321" t="s">
        <v>112</v>
      </c>
      <c r="W265" s="322">
        <f>W255+W264</f>
        <v>69913.100000000006</v>
      </c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</row>
    <row r="266" spans="4:43" ht="15" hidden="1" customHeight="1" outlineLevel="1">
      <c r="D266" s="57"/>
      <c r="E266" s="248" t="s">
        <v>127</v>
      </c>
      <c r="I266" s="323"/>
      <c r="V266" s="326"/>
      <c r="W266" s="32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</row>
    <row r="267" spans="4:43" ht="15" hidden="1" customHeight="1" outlineLevel="1">
      <c r="D267" s="57"/>
      <c r="E267" s="249" t="s">
        <v>127</v>
      </c>
      <c r="F267" s="250"/>
      <c r="G267" s="251" t="s">
        <v>98</v>
      </c>
      <c r="H267" s="252"/>
      <c r="I267" s="252"/>
      <c r="J267" s="253" t="s">
        <v>104</v>
      </c>
      <c r="K267" s="254">
        <v>10</v>
      </c>
      <c r="L267" s="254"/>
      <c r="M267" s="254"/>
      <c r="N267" s="254"/>
      <c r="O267" s="254"/>
      <c r="P267" s="254"/>
      <c r="Q267" s="1161"/>
      <c r="R267" s="1161"/>
      <c r="S267" s="255"/>
      <c r="T267" s="256"/>
      <c r="V267" s="1162" t="str">
        <f>"망간광 "&amp;E267&amp;" 실적"</f>
        <v>망간광 5월 실적</v>
      </c>
      <c r="W267" s="1163"/>
      <c r="X267" s="1163"/>
      <c r="Y267" s="1163"/>
      <c r="Z267" s="1163"/>
      <c r="AA267" s="1163"/>
      <c r="AB267" s="1163"/>
      <c r="AC267" s="1163"/>
      <c r="AD267" s="1164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</row>
    <row r="268" spans="4:43" ht="15" hidden="1" customHeight="1" outlineLevel="1">
      <c r="D268" s="57"/>
      <c r="E268" s="257"/>
      <c r="F268" s="248"/>
      <c r="G268" s="258"/>
      <c r="J268" s="259" t="s">
        <v>160</v>
      </c>
      <c r="K268" s="239">
        <f>N85/1000</f>
        <v>360.404</v>
      </c>
      <c r="Q268" s="260"/>
      <c r="R268" s="260"/>
      <c r="T268" s="261"/>
      <c r="V268" s="498" t="s">
        <v>102</v>
      </c>
      <c r="W268" s="499" t="s">
        <v>103</v>
      </c>
      <c r="X268" s="500" t="s">
        <v>129</v>
      </c>
      <c r="Y268" s="498" t="s">
        <v>102</v>
      </c>
      <c r="Z268" s="499" t="s">
        <v>103</v>
      </c>
      <c r="AA268" s="500" t="s">
        <v>129</v>
      </c>
      <c r="AB268" s="498" t="s">
        <v>102</v>
      </c>
      <c r="AC268" s="499" t="s">
        <v>103</v>
      </c>
      <c r="AD268" s="500" t="s">
        <v>129</v>
      </c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</row>
    <row r="269" spans="4:43" ht="15" hidden="1" customHeight="1" outlineLevel="1">
      <c r="D269" s="57"/>
      <c r="E269" s="257"/>
      <c r="F269" s="248"/>
      <c r="G269" s="258"/>
      <c r="J269" s="259" t="s">
        <v>128</v>
      </c>
      <c r="Q269" s="260"/>
      <c r="R269" s="260"/>
      <c r="T269" s="261"/>
      <c r="V269" s="501" t="s">
        <v>437</v>
      </c>
      <c r="W269" s="502">
        <v>3908.84</v>
      </c>
      <c r="X269" s="503" t="s">
        <v>415</v>
      </c>
      <c r="Y269" s="501" t="s">
        <v>472</v>
      </c>
      <c r="Z269" s="502">
        <v>19.52</v>
      </c>
      <c r="AA269" s="503" t="s">
        <v>359</v>
      </c>
      <c r="AB269" s="507"/>
      <c r="AC269" s="505"/>
      <c r="AD269" s="506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</row>
    <row r="270" spans="4:43" ht="15" hidden="1" customHeight="1" outlineLevel="1">
      <c r="D270" s="57"/>
      <c r="E270" s="264"/>
      <c r="G270" s="265"/>
      <c r="H270" s="266"/>
      <c r="I270" s="267" t="s">
        <v>28</v>
      </c>
      <c r="J270" s="267" t="str">
        <f>E267&amp;" 전망"</f>
        <v>5월 전망</v>
      </c>
      <c r="K270" s="268">
        <f>K267+K268-K269</f>
        <v>370.404</v>
      </c>
      <c r="L270" s="268"/>
      <c r="M270" s="268"/>
      <c r="N270" s="269"/>
      <c r="O270" s="269"/>
      <c r="P270" s="269"/>
      <c r="Q270" s="270">
        <f>K270/K271</f>
        <v>1.1129927884615385</v>
      </c>
      <c r="R270" s="271" t="str">
        <f>E267&amp;" 누계 전망"</f>
        <v>5월 누계 전망</v>
      </c>
      <c r="S270" s="272">
        <f>K265+K270</f>
        <v>1521.9791</v>
      </c>
      <c r="T270" s="273">
        <f>S270/S271</f>
        <v>1.0263531593499224</v>
      </c>
      <c r="U270" s="274"/>
      <c r="V270" s="430" t="s">
        <v>439</v>
      </c>
      <c r="W270" s="437">
        <v>3103.2</v>
      </c>
      <c r="X270" s="374" t="s">
        <v>440</v>
      </c>
      <c r="Y270" s="430" t="s">
        <v>472</v>
      </c>
      <c r="Z270" s="437">
        <v>5540.66</v>
      </c>
      <c r="AA270" s="374" t="s">
        <v>379</v>
      </c>
      <c r="AB270" s="435"/>
      <c r="AC270" s="438"/>
      <c r="AD270" s="263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</row>
    <row r="271" spans="4:43" ht="15" hidden="1" customHeight="1" outlineLevel="1">
      <c r="D271" s="57"/>
      <c r="E271" s="264"/>
      <c r="G271" s="275" t="s">
        <v>27</v>
      </c>
      <c r="H271" s="276"/>
      <c r="I271" s="276"/>
      <c r="J271" s="277" t="str">
        <f>E267&amp;" 계획(ST)"</f>
        <v>5월 계획(ST)</v>
      </c>
      <c r="K271" s="318">
        <v>332.8</v>
      </c>
      <c r="L271" s="278"/>
      <c r="M271" s="278"/>
      <c r="N271" s="278"/>
      <c r="O271" s="278"/>
      <c r="P271" s="278"/>
      <c r="Q271" s="279"/>
      <c r="R271" s="279" t="s">
        <v>131</v>
      </c>
      <c r="S271" s="319">
        <f>S261+K271</f>
        <v>1482.9</v>
      </c>
      <c r="T271" s="281"/>
      <c r="V271" s="430" t="s">
        <v>438</v>
      </c>
      <c r="W271" s="437">
        <v>4006.08</v>
      </c>
      <c r="X271" s="374" t="s">
        <v>440</v>
      </c>
      <c r="Y271" s="430" t="s">
        <v>473</v>
      </c>
      <c r="Z271" s="437">
        <v>9726.2999999999993</v>
      </c>
      <c r="AA271" s="374" t="s">
        <v>379</v>
      </c>
      <c r="AB271" s="435"/>
      <c r="AC271" s="438"/>
      <c r="AD271" s="263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</row>
    <row r="272" spans="4:43" ht="15" hidden="1" customHeight="1" outlineLevel="1">
      <c r="D272" s="57"/>
      <c r="E272" s="264"/>
      <c r="G272" s="258"/>
      <c r="J272" s="259" t="s">
        <v>27</v>
      </c>
      <c r="K272" s="282">
        <f>K270-K271</f>
        <v>37.603999999999985</v>
      </c>
      <c r="Q272" s="283"/>
      <c r="R272" s="284"/>
      <c r="S272" s="282">
        <f>S270-S271</f>
        <v>39.079099999999926</v>
      </c>
      <c r="T272" s="285"/>
      <c r="V272" s="430" t="s">
        <v>470</v>
      </c>
      <c r="W272" s="437">
        <v>7158.58</v>
      </c>
      <c r="X272" s="374" t="s">
        <v>359</v>
      </c>
      <c r="Y272" s="430" t="s">
        <v>474</v>
      </c>
      <c r="Z272" s="437">
        <v>4564.08</v>
      </c>
      <c r="AA272" s="374" t="s">
        <v>379</v>
      </c>
      <c r="AB272" s="435"/>
      <c r="AC272" s="438"/>
      <c r="AD272" s="263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</row>
    <row r="273" spans="4:43" ht="15" hidden="1" customHeight="1" outlineLevel="1">
      <c r="D273" s="57"/>
      <c r="E273" s="264"/>
      <c r="G273" s="265"/>
      <c r="H273" s="266"/>
      <c r="I273" s="266"/>
      <c r="J273" s="267" t="s">
        <v>31</v>
      </c>
      <c r="K273" s="286">
        <f>K274/K271</f>
        <v>1.2209829927884615</v>
      </c>
      <c r="L273" s="286"/>
      <c r="M273" s="286"/>
      <c r="N273" s="269"/>
      <c r="O273" s="269"/>
      <c r="P273" s="269"/>
      <c r="Q273" s="287"/>
      <c r="R273" s="288"/>
      <c r="S273" s="286">
        <f>K275/S271</f>
        <v>1.050588873153955</v>
      </c>
      <c r="T273" s="289"/>
      <c r="V273" s="432" t="s">
        <v>471</v>
      </c>
      <c r="W273" s="439">
        <v>7911.88</v>
      </c>
      <c r="X273" s="375" t="s">
        <v>359</v>
      </c>
      <c r="Y273" s="434"/>
      <c r="Z273" s="440"/>
      <c r="AA273" s="294"/>
      <c r="AB273" s="436"/>
      <c r="AC273" s="440"/>
      <c r="AD273" s="294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</row>
    <row r="274" spans="4:43" ht="15" hidden="1" customHeight="1" outlineLevel="1">
      <c r="D274" s="57"/>
      <c r="E274" s="264"/>
      <c r="G274" s="275" t="s">
        <v>99</v>
      </c>
      <c r="H274" s="276"/>
      <c r="I274" s="373">
        <v>44712</v>
      </c>
      <c r="J274" s="379" t="s">
        <v>167</v>
      </c>
      <c r="K274" s="290">
        <f>((N85)+W274)/1000</f>
        <v>406.34314000000001</v>
      </c>
      <c r="L274" s="290"/>
      <c r="M274" s="290"/>
      <c r="N274" s="278"/>
      <c r="O274" s="278"/>
      <c r="P274" s="278"/>
      <c r="Q274" s="291" t="s">
        <v>97</v>
      </c>
      <c r="R274" s="292"/>
      <c r="S274" s="293"/>
      <c r="T274" s="281"/>
      <c r="V274" s="305" t="s">
        <v>79</v>
      </c>
      <c r="W274" s="306">
        <f>SUM(W269:W273)+SUM(Z269:Z273)+SUM(AC269:AC273)</f>
        <v>45939.14</v>
      </c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</row>
    <row r="275" spans="4:43" ht="15" hidden="1" customHeight="1" outlineLevel="1">
      <c r="D275" s="57"/>
      <c r="E275" s="295"/>
      <c r="F275" s="296"/>
      <c r="G275" s="297"/>
      <c r="H275" s="296"/>
      <c r="I275" s="296"/>
      <c r="J275" s="298" t="str">
        <f>E267&amp;" 누계 실적(종합)"</f>
        <v>5월 누계 실적(종합)</v>
      </c>
      <c r="K275" s="299">
        <f>K265+K274</f>
        <v>1557.91824</v>
      </c>
      <c r="L275" s="299"/>
      <c r="M275" s="299"/>
      <c r="N275" s="300"/>
      <c r="O275" s="300"/>
      <c r="P275" s="300"/>
      <c r="Q275" s="301" t="s">
        <v>97</v>
      </c>
      <c r="R275" s="302"/>
      <c r="S275" s="303"/>
      <c r="T275" s="304"/>
      <c r="V275" s="321" t="s">
        <v>112</v>
      </c>
      <c r="W275" s="322">
        <f>W265+W274</f>
        <v>115852.24</v>
      </c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</row>
    <row r="276" spans="4:43" ht="15" hidden="1" customHeight="1" outlineLevel="1" collapsed="1">
      <c r="D276" s="57"/>
      <c r="E276" s="248" t="s">
        <v>175</v>
      </c>
      <c r="I276" s="323"/>
      <c r="V276" s="326"/>
      <c r="W276" s="32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</row>
    <row r="277" spans="4:43" ht="15" hidden="1" customHeight="1" outlineLevel="1">
      <c r="D277" s="57"/>
      <c r="E277" s="249" t="s">
        <v>137</v>
      </c>
      <c r="F277" s="250"/>
      <c r="G277" s="251" t="s">
        <v>98</v>
      </c>
      <c r="H277" s="252"/>
      <c r="I277" s="252"/>
      <c r="J277" s="253" t="s">
        <v>104</v>
      </c>
      <c r="K277" s="254">
        <v>20</v>
      </c>
      <c r="L277" s="254"/>
      <c r="M277" s="254"/>
      <c r="N277" s="254"/>
      <c r="O277" s="254"/>
      <c r="P277" s="254"/>
      <c r="Q277" s="1161"/>
      <c r="R277" s="1161"/>
      <c r="S277" s="255"/>
      <c r="T277" s="256"/>
      <c r="V277" s="1162" t="str">
        <f>"망간광 "&amp;E277&amp;" 실적"</f>
        <v>망간광 6월 실적</v>
      </c>
      <c r="W277" s="1163"/>
      <c r="X277" s="1163"/>
      <c r="Y277" s="1163"/>
      <c r="Z277" s="1163"/>
      <c r="AA277" s="1163"/>
      <c r="AB277" s="1163"/>
      <c r="AC277" s="1163"/>
      <c r="AD277" s="1164"/>
      <c r="AE277" s="57"/>
      <c r="AF277" s="57"/>
      <c r="AG277" s="57"/>
      <c r="AH277" s="57"/>
      <c r="AI277" s="57"/>
      <c r="AJ277" s="57"/>
      <c r="AK277" s="57"/>
      <c r="AL277" s="57"/>
      <c r="AM277" s="57"/>
      <c r="AP277" s="57"/>
      <c r="AQ277" s="57"/>
    </row>
    <row r="278" spans="4:43" ht="15" hidden="1" customHeight="1" outlineLevel="1">
      <c r="D278" s="57"/>
      <c r="E278" s="257"/>
      <c r="F278" s="248"/>
      <c r="G278" s="258"/>
      <c r="J278" s="259" t="s">
        <v>160</v>
      </c>
      <c r="K278" s="239">
        <f>N98/1000</f>
        <v>177.095</v>
      </c>
      <c r="Q278" s="260"/>
      <c r="R278" s="260"/>
      <c r="T278" s="261"/>
      <c r="V278" s="498" t="s">
        <v>102</v>
      </c>
      <c r="W278" s="499" t="s">
        <v>103</v>
      </c>
      <c r="X278" s="500" t="s">
        <v>129</v>
      </c>
      <c r="Y278" s="498" t="s">
        <v>102</v>
      </c>
      <c r="Z278" s="499" t="s">
        <v>103</v>
      </c>
      <c r="AA278" s="500" t="s">
        <v>129</v>
      </c>
      <c r="AB278" s="498" t="s">
        <v>102</v>
      </c>
      <c r="AC278" s="499" t="s">
        <v>103</v>
      </c>
      <c r="AD278" s="500" t="s">
        <v>129</v>
      </c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</row>
    <row r="279" spans="4:43" ht="15" hidden="1" customHeight="1" outlineLevel="1">
      <c r="D279" s="57"/>
      <c r="E279" s="257"/>
      <c r="F279" s="248"/>
      <c r="G279" s="258"/>
      <c r="J279" s="259" t="s">
        <v>138</v>
      </c>
      <c r="Q279" s="260"/>
      <c r="R279" s="260"/>
      <c r="T279" s="261"/>
      <c r="V279" s="501" t="s">
        <v>506</v>
      </c>
      <c r="W279" s="502">
        <v>6333.94</v>
      </c>
      <c r="X279" s="503" t="s">
        <v>415</v>
      </c>
      <c r="Y279" s="504"/>
      <c r="Z279" s="505"/>
      <c r="AA279" s="506"/>
      <c r="AB279" s="507"/>
      <c r="AC279" s="505"/>
      <c r="AD279" s="506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383"/>
      <c r="AQ279" s="57"/>
    </row>
    <row r="280" spans="4:43" ht="15" hidden="1" customHeight="1" outlineLevel="1">
      <c r="D280" s="57"/>
      <c r="E280" s="264"/>
      <c r="G280" s="265"/>
      <c r="H280" s="266"/>
      <c r="I280" s="267" t="s">
        <v>28</v>
      </c>
      <c r="J280" s="267" t="str">
        <f>E277&amp;" 전망"</f>
        <v>6월 전망</v>
      </c>
      <c r="K280" s="268">
        <f>K277+K278-K279</f>
        <v>197.095</v>
      </c>
      <c r="L280" s="268"/>
      <c r="M280" s="268"/>
      <c r="N280" s="269"/>
      <c r="O280" s="269"/>
      <c r="P280" s="269"/>
      <c r="Q280" s="270">
        <f>K280/K281</f>
        <v>0.68269830273640464</v>
      </c>
      <c r="R280" s="271" t="str">
        <f>E277&amp;" 누계 전망"</f>
        <v>6월 누계 전망</v>
      </c>
      <c r="S280" s="272">
        <f>K275+K280</f>
        <v>1755.01324</v>
      </c>
      <c r="T280" s="273">
        <f>S280/S281</f>
        <v>0.99063741250846682</v>
      </c>
      <c r="U280" s="274"/>
      <c r="V280" s="431" t="s">
        <v>505</v>
      </c>
      <c r="W280" s="437">
        <v>4899.68</v>
      </c>
      <c r="X280" s="374" t="s">
        <v>415</v>
      </c>
      <c r="Y280" s="433"/>
      <c r="Z280" s="438"/>
      <c r="AA280" s="263"/>
      <c r="AB280" s="435"/>
      <c r="AC280" s="438"/>
      <c r="AD280" s="263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383"/>
      <c r="AP280"/>
      <c r="AQ280" s="57"/>
    </row>
    <row r="281" spans="4:43" ht="15" hidden="1" customHeight="1" outlineLevel="1">
      <c r="D281" s="57"/>
      <c r="E281" s="264"/>
      <c r="G281" s="275" t="s">
        <v>27</v>
      </c>
      <c r="H281" s="276"/>
      <c r="I281" s="276"/>
      <c r="J281" s="277" t="str">
        <f>E277&amp;" 계획(ST)"</f>
        <v>6월 계획(ST)</v>
      </c>
      <c r="K281" s="318">
        <v>288.7</v>
      </c>
      <c r="L281" s="278"/>
      <c r="M281" s="278"/>
      <c r="N281" s="278"/>
      <c r="O281" s="278"/>
      <c r="P281" s="278"/>
      <c r="Q281" s="279"/>
      <c r="R281" s="279" t="s">
        <v>131</v>
      </c>
      <c r="S281" s="319">
        <f>S271+K281</f>
        <v>1771.6000000000001</v>
      </c>
      <c r="T281" s="281"/>
      <c r="V281" s="431" t="s">
        <v>505</v>
      </c>
      <c r="W281" s="437">
        <v>845.18</v>
      </c>
      <c r="X281" s="374" t="s">
        <v>359</v>
      </c>
      <c r="Y281" s="433"/>
      <c r="Z281" s="438"/>
      <c r="AA281" s="263"/>
      <c r="AB281" s="435"/>
      <c r="AC281" s="438"/>
      <c r="AD281" s="263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/>
      <c r="AP281" s="383"/>
      <c r="AQ281" s="57"/>
    </row>
    <row r="282" spans="4:43" ht="15" hidden="1" customHeight="1" outlineLevel="1">
      <c r="D282" s="57"/>
      <c r="E282" s="264"/>
      <c r="G282" s="258"/>
      <c r="J282" s="259" t="s">
        <v>27</v>
      </c>
      <c r="K282" s="282">
        <f>K280-K281</f>
        <v>-91.60499999999999</v>
      </c>
      <c r="Q282" s="283"/>
      <c r="R282" s="284"/>
      <c r="S282" s="282">
        <f>S280-S281</f>
        <v>-16.58676000000014</v>
      </c>
      <c r="T282" s="285"/>
      <c r="V282" s="431" t="s">
        <v>507</v>
      </c>
      <c r="W282" s="437">
        <v>4097.9799999999996</v>
      </c>
      <c r="X282" s="374" t="s">
        <v>359</v>
      </c>
      <c r="Y282" s="433"/>
      <c r="Z282" s="438"/>
      <c r="AA282" s="263"/>
      <c r="AB282" s="435"/>
      <c r="AC282" s="438"/>
      <c r="AD282" s="263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383"/>
      <c r="AP282"/>
      <c r="AQ282" s="57"/>
    </row>
    <row r="283" spans="4:43" ht="15" hidden="1" customHeight="1" outlineLevel="1">
      <c r="D283" s="57"/>
      <c r="E283" s="264"/>
      <c r="G283" s="265"/>
      <c r="H283" s="266"/>
      <c r="I283" s="266"/>
      <c r="J283" s="267" t="s">
        <v>31</v>
      </c>
      <c r="K283" s="286">
        <f>K284/K281</f>
        <v>0.66945542085209564</v>
      </c>
      <c r="L283" s="286"/>
      <c r="M283" s="286"/>
      <c r="N283" s="269"/>
      <c r="O283" s="269"/>
      <c r="P283" s="269"/>
      <c r="Q283" s="287"/>
      <c r="R283" s="288"/>
      <c r="S283" s="286">
        <f>K285/S281</f>
        <v>0.9884793519981937</v>
      </c>
      <c r="T283" s="289"/>
      <c r="V283" s="432"/>
      <c r="W283" s="439"/>
      <c r="X283" s="375"/>
      <c r="Y283" s="434"/>
      <c r="Z283" s="440"/>
      <c r="AA283" s="294"/>
      <c r="AB283" s="436"/>
      <c r="AC283" s="440"/>
      <c r="AD283" s="294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/>
      <c r="AP283" s="383"/>
      <c r="AQ283" s="57"/>
    </row>
    <row r="284" spans="4:43" ht="15" hidden="1" customHeight="1" outlineLevel="1">
      <c r="D284" s="57"/>
      <c r="E284" s="264"/>
      <c r="G284" s="275" t="s">
        <v>99</v>
      </c>
      <c r="H284" s="276"/>
      <c r="I284" s="373">
        <v>44742</v>
      </c>
      <c r="J284" s="379" t="s">
        <v>167</v>
      </c>
      <c r="K284" s="290">
        <f>((N98)+W284)/1000</f>
        <v>193.27178000000001</v>
      </c>
      <c r="L284" s="290"/>
      <c r="M284" s="290"/>
      <c r="N284" s="278"/>
      <c r="O284" s="278"/>
      <c r="P284" s="278"/>
      <c r="Q284" s="291" t="s">
        <v>97</v>
      </c>
      <c r="R284" s="292"/>
      <c r="S284" s="293"/>
      <c r="T284" s="281"/>
      <c r="V284" s="305" t="s">
        <v>79</v>
      </c>
      <c r="W284" s="306">
        <f>SUM(W279:W283)+SUM(Z279:Z283)+SUM(AC279:AC283)</f>
        <v>16176.779999999999</v>
      </c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383"/>
      <c r="AP284"/>
      <c r="AQ284" s="57"/>
    </row>
    <row r="285" spans="4:43" ht="15" hidden="1" customHeight="1" outlineLevel="1">
      <c r="D285" s="57"/>
      <c r="E285" s="295"/>
      <c r="F285" s="296"/>
      <c r="G285" s="297"/>
      <c r="H285" s="296"/>
      <c r="I285" s="296"/>
      <c r="J285" s="298" t="str">
        <f>E277&amp;" 누계 실적(종합)"</f>
        <v>6월 누계 실적(종합)</v>
      </c>
      <c r="K285" s="299">
        <f>K275+K284</f>
        <v>1751.19002</v>
      </c>
      <c r="L285" s="299"/>
      <c r="M285" s="299"/>
      <c r="N285" s="300"/>
      <c r="O285" s="300"/>
      <c r="P285" s="300"/>
      <c r="Q285" s="301" t="s">
        <v>97</v>
      </c>
      <c r="R285" s="302"/>
      <c r="S285" s="303"/>
      <c r="T285" s="304"/>
      <c r="V285" s="321" t="s">
        <v>112</v>
      </c>
      <c r="W285" s="322">
        <f>W275+W284</f>
        <v>132029.02000000002</v>
      </c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/>
      <c r="AP285" s="383"/>
      <c r="AQ285" s="57"/>
    </row>
    <row r="286" spans="4:43" ht="15" customHeight="1" collapsed="1">
      <c r="D286" s="57"/>
      <c r="E286" s="248" t="s">
        <v>226</v>
      </c>
      <c r="I286" s="323"/>
      <c r="V286" s="326"/>
      <c r="W286" s="32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</row>
    <row r="287" spans="4:43" ht="15" customHeight="1">
      <c r="D287" s="57"/>
      <c r="E287" s="249" t="s">
        <v>139</v>
      </c>
      <c r="F287" s="250"/>
      <c r="G287" s="251" t="s">
        <v>98</v>
      </c>
      <c r="H287" s="252"/>
      <c r="I287" s="252"/>
      <c r="J287" s="253" t="s">
        <v>104</v>
      </c>
      <c r="K287" s="254">
        <v>10</v>
      </c>
      <c r="L287" s="254"/>
      <c r="M287" s="254"/>
      <c r="N287" s="254"/>
      <c r="O287" s="254"/>
      <c r="P287" s="254"/>
      <c r="Q287" s="1161"/>
      <c r="R287" s="1161"/>
      <c r="S287" s="255"/>
      <c r="T287" s="256"/>
      <c r="V287" s="1162" t="str">
        <f>"망간광 "&amp;E287&amp;" 실적"</f>
        <v>망간광 7월 실적</v>
      </c>
      <c r="W287" s="1163"/>
      <c r="X287" s="1163"/>
      <c r="Y287" s="1163"/>
      <c r="Z287" s="1163"/>
      <c r="AA287" s="1163"/>
      <c r="AB287" s="1163"/>
      <c r="AC287" s="1163"/>
      <c r="AD287" s="1164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</row>
    <row r="288" spans="4:43" ht="15" customHeight="1">
      <c r="D288" s="57"/>
      <c r="E288" s="257"/>
      <c r="F288" s="248"/>
      <c r="G288" s="258"/>
      <c r="J288" s="259" t="s">
        <v>160</v>
      </c>
      <c r="K288" s="239">
        <f>K113/1000</f>
        <v>364.44200000000001</v>
      </c>
      <c r="Q288" s="260"/>
      <c r="R288" s="260"/>
      <c r="T288" s="261"/>
      <c r="V288" s="498" t="s">
        <v>102</v>
      </c>
      <c r="W288" s="499" t="s">
        <v>103</v>
      </c>
      <c r="X288" s="500" t="s">
        <v>129</v>
      </c>
      <c r="Y288" s="498" t="s">
        <v>102</v>
      </c>
      <c r="Z288" s="499" t="s">
        <v>103</v>
      </c>
      <c r="AA288" s="500" t="s">
        <v>129</v>
      </c>
      <c r="AB288" s="498" t="s">
        <v>102</v>
      </c>
      <c r="AC288" s="499" t="s">
        <v>103</v>
      </c>
      <c r="AD288" s="500" t="s">
        <v>129</v>
      </c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</row>
    <row r="289" spans="4:43" ht="15" customHeight="1">
      <c r="D289" s="57"/>
      <c r="E289" s="257"/>
      <c r="F289" s="248"/>
      <c r="G289" s="258"/>
      <c r="J289" s="259" t="s">
        <v>141</v>
      </c>
      <c r="Q289" s="260"/>
      <c r="R289" s="260"/>
      <c r="T289" s="261"/>
      <c r="V289" s="501"/>
      <c r="W289" s="502"/>
      <c r="X289" s="503"/>
      <c r="Y289" s="504"/>
      <c r="Z289" s="505"/>
      <c r="AA289" s="506"/>
      <c r="AB289" s="507"/>
      <c r="AC289" s="505"/>
      <c r="AD289" s="506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</row>
    <row r="290" spans="4:43" ht="15" customHeight="1">
      <c r="D290" s="57"/>
      <c r="E290" s="264"/>
      <c r="G290" s="265"/>
      <c r="H290" s="266"/>
      <c r="I290" s="267" t="s">
        <v>28</v>
      </c>
      <c r="J290" s="267" t="str">
        <f>E287&amp;" 전망"</f>
        <v>7월 전망</v>
      </c>
      <c r="K290" s="268">
        <f>K287+K288-K289</f>
        <v>374.44200000000001</v>
      </c>
      <c r="L290" s="268"/>
      <c r="M290" s="268"/>
      <c r="N290" s="269"/>
      <c r="O290" s="269"/>
      <c r="P290" s="269"/>
      <c r="Q290" s="270">
        <f>K290/K291</f>
        <v>1.3725879765395894</v>
      </c>
      <c r="R290" s="271" t="str">
        <f>E287&amp;" 누계 전망"</f>
        <v>7월 누계 전망</v>
      </c>
      <c r="S290" s="272">
        <f>K285+K290</f>
        <v>2125.63202</v>
      </c>
      <c r="T290" s="273">
        <f>S290/S291</f>
        <v>1.0397339170416748</v>
      </c>
      <c r="U290" s="274"/>
      <c r="V290" s="430"/>
      <c r="W290" s="437"/>
      <c r="X290" s="374"/>
      <c r="Y290" s="433"/>
      <c r="Z290" s="438"/>
      <c r="AA290" s="263"/>
      <c r="AB290" s="435"/>
      <c r="AC290" s="438"/>
      <c r="AD290" s="263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</row>
    <row r="291" spans="4:43" ht="15" customHeight="1">
      <c r="D291" s="57"/>
      <c r="E291" s="264"/>
      <c r="G291" s="275" t="s">
        <v>27</v>
      </c>
      <c r="H291" s="276"/>
      <c r="I291" s="276"/>
      <c r="J291" s="277" t="str">
        <f>E287&amp;" 계획(ST)"</f>
        <v>7월 계획(ST)</v>
      </c>
      <c r="K291" s="318">
        <v>272.8</v>
      </c>
      <c r="L291" s="278"/>
      <c r="M291" s="278"/>
      <c r="N291" s="278"/>
      <c r="O291" s="278"/>
      <c r="P291" s="278"/>
      <c r="Q291" s="279"/>
      <c r="R291" s="279" t="s">
        <v>131</v>
      </c>
      <c r="S291" s="319">
        <f>S281+K291</f>
        <v>2044.4</v>
      </c>
      <c r="T291" s="281"/>
      <c r="V291" s="431"/>
      <c r="W291" s="437"/>
      <c r="X291" s="374"/>
      <c r="Y291" s="433"/>
      <c r="Z291" s="438"/>
      <c r="AA291" s="263"/>
      <c r="AB291" s="435"/>
      <c r="AC291" s="438"/>
      <c r="AD291" s="263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</row>
    <row r="292" spans="4:43" ht="15" customHeight="1">
      <c r="D292" s="57"/>
      <c r="E292" s="264"/>
      <c r="G292" s="258"/>
      <c r="J292" s="259" t="s">
        <v>27</v>
      </c>
      <c r="K292" s="282">
        <f>K290-K291</f>
        <v>101.642</v>
      </c>
      <c r="Q292" s="283"/>
      <c r="R292" s="284"/>
      <c r="S292" s="282">
        <f>S290-S291</f>
        <v>81.23201999999992</v>
      </c>
      <c r="T292" s="285"/>
      <c r="V292" s="431"/>
      <c r="W292" s="437"/>
      <c r="X292" s="374"/>
      <c r="Y292" s="433"/>
      <c r="Z292" s="438"/>
      <c r="AA292" s="263"/>
      <c r="AB292" s="435"/>
      <c r="AC292" s="438"/>
      <c r="AD292" s="263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</row>
    <row r="293" spans="4:43" ht="15" customHeight="1">
      <c r="D293" s="57"/>
      <c r="E293" s="264"/>
      <c r="G293" s="265"/>
      <c r="H293" s="266"/>
      <c r="I293" s="266"/>
      <c r="J293" s="267" t="s">
        <v>31</v>
      </c>
      <c r="K293" s="286">
        <f>K294/K291</f>
        <v>0.76203079178885624</v>
      </c>
      <c r="L293" s="286"/>
      <c r="M293" s="286"/>
      <c r="N293" s="269"/>
      <c r="O293" s="269"/>
      <c r="P293" s="269"/>
      <c r="Q293" s="287"/>
      <c r="R293" s="288"/>
      <c r="S293" s="286">
        <f>K295/S291</f>
        <v>0.9582625807082763</v>
      </c>
      <c r="T293" s="289"/>
      <c r="V293" s="432"/>
      <c r="W293" s="439"/>
      <c r="X293" s="375"/>
      <c r="Y293" s="434"/>
      <c r="Z293" s="440"/>
      <c r="AA293" s="294"/>
      <c r="AB293" s="436"/>
      <c r="AC293" s="440"/>
      <c r="AD293" s="294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</row>
    <row r="294" spans="4:43" ht="15" customHeight="1">
      <c r="D294" s="57"/>
      <c r="E294" s="264"/>
      <c r="G294" s="275" t="s">
        <v>99</v>
      </c>
      <c r="H294" s="276"/>
      <c r="I294" s="373">
        <v>44752</v>
      </c>
      <c r="J294" s="379" t="s">
        <v>167</v>
      </c>
      <c r="K294" s="290">
        <f>((N113)+W294)/1000</f>
        <v>207.88200000000001</v>
      </c>
      <c r="L294" s="290"/>
      <c r="M294" s="290"/>
      <c r="N294" s="278"/>
      <c r="O294" s="278"/>
      <c r="P294" s="278"/>
      <c r="Q294" s="291" t="s">
        <v>97</v>
      </c>
      <c r="R294" s="292"/>
      <c r="S294" s="293"/>
      <c r="T294" s="281"/>
      <c r="V294" s="305" t="s">
        <v>79</v>
      </c>
      <c r="W294" s="306">
        <f>SUM(W289:W293)+SUM(Z289:Z293)+SUM(AC289:AC293)</f>
        <v>0</v>
      </c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</row>
    <row r="295" spans="4:43" ht="15" customHeight="1">
      <c r="D295" s="57"/>
      <c r="E295" s="295"/>
      <c r="F295" s="296"/>
      <c r="G295" s="297"/>
      <c r="H295" s="296"/>
      <c r="I295" s="296"/>
      <c r="J295" s="298" t="str">
        <f>E287&amp;" 누계 실적(종합)"</f>
        <v>7월 누계 실적(종합)</v>
      </c>
      <c r="K295" s="299">
        <f>K285+K294</f>
        <v>1959.0720200000001</v>
      </c>
      <c r="L295" s="299"/>
      <c r="M295" s="299"/>
      <c r="N295" s="300"/>
      <c r="O295" s="300"/>
      <c r="P295" s="300"/>
      <c r="Q295" s="301" t="s">
        <v>97</v>
      </c>
      <c r="R295" s="302"/>
      <c r="S295" s="303"/>
      <c r="T295" s="304"/>
      <c r="V295" s="321" t="s">
        <v>112</v>
      </c>
      <c r="W295" s="322">
        <f>W285+W294</f>
        <v>132029.02000000002</v>
      </c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</row>
    <row r="296" spans="4:43" ht="15" hidden="1" customHeight="1" outlineLevel="1">
      <c r="D296" s="57"/>
      <c r="E296" s="248" t="s">
        <v>140</v>
      </c>
      <c r="I296" s="323"/>
      <c r="V296" s="326"/>
      <c r="W296" s="32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</row>
    <row r="297" spans="4:43" ht="15" hidden="1" customHeight="1" outlineLevel="1">
      <c r="D297" s="57"/>
      <c r="E297" s="249" t="s">
        <v>140</v>
      </c>
      <c r="F297" s="250"/>
      <c r="G297" s="251" t="s">
        <v>98</v>
      </c>
      <c r="H297" s="252"/>
      <c r="I297" s="252"/>
      <c r="J297" s="253" t="s">
        <v>104</v>
      </c>
      <c r="K297" s="254">
        <v>10</v>
      </c>
      <c r="L297" s="254"/>
      <c r="M297" s="254"/>
      <c r="N297" s="254"/>
      <c r="O297" s="254"/>
      <c r="P297" s="254"/>
      <c r="Q297" s="1161"/>
      <c r="R297" s="1161"/>
      <c r="S297" s="255"/>
      <c r="T297" s="256"/>
      <c r="V297" s="1162" t="str">
        <f>"망간광 "&amp;E297&amp;" 실적"</f>
        <v>망간광 8월 실적</v>
      </c>
      <c r="W297" s="1163"/>
      <c r="X297" s="1163"/>
      <c r="Y297" s="1163"/>
      <c r="Z297" s="1163"/>
      <c r="AA297" s="1163"/>
      <c r="AB297" s="1163"/>
      <c r="AC297" s="1163"/>
      <c r="AD297" s="1164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</row>
    <row r="298" spans="4:43" ht="15" hidden="1" customHeight="1" outlineLevel="1">
      <c r="D298" s="57"/>
      <c r="E298" s="257"/>
      <c r="F298" s="248"/>
      <c r="G298" s="258"/>
      <c r="J298" s="259" t="s">
        <v>160</v>
      </c>
      <c r="K298" s="239">
        <f>K136/1000</f>
        <v>368.66800000000001</v>
      </c>
      <c r="Q298" s="260"/>
      <c r="R298" s="260"/>
      <c r="T298" s="261"/>
      <c r="V298" s="498" t="s">
        <v>102</v>
      </c>
      <c r="W298" s="499" t="s">
        <v>103</v>
      </c>
      <c r="X298" s="500" t="s">
        <v>129</v>
      </c>
      <c r="Y298" s="498" t="s">
        <v>102</v>
      </c>
      <c r="Z298" s="499" t="s">
        <v>103</v>
      </c>
      <c r="AA298" s="500" t="s">
        <v>129</v>
      </c>
      <c r="AB298" s="498" t="s">
        <v>102</v>
      </c>
      <c r="AC298" s="499" t="s">
        <v>103</v>
      </c>
      <c r="AD298" s="500" t="s">
        <v>129</v>
      </c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</row>
    <row r="299" spans="4:43" ht="15" hidden="1" customHeight="1" outlineLevel="1">
      <c r="D299" s="57"/>
      <c r="E299" s="257"/>
      <c r="F299" s="248"/>
      <c r="G299" s="258"/>
      <c r="J299" s="259" t="s">
        <v>142</v>
      </c>
      <c r="Q299" s="260"/>
      <c r="R299" s="260"/>
      <c r="T299" s="261"/>
      <c r="V299" s="501"/>
      <c r="W299" s="502"/>
      <c r="X299" s="503"/>
      <c r="Y299" s="504"/>
      <c r="Z299" s="505"/>
      <c r="AA299" s="506"/>
      <c r="AB299" s="507"/>
      <c r="AC299" s="505"/>
      <c r="AD299" s="506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</row>
    <row r="300" spans="4:43" ht="15" hidden="1" customHeight="1" outlineLevel="1">
      <c r="D300" s="57"/>
      <c r="E300" s="264"/>
      <c r="G300" s="265"/>
      <c r="H300" s="266"/>
      <c r="I300" s="267" t="s">
        <v>28</v>
      </c>
      <c r="J300" s="267" t="str">
        <f>E297&amp;" 전망"</f>
        <v>8월 전망</v>
      </c>
      <c r="K300" s="268">
        <f>K297+K298-K299</f>
        <v>378.66800000000001</v>
      </c>
      <c r="L300" s="268"/>
      <c r="M300" s="268"/>
      <c r="N300" s="269"/>
      <c r="O300" s="269"/>
      <c r="P300" s="269"/>
      <c r="Q300" s="270">
        <f>K300/K301</f>
        <v>0.96402240325865585</v>
      </c>
      <c r="R300" s="271" t="str">
        <f>E297&amp;" 누계 전망"</f>
        <v>8월 누계 전망</v>
      </c>
      <c r="S300" s="272">
        <f>K295+K300</f>
        <v>2337.7400200000002</v>
      </c>
      <c r="T300" s="273">
        <f>S300/S301</f>
        <v>0.95919088298046939</v>
      </c>
      <c r="U300" s="274"/>
      <c r="V300" s="430"/>
      <c r="W300" s="437"/>
      <c r="X300" s="374"/>
      <c r="Y300" s="433"/>
      <c r="Z300" s="438"/>
      <c r="AA300" s="263"/>
      <c r="AB300" s="435"/>
      <c r="AC300" s="438"/>
      <c r="AD300" s="263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57"/>
      <c r="AP300" s="57"/>
      <c r="AQ300" s="57"/>
    </row>
    <row r="301" spans="4:43" ht="15" hidden="1" customHeight="1" outlineLevel="1">
      <c r="D301" s="57"/>
      <c r="E301" s="264"/>
      <c r="G301" s="275" t="s">
        <v>27</v>
      </c>
      <c r="H301" s="276"/>
      <c r="I301" s="276"/>
      <c r="J301" s="277" t="str">
        <f>E297&amp;" 계획(ST)"</f>
        <v>8월 계획(ST)</v>
      </c>
      <c r="K301" s="318">
        <v>392.8</v>
      </c>
      <c r="L301" s="278"/>
      <c r="M301" s="278"/>
      <c r="N301" s="278"/>
      <c r="O301" s="278"/>
      <c r="P301" s="278"/>
      <c r="Q301" s="279"/>
      <c r="R301" s="279" t="s">
        <v>131</v>
      </c>
      <c r="S301" s="319">
        <f>S291+K301</f>
        <v>2437.2000000000003</v>
      </c>
      <c r="T301" s="281"/>
      <c r="V301" s="431"/>
      <c r="W301" s="437"/>
      <c r="X301" s="374"/>
      <c r="Y301" s="433"/>
      <c r="Z301" s="438"/>
      <c r="AA301" s="263"/>
      <c r="AB301" s="435"/>
      <c r="AC301" s="438"/>
      <c r="AD301" s="263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</row>
    <row r="302" spans="4:43" ht="15" hidden="1" customHeight="1" outlineLevel="1">
      <c r="D302" s="57"/>
      <c r="E302" s="264"/>
      <c r="G302" s="258"/>
      <c r="J302" s="259" t="s">
        <v>27</v>
      </c>
      <c r="K302" s="282">
        <f>K300-K301</f>
        <v>-14.132000000000005</v>
      </c>
      <c r="Q302" s="283"/>
      <c r="R302" s="284"/>
      <c r="S302" s="282">
        <f>S300-S301</f>
        <v>-99.459980000000087</v>
      </c>
      <c r="T302" s="285"/>
      <c r="V302" s="431"/>
      <c r="W302" s="437"/>
      <c r="X302" s="374"/>
      <c r="Y302" s="433"/>
      <c r="Z302" s="438"/>
      <c r="AA302" s="263"/>
      <c r="AB302" s="435"/>
      <c r="AC302" s="438"/>
      <c r="AD302" s="263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</row>
    <row r="303" spans="4:43" ht="15" hidden="1" customHeight="1" outlineLevel="1">
      <c r="D303" s="57"/>
      <c r="E303" s="264"/>
      <c r="G303" s="265"/>
      <c r="H303" s="266"/>
      <c r="I303" s="266"/>
      <c r="J303" s="267" t="s">
        <v>31</v>
      </c>
      <c r="K303" s="286">
        <f>K304/K301</f>
        <v>0</v>
      </c>
      <c r="L303" s="286"/>
      <c r="M303" s="286"/>
      <c r="N303" s="269"/>
      <c r="O303" s="269"/>
      <c r="P303" s="269"/>
      <c r="Q303" s="287"/>
      <c r="R303" s="288"/>
      <c r="S303" s="286">
        <f>K305/S301</f>
        <v>0.80382078614803865</v>
      </c>
      <c r="T303" s="289"/>
      <c r="V303" s="432"/>
      <c r="W303" s="439"/>
      <c r="X303" s="375"/>
      <c r="Y303" s="434"/>
      <c r="Z303" s="440"/>
      <c r="AA303" s="294"/>
      <c r="AB303" s="436"/>
      <c r="AC303" s="440"/>
      <c r="AD303" s="294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</row>
    <row r="304" spans="4:43" ht="15" hidden="1" customHeight="1" outlineLevel="1">
      <c r="D304" s="57"/>
      <c r="E304" s="264"/>
      <c r="G304" s="275" t="s">
        <v>99</v>
      </c>
      <c r="H304" s="276"/>
      <c r="I304" s="373">
        <v>44774</v>
      </c>
      <c r="J304" s="379" t="s">
        <v>167</v>
      </c>
      <c r="K304" s="290">
        <f>((N136)+W304)/1000</f>
        <v>0</v>
      </c>
      <c r="L304" s="290"/>
      <c r="M304" s="290"/>
      <c r="N304" s="278"/>
      <c r="O304" s="278"/>
      <c r="P304" s="278"/>
      <c r="Q304" s="291" t="s">
        <v>97</v>
      </c>
      <c r="R304" s="292"/>
      <c r="S304" s="293"/>
      <c r="T304" s="281"/>
      <c r="V304" s="305" t="s">
        <v>79</v>
      </c>
      <c r="W304" s="306">
        <f>SUM(W299:W303)+SUM(Z299:Z303)+SUM(AC299:AC303)</f>
        <v>0</v>
      </c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</row>
    <row r="305" spans="4:43" ht="15" hidden="1" customHeight="1" outlineLevel="1">
      <c r="D305" s="57"/>
      <c r="E305" s="295"/>
      <c r="F305" s="296"/>
      <c r="G305" s="297"/>
      <c r="H305" s="296"/>
      <c r="I305" s="296"/>
      <c r="J305" s="298" t="str">
        <f>E297&amp;" 누계 실적(종합)"</f>
        <v>8월 누계 실적(종합)</v>
      </c>
      <c r="K305" s="299">
        <f>K295+K304</f>
        <v>1959.0720200000001</v>
      </c>
      <c r="L305" s="299"/>
      <c r="M305" s="299"/>
      <c r="N305" s="300"/>
      <c r="O305" s="300"/>
      <c r="P305" s="300"/>
      <c r="Q305" s="301" t="s">
        <v>97</v>
      </c>
      <c r="R305" s="302"/>
      <c r="S305" s="303"/>
      <c r="T305" s="304"/>
      <c r="V305" s="321" t="s">
        <v>112</v>
      </c>
      <c r="W305" s="322">
        <f>W295+W304</f>
        <v>132029.02000000002</v>
      </c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</row>
    <row r="306" spans="4:43" ht="15" hidden="1" customHeight="1" outlineLevel="1">
      <c r="D306" s="57"/>
      <c r="E306" s="248" t="s">
        <v>145</v>
      </c>
      <c r="I306" s="323"/>
      <c r="V306" s="326"/>
      <c r="W306" s="32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</row>
    <row r="307" spans="4:43" ht="15" hidden="1" customHeight="1" outlineLevel="1">
      <c r="D307" s="57"/>
      <c r="E307" s="249" t="s">
        <v>145</v>
      </c>
      <c r="F307" s="250"/>
      <c r="G307" s="251" t="s">
        <v>98</v>
      </c>
      <c r="H307" s="252"/>
      <c r="I307" s="252"/>
      <c r="J307" s="253" t="s">
        <v>104</v>
      </c>
      <c r="K307" s="254">
        <v>20</v>
      </c>
      <c r="L307" s="254"/>
      <c r="M307" s="254"/>
      <c r="N307" s="254"/>
      <c r="O307" s="254"/>
      <c r="P307" s="254"/>
      <c r="Q307" s="1161"/>
      <c r="R307" s="1161"/>
      <c r="S307" s="255"/>
      <c r="T307" s="256"/>
      <c r="V307" s="1162" t="str">
        <f>"망간광 "&amp;E307&amp;" 실적"</f>
        <v>망간광 9월 실적</v>
      </c>
      <c r="W307" s="1163"/>
      <c r="X307" s="1163"/>
      <c r="Y307" s="1163"/>
      <c r="Z307" s="1163"/>
      <c r="AA307" s="1163"/>
      <c r="AB307" s="1163"/>
      <c r="AC307" s="1163"/>
      <c r="AD307" s="1164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</row>
    <row r="308" spans="4:43" ht="15" hidden="1" customHeight="1" outlineLevel="1">
      <c r="D308" s="57"/>
      <c r="E308" s="257"/>
      <c r="F308" s="248"/>
      <c r="G308" s="258"/>
      <c r="J308" s="259" t="s">
        <v>160</v>
      </c>
      <c r="K308" s="239">
        <f>K155/1000</f>
        <v>250</v>
      </c>
      <c r="Q308" s="260"/>
      <c r="R308" s="260"/>
      <c r="T308" s="261"/>
      <c r="V308" s="498" t="s">
        <v>102</v>
      </c>
      <c r="W308" s="499" t="s">
        <v>103</v>
      </c>
      <c r="X308" s="500" t="s">
        <v>129</v>
      </c>
      <c r="Y308" s="498" t="s">
        <v>102</v>
      </c>
      <c r="Z308" s="499" t="s">
        <v>103</v>
      </c>
      <c r="AA308" s="500" t="s">
        <v>129</v>
      </c>
      <c r="AB308" s="498" t="s">
        <v>102</v>
      </c>
      <c r="AC308" s="499" t="s">
        <v>103</v>
      </c>
      <c r="AD308" s="500" t="s">
        <v>129</v>
      </c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</row>
    <row r="309" spans="4:43" ht="15" hidden="1" customHeight="1" outlineLevel="1">
      <c r="D309" s="57"/>
      <c r="E309" s="257"/>
      <c r="F309" s="248"/>
      <c r="G309" s="258"/>
      <c r="J309" s="259" t="s">
        <v>147</v>
      </c>
      <c r="Q309" s="260"/>
      <c r="R309" s="260"/>
      <c r="T309" s="261"/>
      <c r="V309" s="501"/>
      <c r="W309" s="502"/>
      <c r="X309" s="503"/>
      <c r="Y309" s="504"/>
      <c r="Z309" s="505"/>
      <c r="AA309" s="506"/>
      <c r="AB309" s="507"/>
      <c r="AC309" s="505"/>
      <c r="AD309" s="506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</row>
    <row r="310" spans="4:43" ht="15" hidden="1" customHeight="1" outlineLevel="1">
      <c r="D310" s="57"/>
      <c r="E310" s="264"/>
      <c r="G310" s="265"/>
      <c r="H310" s="266"/>
      <c r="I310" s="267" t="s">
        <v>28</v>
      </c>
      <c r="J310" s="267" t="str">
        <f>E307&amp;" 전망"</f>
        <v>9월 전망</v>
      </c>
      <c r="K310" s="268">
        <f>K307+K308-K309</f>
        <v>270</v>
      </c>
      <c r="L310" s="268"/>
      <c r="M310" s="268"/>
      <c r="N310" s="269"/>
      <c r="O310" s="269"/>
      <c r="P310" s="269"/>
      <c r="Q310" s="270">
        <f>K310/K311</f>
        <v>1.180585920419764</v>
      </c>
      <c r="R310" s="271" t="str">
        <f>E307&amp;" 누계 전망"</f>
        <v>9월 누계 전망</v>
      </c>
      <c r="S310" s="272">
        <f>K305+K310</f>
        <v>2229.0720200000001</v>
      </c>
      <c r="T310" s="273">
        <f>S310/S311</f>
        <v>0.8361423984395514</v>
      </c>
      <c r="U310" s="274"/>
      <c r="V310" s="430"/>
      <c r="W310" s="437"/>
      <c r="X310" s="374"/>
      <c r="Y310" s="433"/>
      <c r="Z310" s="438"/>
      <c r="AA310" s="263"/>
      <c r="AB310" s="435"/>
      <c r="AC310" s="438"/>
      <c r="AD310" s="263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</row>
    <row r="311" spans="4:43" ht="15" hidden="1" customHeight="1" outlineLevel="1">
      <c r="D311" s="57"/>
      <c r="E311" s="264"/>
      <c r="G311" s="275" t="s">
        <v>27</v>
      </c>
      <c r="H311" s="276"/>
      <c r="I311" s="276"/>
      <c r="J311" s="277" t="str">
        <f>E307&amp;" 계획(ST)"</f>
        <v>9월 계획(ST)</v>
      </c>
      <c r="K311" s="318">
        <v>228.7</v>
      </c>
      <c r="L311" s="278"/>
      <c r="M311" s="278"/>
      <c r="N311" s="278"/>
      <c r="O311" s="278"/>
      <c r="P311" s="278"/>
      <c r="Q311" s="279"/>
      <c r="R311" s="279" t="s">
        <v>131</v>
      </c>
      <c r="S311" s="319">
        <f>S301+K311</f>
        <v>2665.9</v>
      </c>
      <c r="T311" s="281"/>
      <c r="V311" s="431"/>
      <c r="W311" s="437"/>
      <c r="X311" s="374"/>
      <c r="Y311" s="433"/>
      <c r="Z311" s="438"/>
      <c r="AA311" s="263"/>
      <c r="AB311" s="435"/>
      <c r="AC311" s="438"/>
      <c r="AD311" s="263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  <c r="AP311" s="57"/>
      <c r="AQ311" s="57"/>
    </row>
    <row r="312" spans="4:43" ht="15" hidden="1" customHeight="1" outlineLevel="1">
      <c r="D312" s="57"/>
      <c r="E312" s="264"/>
      <c r="G312" s="258"/>
      <c r="J312" s="259" t="s">
        <v>27</v>
      </c>
      <c r="K312" s="282">
        <f>K310-K311</f>
        <v>41.300000000000011</v>
      </c>
      <c r="Q312" s="283"/>
      <c r="R312" s="284"/>
      <c r="S312" s="282">
        <f>S310-S311</f>
        <v>-436.82798000000003</v>
      </c>
      <c r="T312" s="285"/>
      <c r="V312" s="431"/>
      <c r="W312" s="437"/>
      <c r="X312" s="374"/>
      <c r="Y312" s="433"/>
      <c r="Z312" s="438"/>
      <c r="AA312" s="263"/>
      <c r="AB312" s="435"/>
      <c r="AC312" s="438"/>
      <c r="AD312" s="263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</row>
    <row r="313" spans="4:43" ht="15" hidden="1" customHeight="1" outlineLevel="1">
      <c r="D313" s="57"/>
      <c r="E313" s="264"/>
      <c r="G313" s="265"/>
      <c r="H313" s="266"/>
      <c r="I313" s="266"/>
      <c r="J313" s="267" t="s">
        <v>31</v>
      </c>
      <c r="K313" s="286">
        <f>K314/K311</f>
        <v>0</v>
      </c>
      <c r="L313" s="286"/>
      <c r="M313" s="286"/>
      <c r="N313" s="269"/>
      <c r="O313" s="269"/>
      <c r="P313" s="269"/>
      <c r="Q313" s="287"/>
      <c r="R313" s="288"/>
      <c r="S313" s="286">
        <f>K315/S311</f>
        <v>0.73486328069319928</v>
      </c>
      <c r="T313" s="289"/>
      <c r="V313" s="432"/>
      <c r="W313" s="439"/>
      <c r="X313" s="375"/>
      <c r="Y313" s="434"/>
      <c r="Z313" s="440"/>
      <c r="AA313" s="294"/>
      <c r="AB313" s="436"/>
      <c r="AC313" s="440"/>
      <c r="AD313" s="294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  <c r="AP313" s="57"/>
      <c r="AQ313" s="57"/>
    </row>
    <row r="314" spans="4:43" ht="15" hidden="1" customHeight="1" outlineLevel="1">
      <c r="D314" s="57"/>
      <c r="E314" s="264"/>
      <c r="G314" s="275" t="s">
        <v>99</v>
      </c>
      <c r="H314" s="276"/>
      <c r="I314" s="373">
        <v>44805</v>
      </c>
      <c r="J314" s="379" t="s">
        <v>167</v>
      </c>
      <c r="K314" s="290">
        <f>((N155)+W314)/1000</f>
        <v>0</v>
      </c>
      <c r="L314" s="290"/>
      <c r="M314" s="290"/>
      <c r="N314" s="278"/>
      <c r="O314" s="278"/>
      <c r="P314" s="278"/>
      <c r="Q314" s="291" t="s">
        <v>97</v>
      </c>
      <c r="R314" s="292"/>
      <c r="S314" s="293"/>
      <c r="T314" s="281"/>
      <c r="V314" s="305" t="s">
        <v>79</v>
      </c>
      <c r="W314" s="306">
        <f>SUM(W309:W313)+SUM(Z309:Z313)+SUM(AC309:AC313)</f>
        <v>0</v>
      </c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</row>
    <row r="315" spans="4:43" ht="15" hidden="1" customHeight="1" outlineLevel="1">
      <c r="D315" s="57"/>
      <c r="E315" s="295"/>
      <c r="F315" s="296"/>
      <c r="G315" s="297"/>
      <c r="H315" s="296"/>
      <c r="I315" s="296"/>
      <c r="J315" s="298" t="str">
        <f>E307&amp;" 누계 실적(종합)"</f>
        <v>9월 누계 실적(종합)</v>
      </c>
      <c r="K315" s="299">
        <f>K305+K314</f>
        <v>1959.0720200000001</v>
      </c>
      <c r="L315" s="299"/>
      <c r="M315" s="299"/>
      <c r="N315" s="300"/>
      <c r="O315" s="300"/>
      <c r="P315" s="300"/>
      <c r="Q315" s="301" t="s">
        <v>97</v>
      </c>
      <c r="R315" s="302"/>
      <c r="S315" s="303"/>
      <c r="T315" s="304"/>
      <c r="V315" s="321" t="s">
        <v>112</v>
      </c>
      <c r="W315" s="322">
        <f>W305+W314</f>
        <v>132029.02000000002</v>
      </c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</row>
    <row r="316" spans="4:43" ht="15" hidden="1" customHeight="1" outlineLevel="1">
      <c r="D316" s="57"/>
      <c r="E316" s="248" t="s">
        <v>146</v>
      </c>
      <c r="I316" s="323"/>
      <c r="V316" s="326"/>
      <c r="W316" s="32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</row>
    <row r="317" spans="4:43" ht="15" hidden="1" customHeight="1" outlineLevel="1">
      <c r="D317" s="57"/>
      <c r="E317" s="249" t="s">
        <v>146</v>
      </c>
      <c r="F317" s="250"/>
      <c r="G317" s="251" t="s">
        <v>98</v>
      </c>
      <c r="H317" s="252"/>
      <c r="I317" s="252"/>
      <c r="J317" s="253" t="s">
        <v>104</v>
      </c>
      <c r="K317" s="254">
        <v>20</v>
      </c>
      <c r="L317" s="254"/>
      <c r="M317" s="254"/>
      <c r="N317" s="254"/>
      <c r="O317" s="254"/>
      <c r="P317" s="254"/>
      <c r="Q317" s="1161"/>
      <c r="R317" s="1161"/>
      <c r="S317" s="255"/>
      <c r="T317" s="256"/>
      <c r="V317" s="1162" t="str">
        <f>"망간광 "&amp;E317&amp;" 실적"</f>
        <v>망간광 10월 실적</v>
      </c>
      <c r="W317" s="1163"/>
      <c r="X317" s="1163"/>
      <c r="Y317" s="1163"/>
      <c r="Z317" s="1163"/>
      <c r="AA317" s="1163"/>
      <c r="AB317" s="1163"/>
      <c r="AC317" s="1163"/>
      <c r="AD317" s="1164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</row>
    <row r="318" spans="4:43" ht="15" hidden="1" customHeight="1" outlineLevel="1">
      <c r="D318" s="57"/>
      <c r="E318" s="257"/>
      <c r="F318" s="248"/>
      <c r="G318" s="258"/>
      <c r="J318" s="259" t="s">
        <v>160</v>
      </c>
      <c r="K318" s="239">
        <f>K174/1000</f>
        <v>0</v>
      </c>
      <c r="Q318" s="260"/>
      <c r="R318" s="260"/>
      <c r="T318" s="261"/>
      <c r="V318" s="498" t="s">
        <v>102</v>
      </c>
      <c r="W318" s="499" t="s">
        <v>103</v>
      </c>
      <c r="X318" s="500" t="s">
        <v>129</v>
      </c>
      <c r="Y318" s="498" t="s">
        <v>102</v>
      </c>
      <c r="Z318" s="499" t="s">
        <v>103</v>
      </c>
      <c r="AA318" s="500" t="s">
        <v>129</v>
      </c>
      <c r="AB318" s="498" t="s">
        <v>102</v>
      </c>
      <c r="AC318" s="499" t="s">
        <v>103</v>
      </c>
      <c r="AD318" s="500" t="s">
        <v>129</v>
      </c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  <c r="AO318" s="57"/>
      <c r="AP318" s="57"/>
      <c r="AQ318" s="57"/>
    </row>
    <row r="319" spans="4:43" ht="15" hidden="1" customHeight="1" outlineLevel="1">
      <c r="D319" s="57"/>
      <c r="E319" s="257"/>
      <c r="F319" s="248"/>
      <c r="G319" s="258"/>
      <c r="J319" s="259" t="s">
        <v>148</v>
      </c>
      <c r="Q319" s="260"/>
      <c r="R319" s="260"/>
      <c r="T319" s="261"/>
      <c r="V319" s="501"/>
      <c r="W319" s="502"/>
      <c r="X319" s="503"/>
      <c r="Y319" s="504"/>
      <c r="Z319" s="505"/>
      <c r="AA319" s="506"/>
      <c r="AB319" s="507"/>
      <c r="AC319" s="505"/>
      <c r="AD319" s="506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57"/>
      <c r="AP319" s="57"/>
      <c r="AQ319" s="57"/>
    </row>
    <row r="320" spans="4:43" ht="15" hidden="1" customHeight="1" outlineLevel="1">
      <c r="D320" s="57"/>
      <c r="E320" s="264"/>
      <c r="G320" s="265"/>
      <c r="H320" s="266"/>
      <c r="I320" s="267" t="s">
        <v>28</v>
      </c>
      <c r="J320" s="267" t="str">
        <f>E317&amp;" 전망"</f>
        <v>10월 전망</v>
      </c>
      <c r="K320" s="268">
        <f>K317+K318-K319</f>
        <v>20</v>
      </c>
      <c r="L320" s="268"/>
      <c r="M320" s="268"/>
      <c r="N320" s="269"/>
      <c r="O320" s="269"/>
      <c r="P320" s="269"/>
      <c r="Q320" s="270">
        <f>K320/K321</f>
        <v>5.6689342403628114E-2</v>
      </c>
      <c r="R320" s="271" t="str">
        <f>E317&amp;" 누계 전망"</f>
        <v>10월 누계 전망</v>
      </c>
      <c r="S320" s="272">
        <f>K315+K320</f>
        <v>1979.0720200000001</v>
      </c>
      <c r="T320" s="273">
        <f>S320/S321</f>
        <v>0.65560407460164971</v>
      </c>
      <c r="U320" s="274"/>
      <c r="V320" s="430"/>
      <c r="W320" s="437"/>
      <c r="X320" s="374"/>
      <c r="Y320" s="433"/>
      <c r="Z320" s="438"/>
      <c r="AA320" s="263"/>
      <c r="AB320" s="435"/>
      <c r="AC320" s="438"/>
      <c r="AD320" s="263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  <c r="AO320" s="57"/>
      <c r="AP320" s="57"/>
      <c r="AQ320" s="57"/>
    </row>
    <row r="321" spans="4:43" ht="15" hidden="1" customHeight="1" outlineLevel="1">
      <c r="D321" s="57"/>
      <c r="E321" s="264"/>
      <c r="G321" s="275" t="s">
        <v>27</v>
      </c>
      <c r="H321" s="276"/>
      <c r="I321" s="276"/>
      <c r="J321" s="277" t="str">
        <f>E317&amp;" 계획(ST)"</f>
        <v>10월 계획(ST)</v>
      </c>
      <c r="K321" s="318">
        <v>352.8</v>
      </c>
      <c r="L321" s="278"/>
      <c r="M321" s="278"/>
      <c r="N321" s="278"/>
      <c r="O321" s="278"/>
      <c r="P321" s="278"/>
      <c r="Q321" s="279"/>
      <c r="R321" s="279" t="s">
        <v>131</v>
      </c>
      <c r="S321" s="319">
        <f>S311+K321</f>
        <v>3018.7000000000003</v>
      </c>
      <c r="T321" s="281"/>
      <c r="V321" s="431"/>
      <c r="W321" s="437"/>
      <c r="X321" s="374"/>
      <c r="Y321" s="433"/>
      <c r="Z321" s="438"/>
      <c r="AA321" s="263"/>
      <c r="AB321" s="435"/>
      <c r="AC321" s="438"/>
      <c r="AD321" s="263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</row>
    <row r="322" spans="4:43" ht="15" hidden="1" customHeight="1" outlineLevel="1">
      <c r="D322" s="57"/>
      <c r="E322" s="264"/>
      <c r="G322" s="258"/>
      <c r="J322" s="259" t="s">
        <v>27</v>
      </c>
      <c r="K322" s="282">
        <f>K320-K321</f>
        <v>-332.8</v>
      </c>
      <c r="Q322" s="283"/>
      <c r="R322" s="284"/>
      <c r="S322" s="282">
        <f>S320-S321</f>
        <v>-1039.6279800000002</v>
      </c>
      <c r="T322" s="285"/>
      <c r="V322" s="431"/>
      <c r="W322" s="437"/>
      <c r="X322" s="374"/>
      <c r="Y322" s="433"/>
      <c r="Z322" s="438"/>
      <c r="AA322" s="263"/>
      <c r="AB322" s="435"/>
      <c r="AC322" s="438"/>
      <c r="AD322" s="263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  <c r="AP322" s="57"/>
      <c r="AQ322" s="57"/>
    </row>
    <row r="323" spans="4:43" ht="15" hidden="1" customHeight="1" outlineLevel="1">
      <c r="D323" s="57"/>
      <c r="E323" s="264"/>
      <c r="G323" s="265"/>
      <c r="H323" s="266"/>
      <c r="I323" s="266"/>
      <c r="J323" s="267" t="s">
        <v>31</v>
      </c>
      <c r="K323" s="286">
        <f>K324/K321</f>
        <v>0</v>
      </c>
      <c r="L323" s="286"/>
      <c r="M323" s="286"/>
      <c r="N323" s="269"/>
      <c r="O323" s="269"/>
      <c r="P323" s="269"/>
      <c r="Q323" s="287"/>
      <c r="R323" s="288"/>
      <c r="S323" s="286">
        <f>K325/S321</f>
        <v>0.64897870606552488</v>
      </c>
      <c r="T323" s="289"/>
      <c r="V323" s="432"/>
      <c r="W323" s="439"/>
      <c r="X323" s="375"/>
      <c r="Y323" s="434"/>
      <c r="Z323" s="440"/>
      <c r="AA323" s="294"/>
      <c r="AB323" s="436"/>
      <c r="AC323" s="440"/>
      <c r="AD323" s="294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  <c r="AO323" s="57"/>
      <c r="AP323" s="57"/>
      <c r="AQ323" s="57"/>
    </row>
    <row r="324" spans="4:43" ht="15" hidden="1" customHeight="1" outlineLevel="1">
      <c r="D324" s="57"/>
      <c r="E324" s="264"/>
      <c r="G324" s="275" t="s">
        <v>99</v>
      </c>
      <c r="H324" s="276"/>
      <c r="I324" s="373">
        <v>44835</v>
      </c>
      <c r="J324" s="379" t="s">
        <v>167</v>
      </c>
      <c r="K324" s="290">
        <f>((N174)+W324)/1000</f>
        <v>0</v>
      </c>
      <c r="L324" s="290"/>
      <c r="M324" s="290"/>
      <c r="N324" s="278"/>
      <c r="O324" s="278"/>
      <c r="P324" s="278"/>
      <c r="Q324" s="291" t="s">
        <v>97</v>
      </c>
      <c r="R324" s="292"/>
      <c r="S324" s="293"/>
      <c r="T324" s="281"/>
      <c r="V324" s="305" t="s">
        <v>79</v>
      </c>
      <c r="W324" s="306">
        <f>SUM(W319:W323)+SUM(Z319:Z323)+SUM(AC319:AC323)</f>
        <v>0</v>
      </c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  <c r="AO324" s="57"/>
      <c r="AP324" s="57"/>
      <c r="AQ324" s="57"/>
    </row>
    <row r="325" spans="4:43" ht="15" hidden="1" customHeight="1" outlineLevel="1">
      <c r="D325" s="57"/>
      <c r="E325" s="295"/>
      <c r="F325" s="296"/>
      <c r="G325" s="297"/>
      <c r="H325" s="296"/>
      <c r="I325" s="296"/>
      <c r="J325" s="298" t="str">
        <f>E317&amp;" 누계 실적(종합)"</f>
        <v>10월 누계 실적(종합)</v>
      </c>
      <c r="K325" s="299">
        <f>K315+K324</f>
        <v>1959.0720200000001</v>
      </c>
      <c r="L325" s="299"/>
      <c r="M325" s="299"/>
      <c r="N325" s="300"/>
      <c r="O325" s="300"/>
      <c r="P325" s="300"/>
      <c r="Q325" s="301" t="s">
        <v>97</v>
      </c>
      <c r="R325" s="302"/>
      <c r="S325" s="303"/>
      <c r="T325" s="304"/>
      <c r="V325" s="321" t="s">
        <v>112</v>
      </c>
      <c r="W325" s="322">
        <f>W315+W324</f>
        <v>132029.02000000002</v>
      </c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  <c r="AO325" s="57"/>
      <c r="AP325" s="57"/>
      <c r="AQ325" s="57"/>
    </row>
    <row r="326" spans="4:43" ht="15" hidden="1" customHeight="1" outlineLevel="1">
      <c r="D326" s="57"/>
      <c r="E326" s="248" t="s">
        <v>226</v>
      </c>
      <c r="I326" s="323"/>
      <c r="V326" s="326"/>
      <c r="W326" s="32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  <c r="AO326" s="57"/>
      <c r="AP326" s="57"/>
      <c r="AQ326" s="57"/>
    </row>
    <row r="327" spans="4:43" ht="15" hidden="1" customHeight="1" outlineLevel="1">
      <c r="D327" s="57"/>
      <c r="E327" s="249" t="s">
        <v>151</v>
      </c>
      <c r="F327" s="250"/>
      <c r="G327" s="251" t="s">
        <v>98</v>
      </c>
      <c r="H327" s="252"/>
      <c r="I327" s="252"/>
      <c r="J327" s="253" t="s">
        <v>104</v>
      </c>
      <c r="K327" s="254">
        <v>15</v>
      </c>
      <c r="L327" s="254"/>
      <c r="M327" s="254"/>
      <c r="N327" s="254"/>
      <c r="O327" s="254"/>
      <c r="P327" s="254"/>
      <c r="Q327" s="1161"/>
      <c r="R327" s="1161"/>
      <c r="S327" s="255"/>
      <c r="T327" s="256"/>
      <c r="V327" s="1162" t="str">
        <f>"망간광 "&amp;E327&amp;" 실적"</f>
        <v>망간광 11월 실적</v>
      </c>
      <c r="W327" s="1163"/>
      <c r="X327" s="1163"/>
      <c r="Y327" s="1163"/>
      <c r="Z327" s="1163"/>
      <c r="AA327" s="1163"/>
      <c r="AB327" s="1163"/>
      <c r="AC327" s="1163"/>
      <c r="AD327" s="1164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</row>
    <row r="328" spans="4:43" ht="15" hidden="1" customHeight="1" outlineLevel="1">
      <c r="D328" s="57"/>
      <c r="E328" s="257"/>
      <c r="F328" s="248"/>
      <c r="G328" s="258"/>
      <c r="J328" s="259" t="s">
        <v>160</v>
      </c>
      <c r="K328" s="239">
        <f>K199/1000</f>
        <v>0</v>
      </c>
      <c r="Q328" s="260"/>
      <c r="R328" s="260"/>
      <c r="T328" s="261"/>
      <c r="V328" s="498" t="s">
        <v>102</v>
      </c>
      <c r="W328" s="499" t="s">
        <v>103</v>
      </c>
      <c r="X328" s="500" t="s">
        <v>129</v>
      </c>
      <c r="Y328" s="498" t="s">
        <v>102</v>
      </c>
      <c r="Z328" s="499" t="s">
        <v>103</v>
      </c>
      <c r="AA328" s="500" t="s">
        <v>129</v>
      </c>
      <c r="AB328" s="498" t="s">
        <v>102</v>
      </c>
      <c r="AC328" s="499" t="s">
        <v>103</v>
      </c>
      <c r="AD328" s="500" t="s">
        <v>129</v>
      </c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57"/>
      <c r="AP328" s="57"/>
      <c r="AQ328" s="57"/>
    </row>
    <row r="329" spans="4:43" ht="15" hidden="1" customHeight="1" outlineLevel="1">
      <c r="D329" s="57"/>
      <c r="E329" s="257"/>
      <c r="F329" s="248"/>
      <c r="G329" s="258"/>
      <c r="J329" s="259" t="s">
        <v>149</v>
      </c>
      <c r="Q329" s="260"/>
      <c r="R329" s="260"/>
      <c r="T329" s="261"/>
      <c r="V329" s="501"/>
      <c r="W329" s="502"/>
      <c r="X329" s="503"/>
      <c r="Y329" s="504"/>
      <c r="Z329" s="505"/>
      <c r="AA329" s="506"/>
      <c r="AB329" s="507"/>
      <c r="AC329" s="505"/>
      <c r="AD329" s="506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</row>
    <row r="330" spans="4:43" ht="15" hidden="1" customHeight="1" outlineLevel="1">
      <c r="D330" s="57"/>
      <c r="E330" s="264"/>
      <c r="G330" s="265"/>
      <c r="H330" s="266"/>
      <c r="I330" s="267" t="s">
        <v>28</v>
      </c>
      <c r="J330" s="267" t="str">
        <f>E327&amp;" 전망"</f>
        <v>11월 전망</v>
      </c>
      <c r="K330" s="268">
        <f>K327+K328-K329</f>
        <v>15</v>
      </c>
      <c r="L330" s="268"/>
      <c r="M330" s="268"/>
      <c r="N330" s="269"/>
      <c r="O330" s="269"/>
      <c r="P330" s="269"/>
      <c r="Q330" s="270">
        <f>K330/K331</f>
        <v>5.7077625570776253E-2</v>
      </c>
      <c r="R330" s="271" t="str">
        <f>E327&amp;" 누계 전망"</f>
        <v>11월 누계 전망</v>
      </c>
      <c r="S330" s="272">
        <f>K325+K330</f>
        <v>1974.0720200000001</v>
      </c>
      <c r="T330" s="273">
        <f>S330/S331</f>
        <v>0.60157611458174609</v>
      </c>
      <c r="U330" s="274"/>
      <c r="V330" s="430"/>
      <c r="W330" s="437"/>
      <c r="X330" s="374"/>
      <c r="Y330" s="433"/>
      <c r="Z330" s="438"/>
      <c r="AA330" s="263"/>
      <c r="AB330" s="435"/>
      <c r="AC330" s="438"/>
      <c r="AD330" s="263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</row>
    <row r="331" spans="4:43" ht="15" hidden="1" customHeight="1" outlineLevel="1">
      <c r="D331" s="57"/>
      <c r="E331" s="264"/>
      <c r="G331" s="275" t="s">
        <v>27</v>
      </c>
      <c r="H331" s="276"/>
      <c r="I331" s="276"/>
      <c r="J331" s="277" t="str">
        <f>E327&amp;" 계획(ST)"</f>
        <v>11월 계획(ST)</v>
      </c>
      <c r="K331" s="318">
        <v>262.8</v>
      </c>
      <c r="L331" s="278"/>
      <c r="M331" s="278"/>
      <c r="N331" s="278"/>
      <c r="O331" s="278"/>
      <c r="P331" s="278"/>
      <c r="Q331" s="279"/>
      <c r="R331" s="279" t="s">
        <v>131</v>
      </c>
      <c r="S331" s="319">
        <f>S321+K331</f>
        <v>3281.5000000000005</v>
      </c>
      <c r="T331" s="281"/>
      <c r="V331" s="431"/>
      <c r="W331" s="437"/>
      <c r="X331" s="374"/>
      <c r="Y331" s="433"/>
      <c r="Z331" s="438"/>
      <c r="AA331" s="263"/>
      <c r="AB331" s="435"/>
      <c r="AC331" s="438"/>
      <c r="AD331" s="263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  <c r="AO331" s="57"/>
      <c r="AP331" s="57"/>
      <c r="AQ331" s="57"/>
    </row>
    <row r="332" spans="4:43" ht="15" hidden="1" customHeight="1" outlineLevel="1">
      <c r="D332" s="57"/>
      <c r="E332" s="264"/>
      <c r="G332" s="258"/>
      <c r="J332" s="259" t="s">
        <v>27</v>
      </c>
      <c r="K332" s="282">
        <f>K330-K331</f>
        <v>-247.8</v>
      </c>
      <c r="Q332" s="283"/>
      <c r="R332" s="284"/>
      <c r="S332" s="282">
        <f>S330-S331</f>
        <v>-1307.4279800000004</v>
      </c>
      <c r="T332" s="285"/>
      <c r="V332" s="431"/>
      <c r="W332" s="437"/>
      <c r="X332" s="374"/>
      <c r="Y332" s="433"/>
      <c r="Z332" s="438"/>
      <c r="AA332" s="263"/>
      <c r="AB332" s="435"/>
      <c r="AC332" s="438"/>
      <c r="AD332" s="263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57"/>
      <c r="AP332" s="57"/>
      <c r="AQ332" s="57"/>
    </row>
    <row r="333" spans="4:43" ht="15" hidden="1" customHeight="1" outlineLevel="1">
      <c r="D333" s="57"/>
      <c r="E333" s="264"/>
      <c r="G333" s="265"/>
      <c r="H333" s="266"/>
      <c r="I333" s="266"/>
      <c r="J333" s="267" t="s">
        <v>31</v>
      </c>
      <c r="K333" s="286">
        <f>K334/K331</f>
        <v>0</v>
      </c>
      <c r="L333" s="286"/>
      <c r="M333" s="286"/>
      <c r="N333" s="269"/>
      <c r="O333" s="269"/>
      <c r="P333" s="269"/>
      <c r="Q333" s="287"/>
      <c r="R333" s="288"/>
      <c r="S333" s="286">
        <f>K335/S331</f>
        <v>0.59700503428310214</v>
      </c>
      <c r="T333" s="289"/>
      <c r="V333" s="432"/>
      <c r="W333" s="439"/>
      <c r="X333" s="375"/>
      <c r="Y333" s="434"/>
      <c r="Z333" s="440"/>
      <c r="AA333" s="294"/>
      <c r="AB333" s="436"/>
      <c r="AC333" s="440"/>
      <c r="AD333" s="294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  <c r="AO333" s="57"/>
      <c r="AP333" s="57"/>
      <c r="AQ333" s="57"/>
    </row>
    <row r="334" spans="4:43" ht="15" hidden="1" customHeight="1" outlineLevel="1">
      <c r="D334" s="57"/>
      <c r="E334" s="264"/>
      <c r="G334" s="275" t="s">
        <v>99</v>
      </c>
      <c r="H334" s="276"/>
      <c r="I334" s="373">
        <v>44866</v>
      </c>
      <c r="J334" s="379" t="s">
        <v>167</v>
      </c>
      <c r="K334" s="290">
        <f>((N199)+W334)/1000</f>
        <v>0</v>
      </c>
      <c r="L334" s="290"/>
      <c r="M334" s="290"/>
      <c r="N334" s="278"/>
      <c r="O334" s="278"/>
      <c r="P334" s="278"/>
      <c r="Q334" s="291" t="s">
        <v>97</v>
      </c>
      <c r="R334" s="292"/>
      <c r="S334" s="293"/>
      <c r="T334" s="281"/>
      <c r="V334" s="305" t="s">
        <v>79</v>
      </c>
      <c r="W334" s="387">
        <f>SUM(W329:W333)+SUM(Z329:Z333)+SUM(AC329:AC333)</f>
        <v>0</v>
      </c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</row>
    <row r="335" spans="4:43" ht="15" hidden="1" customHeight="1" outlineLevel="1">
      <c r="E335" s="295"/>
      <c r="F335" s="296"/>
      <c r="G335" s="297"/>
      <c r="H335" s="296"/>
      <c r="I335" s="296"/>
      <c r="J335" s="298" t="str">
        <f>E327&amp;" 누계 실적(종합)"</f>
        <v>11월 누계 실적(종합)</v>
      </c>
      <c r="K335" s="299">
        <f>K325+K334</f>
        <v>1959.0720200000001</v>
      </c>
      <c r="L335" s="299"/>
      <c r="M335" s="299"/>
      <c r="N335" s="300"/>
      <c r="O335" s="300"/>
      <c r="P335" s="300"/>
      <c r="Q335" s="301" t="s">
        <v>97</v>
      </c>
      <c r="R335" s="302"/>
      <c r="S335" s="303"/>
      <c r="T335" s="304"/>
      <c r="V335" s="321" t="s">
        <v>112</v>
      </c>
      <c r="W335" s="388">
        <f>W325+W334</f>
        <v>132029.02000000002</v>
      </c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57"/>
    </row>
    <row r="336" spans="4:43" ht="15" hidden="1" customHeight="1" outlineLevel="1">
      <c r="E336" s="248" t="s">
        <v>152</v>
      </c>
      <c r="I336" s="323"/>
      <c r="V336" s="326"/>
      <c r="W336" s="32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  <c r="AO336" s="57"/>
      <c r="AP336" s="57"/>
      <c r="AQ336" s="57"/>
    </row>
    <row r="337" spans="2:43" ht="15" hidden="1" customHeight="1" outlineLevel="1">
      <c r="E337" s="249" t="s">
        <v>152</v>
      </c>
      <c r="F337" s="250"/>
      <c r="G337" s="251" t="s">
        <v>98</v>
      </c>
      <c r="H337" s="252"/>
      <c r="I337" s="252"/>
      <c r="J337" s="253" t="s">
        <v>104</v>
      </c>
      <c r="K337" s="254">
        <v>25</v>
      </c>
      <c r="L337" s="254"/>
      <c r="M337" s="254"/>
      <c r="N337" s="254"/>
      <c r="O337" s="254"/>
      <c r="P337" s="254"/>
      <c r="Q337" s="1161"/>
      <c r="R337" s="1161"/>
      <c r="S337" s="255"/>
      <c r="T337" s="256"/>
      <c r="V337" s="1162" t="str">
        <f>"망간광 "&amp;E337&amp;" 실적"</f>
        <v>망간광 12월 실적</v>
      </c>
      <c r="W337" s="1163"/>
      <c r="X337" s="1163"/>
      <c r="Y337" s="1163"/>
      <c r="Z337" s="1163"/>
      <c r="AA337" s="1163"/>
      <c r="AB337" s="1163"/>
      <c r="AC337" s="1163"/>
      <c r="AD337" s="1164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  <c r="AO337" s="57"/>
      <c r="AP337" s="57"/>
      <c r="AQ337" s="57"/>
    </row>
    <row r="338" spans="2:43" ht="15" hidden="1" customHeight="1" outlineLevel="1">
      <c r="E338" s="257"/>
      <c r="F338" s="248"/>
      <c r="G338" s="258"/>
      <c r="J338" s="259" t="s">
        <v>160</v>
      </c>
      <c r="K338" s="239">
        <f>K224/1000</f>
        <v>0</v>
      </c>
      <c r="Q338" s="260"/>
      <c r="R338" s="260"/>
      <c r="T338" s="261"/>
      <c r="V338" s="498" t="s">
        <v>102</v>
      </c>
      <c r="W338" s="499" t="s">
        <v>103</v>
      </c>
      <c r="X338" s="500" t="s">
        <v>129</v>
      </c>
      <c r="Y338" s="498" t="s">
        <v>102</v>
      </c>
      <c r="Z338" s="499" t="s">
        <v>103</v>
      </c>
      <c r="AA338" s="500" t="s">
        <v>129</v>
      </c>
      <c r="AB338" s="498" t="s">
        <v>102</v>
      </c>
      <c r="AC338" s="499" t="s">
        <v>103</v>
      </c>
      <c r="AD338" s="500" t="s">
        <v>129</v>
      </c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57"/>
      <c r="AP338" s="57"/>
      <c r="AQ338" s="57"/>
    </row>
    <row r="339" spans="2:43" ht="15" hidden="1" customHeight="1" outlineLevel="1">
      <c r="E339" s="257"/>
      <c r="F339" s="248"/>
      <c r="G339" s="258"/>
      <c r="J339" s="259" t="s">
        <v>150</v>
      </c>
      <c r="Q339" s="260"/>
      <c r="R339" s="260"/>
      <c r="T339" s="261"/>
      <c r="V339" s="501"/>
      <c r="W339" s="502"/>
      <c r="X339" s="503"/>
      <c r="Y339" s="504"/>
      <c r="Z339" s="505"/>
      <c r="AA339" s="506"/>
      <c r="AB339" s="507"/>
      <c r="AC339" s="505"/>
      <c r="AD339" s="506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57"/>
      <c r="AP339" s="57"/>
      <c r="AQ339" s="57"/>
    </row>
    <row r="340" spans="2:43" ht="15" hidden="1" customHeight="1" outlineLevel="1">
      <c r="E340" s="264"/>
      <c r="G340" s="265"/>
      <c r="H340" s="266"/>
      <c r="I340" s="267" t="s">
        <v>28</v>
      </c>
      <c r="J340" s="267" t="str">
        <f>E337&amp;" 전망"</f>
        <v>12월 전망</v>
      </c>
      <c r="K340" s="268">
        <f>K337+K338-K339</f>
        <v>25</v>
      </c>
      <c r="L340" s="268"/>
      <c r="M340" s="268"/>
      <c r="N340" s="269"/>
      <c r="O340" s="269"/>
      <c r="P340" s="269"/>
      <c r="Q340" s="270">
        <f>K340/K341</f>
        <v>7.6057195010648004E-2</v>
      </c>
      <c r="R340" s="271" t="str">
        <f>E337&amp;" 누계 전망"</f>
        <v>12월 누계 전망</v>
      </c>
      <c r="S340" s="272">
        <f>K335+K340</f>
        <v>1984.0720200000001</v>
      </c>
      <c r="T340" s="273">
        <f>S340/S341</f>
        <v>0.5495739903606448</v>
      </c>
      <c r="U340" s="274"/>
      <c r="V340" s="430"/>
      <c r="W340" s="437"/>
      <c r="X340" s="374"/>
      <c r="Y340" s="433"/>
      <c r="Z340" s="438"/>
      <c r="AA340" s="263"/>
      <c r="AB340" s="435"/>
      <c r="AC340" s="438"/>
      <c r="AD340" s="263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57"/>
      <c r="AP340" s="57"/>
      <c r="AQ340" s="57"/>
    </row>
    <row r="341" spans="2:43" ht="15" hidden="1" customHeight="1" outlineLevel="1">
      <c r="E341" s="264"/>
      <c r="G341" s="275" t="s">
        <v>27</v>
      </c>
      <c r="H341" s="276"/>
      <c r="I341" s="276"/>
      <c r="J341" s="277" t="str">
        <f>E337&amp;" 계획(ST)"</f>
        <v>12월 계획(ST)</v>
      </c>
      <c r="K341" s="318">
        <v>328.7</v>
      </c>
      <c r="L341" s="278"/>
      <c r="M341" s="278"/>
      <c r="N341" s="278"/>
      <c r="O341" s="278"/>
      <c r="P341" s="278"/>
      <c r="Q341" s="279"/>
      <c r="R341" s="279" t="s">
        <v>131</v>
      </c>
      <c r="S341" s="319">
        <f>S331+K341</f>
        <v>3610.2000000000003</v>
      </c>
      <c r="T341" s="281"/>
      <c r="V341" s="431"/>
      <c r="W341" s="437"/>
      <c r="X341" s="374"/>
      <c r="Y341" s="433"/>
      <c r="Z341" s="438"/>
      <c r="AA341" s="263"/>
      <c r="AB341" s="435"/>
      <c r="AC341" s="438"/>
      <c r="AD341" s="263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  <c r="AO341" s="57"/>
      <c r="AP341" s="57"/>
      <c r="AQ341" s="57"/>
    </row>
    <row r="342" spans="2:43" ht="15" hidden="1" customHeight="1" outlineLevel="1">
      <c r="E342" s="264"/>
      <c r="G342" s="258"/>
      <c r="J342" s="259" t="s">
        <v>27</v>
      </c>
      <c r="K342" s="282">
        <f>K340-K341</f>
        <v>-303.7</v>
      </c>
      <c r="Q342" s="283"/>
      <c r="R342" s="284"/>
      <c r="S342" s="282">
        <f>S340-S341</f>
        <v>-1626.1279800000002</v>
      </c>
      <c r="T342" s="285"/>
      <c r="V342" s="431"/>
      <c r="W342" s="437"/>
      <c r="X342" s="374"/>
      <c r="Y342" s="433"/>
      <c r="Z342" s="438"/>
      <c r="AA342" s="263"/>
      <c r="AB342" s="435"/>
      <c r="AC342" s="438"/>
      <c r="AD342" s="263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57"/>
      <c r="AP342" s="57"/>
      <c r="AQ342" s="57"/>
    </row>
    <row r="343" spans="2:43" ht="15" hidden="1" customHeight="1" outlineLevel="1">
      <c r="E343" s="264"/>
      <c r="G343" s="265"/>
      <c r="H343" s="266"/>
      <c r="I343" s="266"/>
      <c r="J343" s="267" t="s">
        <v>31</v>
      </c>
      <c r="K343" s="286">
        <f>K344/K341</f>
        <v>0</v>
      </c>
      <c r="L343" s="286"/>
      <c r="M343" s="286"/>
      <c r="N343" s="269"/>
      <c r="O343" s="269"/>
      <c r="P343" s="269"/>
      <c r="Q343" s="287"/>
      <c r="R343" s="288"/>
      <c r="S343" s="286">
        <f>K345/S341</f>
        <v>0.54264916625117721</v>
      </c>
      <c r="T343" s="289"/>
      <c r="V343" s="432"/>
      <c r="W343" s="439"/>
      <c r="X343" s="375"/>
      <c r="Y343" s="434"/>
      <c r="Z343" s="440"/>
      <c r="AA343" s="294"/>
      <c r="AB343" s="436"/>
      <c r="AC343" s="440"/>
      <c r="AD343" s="294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57"/>
      <c r="AP343" s="57"/>
      <c r="AQ343" s="57"/>
    </row>
    <row r="344" spans="2:43" ht="15" hidden="1" customHeight="1" outlineLevel="1">
      <c r="E344" s="264"/>
      <c r="G344" s="275" t="s">
        <v>99</v>
      </c>
      <c r="H344" s="276"/>
      <c r="I344" s="373">
        <v>44896</v>
      </c>
      <c r="J344" s="379" t="s">
        <v>167</v>
      </c>
      <c r="K344" s="290">
        <f>((N224)+W344)/1000</f>
        <v>0</v>
      </c>
      <c r="L344" s="290"/>
      <c r="M344" s="290"/>
      <c r="N344" s="278"/>
      <c r="O344" s="278"/>
      <c r="P344" s="278"/>
      <c r="Q344" s="291" t="s">
        <v>97</v>
      </c>
      <c r="R344" s="292"/>
      <c r="S344" s="293"/>
      <c r="T344" s="281"/>
      <c r="V344" s="305" t="s">
        <v>79</v>
      </c>
      <c r="W344" s="306">
        <f>SUM(W339:W343)+SUM(Z339:Z343)+SUM(AC339:AC343)</f>
        <v>0</v>
      </c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57"/>
      <c r="AP344" s="57"/>
      <c r="AQ344" s="57"/>
    </row>
    <row r="345" spans="2:43" ht="15" hidden="1" customHeight="1" outlineLevel="1">
      <c r="E345" s="295"/>
      <c r="F345" s="296"/>
      <c r="G345" s="297"/>
      <c r="H345" s="296"/>
      <c r="I345" s="296"/>
      <c r="J345" s="298" t="str">
        <f>E337&amp;" 누계 실적(종합)"</f>
        <v>12월 누계 실적(종합)</v>
      </c>
      <c r="K345" s="299">
        <f>K335+K344</f>
        <v>1959.0720200000001</v>
      </c>
      <c r="L345" s="299"/>
      <c r="M345" s="299"/>
      <c r="N345" s="300"/>
      <c r="O345" s="300"/>
      <c r="P345" s="300"/>
      <c r="Q345" s="301" t="s">
        <v>97</v>
      </c>
      <c r="R345" s="302"/>
      <c r="S345" s="303"/>
      <c r="T345" s="304"/>
      <c r="V345" s="321" t="s">
        <v>112</v>
      </c>
      <c r="W345" s="322">
        <f>W335+W344</f>
        <v>132029.02000000002</v>
      </c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  <c r="AO345" s="57"/>
      <c r="AP345" s="57"/>
      <c r="AQ345" s="57"/>
    </row>
    <row r="346" spans="2:43" ht="17.45" customHeight="1" collapsed="1">
      <c r="I346" s="323"/>
      <c r="K346" s="381"/>
      <c r="V346" s="326"/>
      <c r="W346" s="32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  <c r="AO346" s="57"/>
      <c r="AP346" s="57"/>
      <c r="AQ346" s="57"/>
    </row>
    <row r="347" spans="2:43" ht="17.45" customHeight="1">
      <c r="I347" s="323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  <c r="AO347" s="57"/>
      <c r="AP347" s="57"/>
      <c r="AQ347" s="57"/>
    </row>
    <row r="348" spans="2:43" ht="17.45" customHeight="1">
      <c r="B348" s="329" t="s">
        <v>253</v>
      </c>
      <c r="C348" s="82"/>
      <c r="I348" s="323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57"/>
      <c r="AP348" s="57"/>
      <c r="AQ348" s="57"/>
    </row>
    <row r="349" spans="2:43" ht="17.45" customHeight="1" outlineLevel="1">
      <c r="B349" s="330" t="s">
        <v>106</v>
      </c>
      <c r="O349" s="122"/>
      <c r="P349" s="122"/>
      <c r="Q349" s="122"/>
      <c r="R349" s="123"/>
      <c r="S349" s="331"/>
      <c r="T349" s="124"/>
      <c r="U349" s="332"/>
      <c r="V349" s="332"/>
      <c r="W349" s="245"/>
      <c r="X349" s="245"/>
      <c r="Y349" s="333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57"/>
      <c r="AP349" s="57"/>
      <c r="AQ349" s="57"/>
    </row>
    <row r="350" spans="2:43" ht="17.45" customHeight="1" outlineLevel="1">
      <c r="B350" s="1140" t="s">
        <v>51</v>
      </c>
      <c r="C350" s="1141"/>
      <c r="D350" s="1144" t="s">
        <v>52</v>
      </c>
      <c r="E350" s="1145"/>
      <c r="F350" s="1146"/>
      <c r="G350" s="1144" t="s">
        <v>53</v>
      </c>
      <c r="H350" s="1145"/>
      <c r="I350" s="1146"/>
      <c r="J350" s="1144" t="s">
        <v>54</v>
      </c>
      <c r="K350" s="1145"/>
      <c r="L350" s="1146"/>
      <c r="O350" s="1111" t="s">
        <v>71</v>
      </c>
      <c r="P350" s="1111" t="s">
        <v>72</v>
      </c>
      <c r="Q350" s="1111" t="s">
        <v>73</v>
      </c>
      <c r="R350" s="1111" t="s">
        <v>74</v>
      </c>
      <c r="S350" s="122"/>
      <c r="T350" s="1097" t="s">
        <v>71</v>
      </c>
      <c r="U350" s="1097" t="s">
        <v>72</v>
      </c>
      <c r="V350" s="1097" t="s">
        <v>73</v>
      </c>
      <c r="W350" s="1097" t="s">
        <v>74</v>
      </c>
      <c r="X350" s="1097" t="s">
        <v>75</v>
      </c>
      <c r="Y350" s="1107" t="s">
        <v>254</v>
      </c>
      <c r="Z350" s="1109" t="s">
        <v>111</v>
      </c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  <c r="AO350" s="57"/>
      <c r="AP350" s="57"/>
      <c r="AQ350" s="57"/>
    </row>
    <row r="351" spans="2:43" ht="17.45" customHeight="1" outlineLevel="1">
      <c r="B351" s="1142"/>
      <c r="C351" s="1143"/>
      <c r="D351" s="209" t="s">
        <v>55</v>
      </c>
      <c r="E351" s="209" t="s">
        <v>56</v>
      </c>
      <c r="F351" s="209" t="s">
        <v>57</v>
      </c>
      <c r="G351" s="209" t="s">
        <v>55</v>
      </c>
      <c r="H351" s="209" t="s">
        <v>56</v>
      </c>
      <c r="I351" s="209" t="s">
        <v>57</v>
      </c>
      <c r="J351" s="209" t="s">
        <v>55</v>
      </c>
      <c r="K351" s="209" t="s">
        <v>56</v>
      </c>
      <c r="L351" s="209" t="s">
        <v>57</v>
      </c>
      <c r="O351" s="1112"/>
      <c r="P351" s="1112"/>
      <c r="Q351" s="1112"/>
      <c r="R351" s="1112"/>
      <c r="S351" s="122"/>
      <c r="T351" s="1098"/>
      <c r="U351" s="1098"/>
      <c r="V351" s="1098"/>
      <c r="W351" s="1098"/>
      <c r="X351" s="1098"/>
      <c r="Y351" s="1108"/>
      <c r="Z351" s="1110"/>
      <c r="AN351" s="363"/>
      <c r="AO351" s="364" t="s">
        <v>156</v>
      </c>
      <c r="AP351" s="451"/>
    </row>
    <row r="352" spans="2:43" ht="17.45" customHeight="1" outlineLevel="1">
      <c r="B352" s="1103" t="s">
        <v>58</v>
      </c>
      <c r="C352" s="110" t="s">
        <v>179</v>
      </c>
      <c r="D352" s="111">
        <f t="shared" ref="D352:D357" si="640">SUMIF($B$20:$B$224,C352,$L$20:$L$224)</f>
        <v>117735</v>
      </c>
      <c r="E352" s="111">
        <f t="shared" ref="E352:E357" si="641">SUMIF($B$20:$B$224,C352,$M$20:$M$224)</f>
        <v>344027</v>
      </c>
      <c r="F352" s="111">
        <f>D352+E352</f>
        <v>461762</v>
      </c>
      <c r="G352" s="112">
        <f>IFERROR(D352/F352,"")</f>
        <v>0.25496901000948541</v>
      </c>
      <c r="H352" s="112">
        <f>IFERROR(E352/F352,"")</f>
        <v>0.74503098999051465</v>
      </c>
      <c r="I352" s="112">
        <f t="shared" ref="I352:I356" si="642">IFERROR(G352+H352,"")</f>
        <v>1</v>
      </c>
      <c r="J352" s="111">
        <f t="shared" ref="J352:J357" si="643">SUMIF($B$20:$B$224,C352,$AX$20:$AX$224)</f>
        <v>1.5</v>
      </c>
      <c r="K352" s="111">
        <f>SUMIF($B$20:$B$224,C352,$AY$20:$AY$224)</f>
        <v>5.5</v>
      </c>
      <c r="L352" s="111">
        <f>J352+K352</f>
        <v>7</v>
      </c>
      <c r="O352" s="125" t="str">
        <f>C352</f>
        <v>SGC에너지</v>
      </c>
      <c r="P352" s="126">
        <f t="shared" ref="P352:P357" si="644">SUMIF($B$20:$B$224,O352,$I$20:$I$224)</f>
        <v>49.82499999999709</v>
      </c>
      <c r="Q352" s="111">
        <f>SUMIF($B$20:$B$224,O352,$AZ$20:$AZ$224)</f>
        <v>7</v>
      </c>
      <c r="R352" s="126">
        <f>IFERROR(P352/Q352,"")</f>
        <v>7.1178571428567272</v>
      </c>
      <c r="S352" s="122"/>
      <c r="T352" s="125" t="str">
        <f>O352</f>
        <v>SGC에너지</v>
      </c>
      <c r="U352" s="126">
        <f>P352</f>
        <v>49.82499999999709</v>
      </c>
      <c r="V352" s="111">
        <f>Q352</f>
        <v>7</v>
      </c>
      <c r="W352" s="163">
        <f>IFERROR(U352/V352,"")</f>
        <v>7.1178571428567272</v>
      </c>
      <c r="X352" s="164">
        <f>F352/1000</f>
        <v>461.762</v>
      </c>
      <c r="Y352" s="111"/>
      <c r="Z352" s="158" t="str">
        <f t="shared" ref="Z352:Z368" si="645">IFERROR(IF(X352=0,"",X352/Y352),"")</f>
        <v/>
      </c>
      <c r="AN352" s="335"/>
      <c r="AO352" s="336">
        <f>X352-AN352</f>
        <v>461.762</v>
      </c>
      <c r="AP352" s="452"/>
    </row>
    <row r="353" spans="2:43" ht="17.45" customHeight="1" outlineLevel="1">
      <c r="B353" s="1104"/>
      <c r="C353" s="110" t="s">
        <v>59</v>
      </c>
      <c r="D353" s="111">
        <f t="shared" si="640"/>
        <v>0</v>
      </c>
      <c r="E353" s="111">
        <f t="shared" si="641"/>
        <v>439314</v>
      </c>
      <c r="F353" s="111">
        <f t="shared" ref="F353:F374" si="646">D353+E353</f>
        <v>439314</v>
      </c>
      <c r="G353" s="112">
        <f t="shared" ref="G353:G376" si="647">IFERROR(D353/F353,"")</f>
        <v>0</v>
      </c>
      <c r="H353" s="112">
        <f t="shared" ref="H353:H356" si="648">IFERROR(E353/F353,"")</f>
        <v>1</v>
      </c>
      <c r="I353" s="112">
        <f t="shared" si="642"/>
        <v>1</v>
      </c>
      <c r="J353" s="111">
        <f t="shared" si="643"/>
        <v>0</v>
      </c>
      <c r="K353" s="111">
        <f>SUMIF($B$20:$B$224,C353,$AY$20:$AY$224)</f>
        <v>9</v>
      </c>
      <c r="L353" s="111">
        <f t="shared" ref="L353:L354" si="649">J353+K353</f>
        <v>9</v>
      </c>
      <c r="O353" s="125" t="str">
        <f t="shared" ref="O353:O357" si="650">C353</f>
        <v>남동발전</v>
      </c>
      <c r="P353" s="126">
        <f t="shared" si="644"/>
        <v>40.381250000013097</v>
      </c>
      <c r="Q353" s="111">
        <f>SUMIF($B$20:$B$224,O353,$AZ$20:$AZ$224)</f>
        <v>9</v>
      </c>
      <c r="R353" s="126">
        <f t="shared" ref="R353:R375" si="651">IFERROR(P353/Q353,"")</f>
        <v>4.4868055555570105</v>
      </c>
      <c r="S353" s="122"/>
      <c r="T353" s="125" t="str">
        <f t="shared" ref="T353:V374" si="652">O353</f>
        <v>남동발전</v>
      </c>
      <c r="U353" s="126">
        <f t="shared" si="652"/>
        <v>40.381250000013097</v>
      </c>
      <c r="V353" s="111">
        <f t="shared" si="652"/>
        <v>9</v>
      </c>
      <c r="W353" s="163">
        <f t="shared" ref="W353:W377" si="653">IFERROR(U353/V353,"")</f>
        <v>4.4868055555570105</v>
      </c>
      <c r="X353" s="164">
        <f t="shared" ref="X353:X357" si="654">F353/1000</f>
        <v>439.31400000000002</v>
      </c>
      <c r="Y353" s="111"/>
      <c r="Z353" s="158" t="str">
        <f t="shared" si="645"/>
        <v/>
      </c>
      <c r="AN353" s="335"/>
      <c r="AO353" s="336">
        <f t="shared" ref="AO353:AO374" si="655">X353-AN353</f>
        <v>439.31400000000002</v>
      </c>
      <c r="AP353" s="452"/>
    </row>
    <row r="354" spans="2:43" ht="17.45" customHeight="1" outlineLevel="1">
      <c r="B354" s="1104"/>
      <c r="C354" s="110" t="s">
        <v>60</v>
      </c>
      <c r="D354" s="111">
        <f t="shared" si="640"/>
        <v>0</v>
      </c>
      <c r="E354" s="111">
        <f t="shared" si="641"/>
        <v>0</v>
      </c>
      <c r="F354" s="111">
        <f t="shared" si="646"/>
        <v>0</v>
      </c>
      <c r="G354" s="112" t="str">
        <f t="shared" si="647"/>
        <v/>
      </c>
      <c r="H354" s="112" t="str">
        <f t="shared" si="648"/>
        <v/>
      </c>
      <c r="I354" s="112" t="str">
        <f t="shared" si="642"/>
        <v/>
      </c>
      <c r="J354" s="111">
        <f t="shared" si="643"/>
        <v>0</v>
      </c>
      <c r="K354" s="111">
        <f>SUMIF($B$20:$B$224,C354,$AY$20:$AY$224)</f>
        <v>0</v>
      </c>
      <c r="L354" s="111">
        <f t="shared" si="649"/>
        <v>0</v>
      </c>
      <c r="O354" s="125" t="str">
        <f t="shared" si="650"/>
        <v>동서발전</v>
      </c>
      <c r="P354" s="126">
        <f t="shared" si="644"/>
        <v>0</v>
      </c>
      <c r="Q354" s="111">
        <f>SUMIF($B$20:$B$224,O354,$AZ$20:$AZ$224)</f>
        <v>0</v>
      </c>
      <c r="R354" s="126" t="str">
        <f t="shared" si="651"/>
        <v/>
      </c>
      <c r="S354" s="122"/>
      <c r="T354" s="125" t="str">
        <f t="shared" si="652"/>
        <v>동서발전</v>
      </c>
      <c r="U354" s="126">
        <f t="shared" si="652"/>
        <v>0</v>
      </c>
      <c r="V354" s="111">
        <f t="shared" si="652"/>
        <v>0</v>
      </c>
      <c r="W354" s="163" t="str">
        <f t="shared" si="653"/>
        <v/>
      </c>
      <c r="X354" s="164">
        <f t="shared" si="654"/>
        <v>0</v>
      </c>
      <c r="Y354" s="111"/>
      <c r="Z354" s="158" t="str">
        <f t="shared" si="645"/>
        <v/>
      </c>
      <c r="AN354" s="335"/>
      <c r="AO354" s="336">
        <f t="shared" si="655"/>
        <v>0</v>
      </c>
      <c r="AP354" s="452"/>
    </row>
    <row r="355" spans="2:43" ht="17.45" customHeight="1" outlineLevel="1">
      <c r="B355" s="1104"/>
      <c r="C355" s="110" t="s">
        <v>159</v>
      </c>
      <c r="D355" s="111">
        <f t="shared" si="640"/>
        <v>0</v>
      </c>
      <c r="E355" s="111">
        <f t="shared" si="641"/>
        <v>0</v>
      </c>
      <c r="F355" s="111">
        <f t="shared" si="646"/>
        <v>0</v>
      </c>
      <c r="G355" s="112" t="str">
        <f>IFERROR(D355/F355,"")</f>
        <v/>
      </c>
      <c r="H355" s="112" t="str">
        <f t="shared" si="648"/>
        <v/>
      </c>
      <c r="I355" s="112" t="str">
        <f t="shared" si="642"/>
        <v/>
      </c>
      <c r="J355" s="111">
        <f t="shared" si="643"/>
        <v>0</v>
      </c>
      <c r="K355" s="111">
        <f>SUMIF($B$20:$B$224,C355,$AY$20:$AY$224)</f>
        <v>0</v>
      </c>
      <c r="L355" s="111">
        <f>J355+K355</f>
        <v>0</v>
      </c>
      <c r="O355" s="125" t="str">
        <f t="shared" si="650"/>
        <v>미쓰이</v>
      </c>
      <c r="P355" s="126">
        <f t="shared" si="644"/>
        <v>0</v>
      </c>
      <c r="Q355" s="111">
        <f>SUMIF($B$20:$B$224,O355,$AZ$20:$AZ$224)</f>
        <v>0</v>
      </c>
      <c r="R355" s="126" t="str">
        <f t="shared" si="651"/>
        <v/>
      </c>
      <c r="S355" s="122"/>
      <c r="T355" s="125" t="str">
        <f t="shared" si="652"/>
        <v>미쓰이</v>
      </c>
      <c r="U355" s="126">
        <f t="shared" si="652"/>
        <v>0</v>
      </c>
      <c r="V355" s="111">
        <f t="shared" si="652"/>
        <v>0</v>
      </c>
      <c r="W355" s="163" t="str">
        <f t="shared" si="653"/>
        <v/>
      </c>
      <c r="X355" s="164">
        <f t="shared" si="654"/>
        <v>0</v>
      </c>
      <c r="Y355" s="111"/>
      <c r="Z355" s="158" t="str">
        <f t="shared" si="645"/>
        <v/>
      </c>
      <c r="AN355" s="335"/>
      <c r="AO355" s="336"/>
      <c r="AP355" s="452"/>
    </row>
    <row r="356" spans="2:43" ht="17.45" customHeight="1" outlineLevel="1">
      <c r="B356" s="1104"/>
      <c r="C356" s="110" t="s">
        <v>168</v>
      </c>
      <c r="D356" s="111">
        <f t="shared" si="640"/>
        <v>0</v>
      </c>
      <c r="E356" s="111">
        <f t="shared" si="641"/>
        <v>0</v>
      </c>
      <c r="F356" s="111">
        <f t="shared" si="646"/>
        <v>0</v>
      </c>
      <c r="G356" s="112" t="str">
        <f>IFERROR(D356/F356,"")</f>
        <v/>
      </c>
      <c r="H356" s="112" t="str">
        <f t="shared" si="648"/>
        <v/>
      </c>
      <c r="I356" s="112" t="str">
        <f t="shared" si="642"/>
        <v/>
      </c>
      <c r="J356" s="111">
        <f t="shared" si="643"/>
        <v>0</v>
      </c>
      <c r="K356" s="111">
        <f>SUMIF($B$20:$B$224,C356,$AY$20:$AY$224)</f>
        <v>0</v>
      </c>
      <c r="L356" s="111">
        <f>J356+K356</f>
        <v>0</v>
      </c>
      <c r="O356" s="125" t="str">
        <f t="shared" si="650"/>
        <v>포스코인터</v>
      </c>
      <c r="P356" s="126">
        <f t="shared" si="644"/>
        <v>0</v>
      </c>
      <c r="Q356" s="111">
        <f>SUMIF($B$20:$B$224,O356,$AZ$20:$AZ$224)</f>
        <v>0</v>
      </c>
      <c r="R356" s="126" t="str">
        <f t="shared" si="651"/>
        <v/>
      </c>
      <c r="S356" s="122"/>
      <c r="T356" s="125" t="str">
        <f t="shared" si="652"/>
        <v>포스코인터</v>
      </c>
      <c r="U356" s="126">
        <f t="shared" si="652"/>
        <v>0</v>
      </c>
      <c r="V356" s="111">
        <f t="shared" si="652"/>
        <v>0</v>
      </c>
      <c r="W356" s="163" t="str">
        <f t="shared" si="653"/>
        <v/>
      </c>
      <c r="X356" s="164">
        <f t="shared" si="654"/>
        <v>0</v>
      </c>
      <c r="Y356" s="111"/>
      <c r="Z356" s="158" t="str">
        <f t="shared" si="645"/>
        <v/>
      </c>
      <c r="AN356" s="335"/>
      <c r="AO356" s="336"/>
      <c r="AP356" s="452"/>
    </row>
    <row r="357" spans="2:43" ht="17.45" customHeight="1" outlineLevel="1">
      <c r="B357" s="1104"/>
      <c r="C357" s="110" t="s">
        <v>443</v>
      </c>
      <c r="D357" s="111">
        <f t="shared" si="640"/>
        <v>0</v>
      </c>
      <c r="E357" s="111">
        <f t="shared" si="641"/>
        <v>7954</v>
      </c>
      <c r="F357" s="111">
        <f t="shared" si="646"/>
        <v>7954</v>
      </c>
      <c r="G357" s="112">
        <f t="shared" si="647"/>
        <v>0</v>
      </c>
      <c r="H357" s="112">
        <f>IFERROR(E357/F357,"")</f>
        <v>1</v>
      </c>
      <c r="I357" s="112">
        <f>IFERROR(G357+H357,"")</f>
        <v>1</v>
      </c>
      <c r="J357" s="111">
        <f t="shared" si="643"/>
        <v>0</v>
      </c>
      <c r="K357" s="111">
        <f>SUMIF($B$20:$B$224,C357,$AY$20:$AY$224)-1</f>
        <v>0</v>
      </c>
      <c r="L357" s="111">
        <f>J357+K357</f>
        <v>0</v>
      </c>
      <c r="O357" s="125" t="str">
        <f t="shared" si="650"/>
        <v>도하기업</v>
      </c>
      <c r="P357" s="126">
        <f t="shared" si="644"/>
        <v>0</v>
      </c>
      <c r="Q357" s="111">
        <f>SUMIF($B$20:$B$224,O357,$AZ$20:$AZ$224)-1</f>
        <v>0</v>
      </c>
      <c r="R357" s="126" t="str">
        <f t="shared" si="651"/>
        <v/>
      </c>
      <c r="S357" s="122"/>
      <c r="T357" s="125" t="str">
        <f t="shared" si="652"/>
        <v>도하기업</v>
      </c>
      <c r="U357" s="126">
        <f t="shared" si="652"/>
        <v>0</v>
      </c>
      <c r="V357" s="111">
        <f t="shared" si="652"/>
        <v>0</v>
      </c>
      <c r="W357" s="163" t="str">
        <f t="shared" si="653"/>
        <v/>
      </c>
      <c r="X357" s="164">
        <f t="shared" si="654"/>
        <v>7.9539999999999997</v>
      </c>
      <c r="Y357" s="111"/>
      <c r="Z357" s="158" t="str">
        <f t="shared" si="645"/>
        <v/>
      </c>
      <c r="AN357" s="335"/>
      <c r="AO357" s="336">
        <f t="shared" si="655"/>
        <v>7.9539999999999997</v>
      </c>
      <c r="AP357" s="452"/>
      <c r="AQ357" s="337"/>
    </row>
    <row r="358" spans="2:43" ht="17.45" customHeight="1" outlineLevel="1">
      <c r="B358" s="1105"/>
      <c r="C358" s="113" t="s">
        <v>61</v>
      </c>
      <c r="D358" s="114">
        <f>SUM(D352:D357)</f>
        <v>117735</v>
      </c>
      <c r="E358" s="114">
        <f>SUM(E352:E357)</f>
        <v>791295</v>
      </c>
      <c r="F358" s="114">
        <f>SUM(F352:F357)</f>
        <v>909030</v>
      </c>
      <c r="G358" s="115">
        <f t="shared" si="647"/>
        <v>0.12951717765090262</v>
      </c>
      <c r="H358" s="115">
        <f>IFERROR(E358/F358,"")</f>
        <v>0.87048282234909735</v>
      </c>
      <c r="I358" s="115">
        <f>IFERROR(G358+H358,"")</f>
        <v>1</v>
      </c>
      <c r="J358" s="114">
        <f t="shared" ref="J358:L358" si="656">SUM(J352:J357)</f>
        <v>1.5</v>
      </c>
      <c r="K358" s="114">
        <f t="shared" si="656"/>
        <v>14.5</v>
      </c>
      <c r="L358" s="114">
        <f t="shared" si="656"/>
        <v>16</v>
      </c>
      <c r="O358" s="128" t="s">
        <v>61</v>
      </c>
      <c r="P358" s="129">
        <f>SUM(P352:P357)</f>
        <v>90.206250000010186</v>
      </c>
      <c r="Q358" s="114">
        <f>SUM(Q352:Q357)</f>
        <v>16</v>
      </c>
      <c r="R358" s="129">
        <f t="shared" si="651"/>
        <v>5.6378906250006366</v>
      </c>
      <c r="S358" s="122"/>
      <c r="T358" s="128" t="s">
        <v>61</v>
      </c>
      <c r="U358" s="129">
        <f>SUM(U352:U357)</f>
        <v>90.206250000010186</v>
      </c>
      <c r="V358" s="114">
        <f>SUM(V352:V357)</f>
        <v>16</v>
      </c>
      <c r="W358" s="159">
        <f t="shared" si="653"/>
        <v>5.6378906250006366</v>
      </c>
      <c r="X358" s="160">
        <f>SUM(X352:X357)</f>
        <v>909.03</v>
      </c>
      <c r="Y358" s="114">
        <f>SUM(Y352:Y357)</f>
        <v>0</v>
      </c>
      <c r="Z358" s="156" t="str">
        <f t="shared" si="645"/>
        <v/>
      </c>
      <c r="AN358" s="338">
        <f>SUM(AN352:AN357)</f>
        <v>0</v>
      </c>
      <c r="AO358" s="338">
        <f>SUM(AO352:AO357)</f>
        <v>909.03</v>
      </c>
      <c r="AP358" s="453"/>
    </row>
    <row r="359" spans="2:43" ht="17.45" customHeight="1" outlineLevel="1">
      <c r="B359" s="1103" t="s">
        <v>62</v>
      </c>
      <c r="C359" s="110" t="s">
        <v>367</v>
      </c>
      <c r="D359" s="111">
        <f t="shared" ref="D359:D369" si="657">SUMIF($B$20:$B$224,C359,$L$20:$L$224)</f>
        <v>18000</v>
      </c>
      <c r="E359" s="111">
        <f t="shared" ref="E359:E374" si="658">SUMIF($B$20:$B$224,C359,$M$20:$M$224)</f>
        <v>0</v>
      </c>
      <c r="F359" s="111">
        <f t="shared" ref="F359" si="659">D359+E359</f>
        <v>18000</v>
      </c>
      <c r="G359" s="112">
        <f t="shared" si="647"/>
        <v>1</v>
      </c>
      <c r="H359" s="112">
        <f t="shared" ref="H359:H369" si="660">IFERROR(E359/F359,"")</f>
        <v>0</v>
      </c>
      <c r="I359" s="112">
        <f t="shared" ref="I359:I369" si="661">IFERROR(G359+H359,"")</f>
        <v>1</v>
      </c>
      <c r="J359" s="111">
        <f t="shared" ref="J359:J374" si="662">SUMIF($B$20:$B$224,C359,$AX$20:$AX$224)</f>
        <v>1</v>
      </c>
      <c r="K359" s="111">
        <f t="shared" ref="K359:K374" si="663">SUMIF($B$20:$B$224,C359,$AY$20:$AY$224)</f>
        <v>0</v>
      </c>
      <c r="L359" s="111">
        <f t="shared" ref="L359:L374" si="664">J359+K359</f>
        <v>1</v>
      </c>
      <c r="O359" s="125" t="str">
        <f>C359</f>
        <v>보임코퍼레이션</v>
      </c>
      <c r="P359" s="126">
        <f t="shared" ref="P359:P374" si="665">SUMIF($B$20:$B$224,O359,$I$20:$I$224)</f>
        <v>3.2333333333299379</v>
      </c>
      <c r="Q359" s="111">
        <f t="shared" ref="Q359:Q374" si="666">SUMIF($B$20:$B$224,O359,$AZ$20:$AZ$224)</f>
        <v>1</v>
      </c>
      <c r="R359" s="126">
        <f t="shared" si="651"/>
        <v>3.2333333333299379</v>
      </c>
      <c r="S359" s="122"/>
      <c r="T359" s="125" t="str">
        <f t="shared" ref="T359:V374" si="667">O359</f>
        <v>보임코퍼레이션</v>
      </c>
      <c r="U359" s="126">
        <f t="shared" si="667"/>
        <v>3.2333333333299379</v>
      </c>
      <c r="V359" s="111">
        <f t="shared" si="667"/>
        <v>1</v>
      </c>
      <c r="W359" s="163">
        <f t="shared" si="653"/>
        <v>3.2333333333299379</v>
      </c>
      <c r="X359" s="164">
        <f t="shared" ref="X359:X374" si="668">F359/1000</f>
        <v>18</v>
      </c>
      <c r="Y359" s="111"/>
      <c r="Z359" s="158" t="str">
        <f t="shared" si="645"/>
        <v/>
      </c>
      <c r="AN359" s="335"/>
      <c r="AO359" s="336">
        <f t="shared" ref="AO359" si="669">X359-AN359</f>
        <v>18</v>
      </c>
      <c r="AP359" s="452"/>
    </row>
    <row r="360" spans="2:43" ht="17.45" customHeight="1" outlineLevel="1">
      <c r="B360" s="1104"/>
      <c r="C360" s="110" t="s">
        <v>222</v>
      </c>
      <c r="D360" s="111">
        <f t="shared" si="657"/>
        <v>31855</v>
      </c>
      <c r="E360" s="111">
        <f t="shared" si="658"/>
        <v>52591</v>
      </c>
      <c r="F360" s="111">
        <f t="shared" si="646"/>
        <v>84446</v>
      </c>
      <c r="G360" s="112">
        <f t="shared" si="647"/>
        <v>0.377223314307368</v>
      </c>
      <c r="H360" s="112">
        <f t="shared" si="660"/>
        <v>0.622776685692632</v>
      </c>
      <c r="I360" s="112">
        <f t="shared" si="661"/>
        <v>1</v>
      </c>
      <c r="J360" s="111">
        <f t="shared" si="662"/>
        <v>1</v>
      </c>
      <c r="K360" s="111">
        <f t="shared" si="663"/>
        <v>1</v>
      </c>
      <c r="L360" s="111">
        <f t="shared" si="664"/>
        <v>2</v>
      </c>
      <c r="O360" s="125" t="str">
        <f>C360</f>
        <v>태경비케이</v>
      </c>
      <c r="P360" s="126">
        <f t="shared" si="665"/>
        <v>4.96875</v>
      </c>
      <c r="Q360" s="111">
        <f t="shared" si="666"/>
        <v>2</v>
      </c>
      <c r="R360" s="126">
        <f t="shared" si="651"/>
        <v>2.484375</v>
      </c>
      <c r="S360" s="122"/>
      <c r="T360" s="125" t="str">
        <f t="shared" si="652"/>
        <v>태경비케이</v>
      </c>
      <c r="U360" s="126">
        <f t="shared" si="667"/>
        <v>4.96875</v>
      </c>
      <c r="V360" s="111">
        <f t="shared" si="667"/>
        <v>2</v>
      </c>
      <c r="W360" s="163">
        <f t="shared" si="653"/>
        <v>2.484375</v>
      </c>
      <c r="X360" s="164">
        <f t="shared" si="668"/>
        <v>84.445999999999998</v>
      </c>
      <c r="Y360" s="111"/>
      <c r="Z360" s="158" t="str">
        <f t="shared" si="645"/>
        <v/>
      </c>
      <c r="AN360" s="335"/>
      <c r="AO360" s="336">
        <f t="shared" si="655"/>
        <v>84.445999999999998</v>
      </c>
      <c r="AP360" s="452"/>
    </row>
    <row r="361" spans="2:43" ht="17.45" customHeight="1" outlineLevel="1">
      <c r="B361" s="1104"/>
      <c r="C361" s="110" t="s">
        <v>78</v>
      </c>
      <c r="D361" s="111">
        <f t="shared" si="657"/>
        <v>0</v>
      </c>
      <c r="E361" s="111">
        <f t="shared" si="658"/>
        <v>40646</v>
      </c>
      <c r="F361" s="111">
        <f t="shared" si="646"/>
        <v>40646</v>
      </c>
      <c r="G361" s="112">
        <f t="shared" si="647"/>
        <v>0</v>
      </c>
      <c r="H361" s="112">
        <f t="shared" si="660"/>
        <v>1</v>
      </c>
      <c r="I361" s="112">
        <f t="shared" si="661"/>
        <v>1</v>
      </c>
      <c r="J361" s="111">
        <f t="shared" si="662"/>
        <v>0</v>
      </c>
      <c r="K361" s="111">
        <f t="shared" si="663"/>
        <v>2</v>
      </c>
      <c r="L361" s="111">
        <f t="shared" si="664"/>
        <v>2</v>
      </c>
      <c r="O361" s="125" t="str">
        <f t="shared" ref="O361:O374" si="670">C361</f>
        <v>삼영산업</v>
      </c>
      <c r="P361" s="126">
        <f t="shared" si="665"/>
        <v>0.6222222222131677</v>
      </c>
      <c r="Q361" s="111">
        <f t="shared" si="666"/>
        <v>2</v>
      </c>
      <c r="R361" s="126">
        <f t="shared" si="651"/>
        <v>0.31111111110658385</v>
      </c>
      <c r="S361" s="122"/>
      <c r="T361" s="125" t="str">
        <f t="shared" si="652"/>
        <v>삼영산업</v>
      </c>
      <c r="U361" s="126">
        <f t="shared" si="667"/>
        <v>0.6222222222131677</v>
      </c>
      <c r="V361" s="111">
        <f t="shared" si="667"/>
        <v>2</v>
      </c>
      <c r="W361" s="163">
        <f t="shared" si="653"/>
        <v>0.31111111110658385</v>
      </c>
      <c r="X361" s="164">
        <f t="shared" si="668"/>
        <v>40.646000000000001</v>
      </c>
      <c r="Y361" s="111"/>
      <c r="Z361" s="158" t="str">
        <f t="shared" si="645"/>
        <v/>
      </c>
      <c r="AN361" s="335"/>
      <c r="AO361" s="336">
        <f t="shared" si="655"/>
        <v>40.646000000000001</v>
      </c>
      <c r="AP361" s="452"/>
    </row>
    <row r="362" spans="2:43" ht="17.45" customHeight="1" outlineLevel="1">
      <c r="B362" s="1104"/>
      <c r="C362" s="110" t="s">
        <v>176</v>
      </c>
      <c r="D362" s="111">
        <f t="shared" si="657"/>
        <v>0</v>
      </c>
      <c r="E362" s="111">
        <f t="shared" si="658"/>
        <v>0</v>
      </c>
      <c r="F362" s="111">
        <f t="shared" si="646"/>
        <v>0</v>
      </c>
      <c r="G362" s="112" t="str">
        <f t="shared" si="647"/>
        <v/>
      </c>
      <c r="H362" s="112" t="str">
        <f t="shared" si="660"/>
        <v/>
      </c>
      <c r="I362" s="112" t="str">
        <f t="shared" si="661"/>
        <v/>
      </c>
      <c r="J362" s="111">
        <f t="shared" si="662"/>
        <v>0</v>
      </c>
      <c r="K362" s="111">
        <f t="shared" si="663"/>
        <v>0</v>
      </c>
      <c r="L362" s="111">
        <f t="shared" si="664"/>
        <v>0</v>
      </c>
      <c r="O362" s="125" t="str">
        <f t="shared" si="670"/>
        <v>고려시멘트</v>
      </c>
      <c r="P362" s="126">
        <f t="shared" si="665"/>
        <v>0</v>
      </c>
      <c r="Q362" s="111">
        <f t="shared" si="666"/>
        <v>0</v>
      </c>
      <c r="R362" s="126" t="str">
        <f t="shared" si="651"/>
        <v/>
      </c>
      <c r="S362" s="122"/>
      <c r="T362" s="125" t="str">
        <f t="shared" si="652"/>
        <v>고려시멘트</v>
      </c>
      <c r="U362" s="126">
        <f t="shared" si="667"/>
        <v>0</v>
      </c>
      <c r="V362" s="111">
        <f t="shared" si="667"/>
        <v>0</v>
      </c>
      <c r="W362" s="163" t="str">
        <f t="shared" si="653"/>
        <v/>
      </c>
      <c r="X362" s="164">
        <f t="shared" si="668"/>
        <v>0</v>
      </c>
      <c r="Y362" s="111"/>
      <c r="Z362" s="158" t="str">
        <f t="shared" si="645"/>
        <v/>
      </c>
      <c r="AN362" s="335"/>
      <c r="AO362" s="336">
        <f t="shared" si="655"/>
        <v>0</v>
      </c>
      <c r="AP362" s="452"/>
    </row>
    <row r="363" spans="2:43" ht="17.45" customHeight="1" outlineLevel="1">
      <c r="B363" s="1104"/>
      <c r="C363" s="110" t="s">
        <v>63</v>
      </c>
      <c r="D363" s="111">
        <f t="shared" si="657"/>
        <v>30505</v>
      </c>
      <c r="E363" s="111">
        <f t="shared" si="658"/>
        <v>0</v>
      </c>
      <c r="F363" s="111">
        <f t="shared" si="646"/>
        <v>30505</v>
      </c>
      <c r="G363" s="112">
        <f t="shared" si="647"/>
        <v>1</v>
      </c>
      <c r="H363" s="112">
        <f t="shared" si="660"/>
        <v>0</v>
      </c>
      <c r="I363" s="112">
        <f t="shared" si="661"/>
        <v>1</v>
      </c>
      <c r="J363" s="111">
        <f t="shared" si="662"/>
        <v>1</v>
      </c>
      <c r="K363" s="111">
        <f t="shared" si="663"/>
        <v>0</v>
      </c>
      <c r="L363" s="111">
        <f t="shared" si="664"/>
        <v>1</v>
      </c>
      <c r="O363" s="125" t="str">
        <f t="shared" si="670"/>
        <v>청해실업</v>
      </c>
      <c r="P363" s="126">
        <f t="shared" si="665"/>
        <v>7.3055555555547471</v>
      </c>
      <c r="Q363" s="111">
        <f t="shared" si="666"/>
        <v>1</v>
      </c>
      <c r="R363" s="126">
        <f t="shared" si="651"/>
        <v>7.3055555555547471</v>
      </c>
      <c r="S363" s="122"/>
      <c r="T363" s="125" t="str">
        <f t="shared" si="652"/>
        <v>청해실업</v>
      </c>
      <c r="U363" s="126">
        <f t="shared" si="667"/>
        <v>7.3055555555547471</v>
      </c>
      <c r="V363" s="111">
        <f t="shared" si="667"/>
        <v>1</v>
      </c>
      <c r="W363" s="163">
        <f t="shared" si="653"/>
        <v>7.3055555555547471</v>
      </c>
      <c r="X363" s="164">
        <f t="shared" si="668"/>
        <v>30.504999999999999</v>
      </c>
      <c r="Y363" s="111"/>
      <c r="Z363" s="158" t="str">
        <f t="shared" si="645"/>
        <v/>
      </c>
      <c r="AN363" s="339"/>
      <c r="AO363" s="340">
        <f t="shared" si="655"/>
        <v>30.504999999999999</v>
      </c>
      <c r="AP363" s="454"/>
      <c r="AQ363" s="240" t="s">
        <v>30</v>
      </c>
    </row>
    <row r="364" spans="2:43" ht="17.45" customHeight="1" outlineLevel="1">
      <c r="B364" s="1104"/>
      <c r="C364" s="110" t="s">
        <v>64</v>
      </c>
      <c r="D364" s="111">
        <f t="shared" si="657"/>
        <v>333401</v>
      </c>
      <c r="E364" s="111">
        <f t="shared" si="658"/>
        <v>0</v>
      </c>
      <c r="F364" s="111">
        <f t="shared" si="646"/>
        <v>333401</v>
      </c>
      <c r="G364" s="112">
        <f t="shared" si="647"/>
        <v>1</v>
      </c>
      <c r="H364" s="112">
        <f t="shared" si="660"/>
        <v>0</v>
      </c>
      <c r="I364" s="112">
        <f t="shared" si="661"/>
        <v>1</v>
      </c>
      <c r="J364" s="111">
        <f t="shared" si="662"/>
        <v>4</v>
      </c>
      <c r="K364" s="111">
        <f t="shared" si="663"/>
        <v>0</v>
      </c>
      <c r="L364" s="111">
        <f t="shared" si="664"/>
        <v>4</v>
      </c>
      <c r="O364" s="125" t="str">
        <f t="shared" si="670"/>
        <v>한화에너지</v>
      </c>
      <c r="P364" s="126">
        <f t="shared" si="665"/>
        <v>17.192361111119681</v>
      </c>
      <c r="Q364" s="111">
        <f t="shared" si="666"/>
        <v>4</v>
      </c>
      <c r="R364" s="126">
        <f t="shared" si="651"/>
        <v>4.2980902777799201</v>
      </c>
      <c r="S364" s="122"/>
      <c r="T364" s="125" t="str">
        <f t="shared" si="652"/>
        <v>한화에너지</v>
      </c>
      <c r="U364" s="126">
        <f t="shared" si="667"/>
        <v>17.192361111119681</v>
      </c>
      <c r="V364" s="111">
        <f t="shared" si="667"/>
        <v>4</v>
      </c>
      <c r="W364" s="163">
        <f t="shared" si="653"/>
        <v>4.2980902777799201</v>
      </c>
      <c r="X364" s="164">
        <f t="shared" si="668"/>
        <v>333.40100000000001</v>
      </c>
      <c r="Y364" s="111"/>
      <c r="Z364" s="158" t="str">
        <f t="shared" si="645"/>
        <v/>
      </c>
      <c r="AN364" s="335"/>
      <c r="AO364" s="336">
        <f t="shared" si="655"/>
        <v>333.40100000000001</v>
      </c>
      <c r="AP364" s="452"/>
    </row>
    <row r="365" spans="2:43" ht="17.45" customHeight="1" outlineLevel="1">
      <c r="B365" s="1104"/>
      <c r="C365" s="110" t="s">
        <v>178</v>
      </c>
      <c r="D365" s="111">
        <f t="shared" si="657"/>
        <v>0</v>
      </c>
      <c r="E365" s="111">
        <f t="shared" si="658"/>
        <v>0</v>
      </c>
      <c r="F365" s="111">
        <f t="shared" si="646"/>
        <v>0</v>
      </c>
      <c r="G365" s="112" t="str">
        <f t="shared" si="647"/>
        <v/>
      </c>
      <c r="H365" s="112" t="str">
        <f t="shared" si="660"/>
        <v/>
      </c>
      <c r="I365" s="112" t="str">
        <f t="shared" si="661"/>
        <v/>
      </c>
      <c r="J365" s="111">
        <f t="shared" si="662"/>
        <v>0</v>
      </c>
      <c r="K365" s="111">
        <f t="shared" si="663"/>
        <v>0</v>
      </c>
      <c r="L365" s="111">
        <f t="shared" si="664"/>
        <v>0</v>
      </c>
      <c r="O365" s="125" t="str">
        <f t="shared" si="670"/>
        <v>금호석유화학</v>
      </c>
      <c r="P365" s="126">
        <f t="shared" si="665"/>
        <v>0</v>
      </c>
      <c r="Q365" s="111">
        <f t="shared" si="666"/>
        <v>0</v>
      </c>
      <c r="R365" s="126" t="str">
        <f t="shared" si="651"/>
        <v/>
      </c>
      <c r="S365" s="122"/>
      <c r="T365" s="125" t="str">
        <f t="shared" si="652"/>
        <v>금호석유화학</v>
      </c>
      <c r="U365" s="126">
        <f t="shared" si="667"/>
        <v>0</v>
      </c>
      <c r="V365" s="111">
        <f t="shared" si="667"/>
        <v>0</v>
      </c>
      <c r="W365" s="163" t="str">
        <f t="shared" si="653"/>
        <v/>
      </c>
      <c r="X365" s="164">
        <f>F365/1000</f>
        <v>0</v>
      </c>
      <c r="Y365" s="111"/>
      <c r="Z365" s="158" t="str">
        <f>IFERROR(IF(X365=0,"",X365/Y365),"")</f>
        <v/>
      </c>
      <c r="AN365" s="335"/>
      <c r="AO365" s="336">
        <f t="shared" si="655"/>
        <v>0</v>
      </c>
      <c r="AP365" s="452"/>
    </row>
    <row r="366" spans="2:43" ht="17.45" customHeight="1" outlineLevel="1">
      <c r="B366" s="1104"/>
      <c r="C366" s="110" t="s">
        <v>65</v>
      </c>
      <c r="D366" s="111">
        <f t="shared" si="657"/>
        <v>0</v>
      </c>
      <c r="E366" s="111">
        <f t="shared" si="658"/>
        <v>0</v>
      </c>
      <c r="F366" s="111">
        <f t="shared" si="646"/>
        <v>0</v>
      </c>
      <c r="G366" s="112" t="str">
        <f>IFERROR(D366/F366,"")</f>
        <v/>
      </c>
      <c r="H366" s="112" t="str">
        <f>IFERROR(E366/F366,"")</f>
        <v/>
      </c>
      <c r="I366" s="112" t="str">
        <f t="shared" si="661"/>
        <v/>
      </c>
      <c r="J366" s="111">
        <f t="shared" si="662"/>
        <v>0</v>
      </c>
      <c r="K366" s="111">
        <f t="shared" si="663"/>
        <v>0</v>
      </c>
      <c r="L366" s="111">
        <f t="shared" si="664"/>
        <v>0</v>
      </c>
      <c r="O366" s="125" t="str">
        <f t="shared" si="670"/>
        <v>LG상사</v>
      </c>
      <c r="P366" s="126">
        <f t="shared" si="665"/>
        <v>0</v>
      </c>
      <c r="Q366" s="111">
        <f t="shared" si="666"/>
        <v>0</v>
      </c>
      <c r="R366" s="126" t="str">
        <f t="shared" si="651"/>
        <v/>
      </c>
      <c r="S366" s="122"/>
      <c r="T366" s="125" t="str">
        <f t="shared" si="652"/>
        <v>LG상사</v>
      </c>
      <c r="U366" s="126">
        <f>P366</f>
        <v>0</v>
      </c>
      <c r="V366" s="111">
        <f>Q366</f>
        <v>0</v>
      </c>
      <c r="W366" s="163" t="str">
        <f>IFERROR(U366/V366,"")</f>
        <v/>
      </c>
      <c r="X366" s="164">
        <f t="shared" si="668"/>
        <v>0</v>
      </c>
      <c r="Y366" s="111"/>
      <c r="Z366" s="158" t="str">
        <f t="shared" si="645"/>
        <v/>
      </c>
      <c r="AN366" s="335"/>
      <c r="AO366" s="336">
        <f t="shared" si="655"/>
        <v>0</v>
      </c>
      <c r="AP366" s="452"/>
    </row>
    <row r="367" spans="2:43" ht="17.45" customHeight="1" outlineLevel="1">
      <c r="B367" s="1104"/>
      <c r="C367" s="110" t="s">
        <v>66</v>
      </c>
      <c r="D367" s="111">
        <f t="shared" si="657"/>
        <v>0</v>
      </c>
      <c r="E367" s="111">
        <f t="shared" si="658"/>
        <v>0</v>
      </c>
      <c r="F367" s="111">
        <f t="shared" si="646"/>
        <v>0</v>
      </c>
      <c r="G367" s="112" t="str">
        <f>IFERROR(D367/F367,"")</f>
        <v/>
      </c>
      <c r="H367" s="112" t="str">
        <f t="shared" si="660"/>
        <v/>
      </c>
      <c r="I367" s="112" t="str">
        <f t="shared" si="661"/>
        <v/>
      </c>
      <c r="J367" s="111">
        <f t="shared" si="662"/>
        <v>0</v>
      </c>
      <c r="K367" s="111">
        <f t="shared" si="663"/>
        <v>0</v>
      </c>
      <c r="L367" s="111">
        <f t="shared" si="664"/>
        <v>0</v>
      </c>
      <c r="O367" s="125" t="str">
        <f t="shared" si="670"/>
        <v>LG화학</v>
      </c>
      <c r="P367" s="126">
        <f t="shared" si="665"/>
        <v>0</v>
      </c>
      <c r="Q367" s="111">
        <f t="shared" si="666"/>
        <v>0</v>
      </c>
      <c r="R367" s="126" t="str">
        <f t="shared" si="651"/>
        <v/>
      </c>
      <c r="S367" s="122"/>
      <c r="T367" s="125" t="str">
        <f t="shared" si="652"/>
        <v>LG화학</v>
      </c>
      <c r="U367" s="126">
        <f t="shared" si="667"/>
        <v>0</v>
      </c>
      <c r="V367" s="111">
        <f t="shared" si="667"/>
        <v>0</v>
      </c>
      <c r="W367" s="163" t="str">
        <f t="shared" si="653"/>
        <v/>
      </c>
      <c r="X367" s="164">
        <f t="shared" si="668"/>
        <v>0</v>
      </c>
      <c r="Y367" s="111"/>
      <c r="Z367" s="158" t="str">
        <f t="shared" si="645"/>
        <v/>
      </c>
      <c r="AN367" s="335"/>
      <c r="AO367" s="336">
        <f t="shared" si="655"/>
        <v>0</v>
      </c>
      <c r="AP367" s="452"/>
    </row>
    <row r="368" spans="2:43" ht="17.45" customHeight="1" outlineLevel="1">
      <c r="B368" s="1104"/>
      <c r="C368" s="110" t="s">
        <v>67</v>
      </c>
      <c r="D368" s="111">
        <f t="shared" si="657"/>
        <v>92541</v>
      </c>
      <c r="E368" s="111">
        <f t="shared" si="658"/>
        <v>52500</v>
      </c>
      <c r="F368" s="111">
        <f t="shared" si="646"/>
        <v>145041</v>
      </c>
      <c r="G368" s="112">
        <f t="shared" si="647"/>
        <v>0.63803338366392948</v>
      </c>
      <c r="H368" s="112">
        <f t="shared" si="660"/>
        <v>0.36196661633607047</v>
      </c>
      <c r="I368" s="112">
        <f t="shared" si="661"/>
        <v>1</v>
      </c>
      <c r="J368" s="111">
        <f t="shared" si="662"/>
        <v>2</v>
      </c>
      <c r="K368" s="111">
        <f t="shared" si="663"/>
        <v>1</v>
      </c>
      <c r="L368" s="111">
        <f t="shared" si="664"/>
        <v>3</v>
      </c>
      <c r="O368" s="125" t="str">
        <f t="shared" si="670"/>
        <v>OCI SE</v>
      </c>
      <c r="P368" s="126">
        <f t="shared" si="665"/>
        <v>10.434722222220444</v>
      </c>
      <c r="Q368" s="111">
        <f t="shared" si="666"/>
        <v>3</v>
      </c>
      <c r="R368" s="126">
        <f t="shared" si="651"/>
        <v>3.4782407407401479</v>
      </c>
      <c r="S368" s="122"/>
      <c r="T368" s="125" t="str">
        <f t="shared" si="652"/>
        <v>OCI SE</v>
      </c>
      <c r="U368" s="126">
        <f t="shared" si="667"/>
        <v>10.434722222220444</v>
      </c>
      <c r="V368" s="111">
        <f t="shared" si="667"/>
        <v>3</v>
      </c>
      <c r="W368" s="163">
        <f t="shared" si="653"/>
        <v>3.4782407407401479</v>
      </c>
      <c r="X368" s="164">
        <f t="shared" si="668"/>
        <v>145.041</v>
      </c>
      <c r="Y368" s="111"/>
      <c r="Z368" s="158" t="str">
        <f t="shared" si="645"/>
        <v/>
      </c>
      <c r="AN368" s="335"/>
      <c r="AO368" s="336">
        <f t="shared" si="655"/>
        <v>145.041</v>
      </c>
      <c r="AP368" s="452"/>
    </row>
    <row r="369" spans="2:43" ht="17.45" customHeight="1" outlineLevel="1">
      <c r="B369" s="1104"/>
      <c r="C369" s="110" t="s">
        <v>37</v>
      </c>
      <c r="D369" s="111">
        <f t="shared" si="657"/>
        <v>0</v>
      </c>
      <c r="E369" s="111">
        <f t="shared" si="658"/>
        <v>0</v>
      </c>
      <c r="F369" s="111">
        <f t="shared" si="646"/>
        <v>0</v>
      </c>
      <c r="G369" s="112" t="str">
        <f t="shared" si="647"/>
        <v/>
      </c>
      <c r="H369" s="112" t="str">
        <f t="shared" si="660"/>
        <v/>
      </c>
      <c r="I369" s="112" t="str">
        <f t="shared" si="661"/>
        <v/>
      </c>
      <c r="J369" s="111">
        <f t="shared" si="662"/>
        <v>0</v>
      </c>
      <c r="K369" s="111">
        <f t="shared" si="663"/>
        <v>0</v>
      </c>
      <c r="L369" s="111">
        <f t="shared" si="664"/>
        <v>0</v>
      </c>
      <c r="O369" s="125" t="str">
        <f t="shared" si="670"/>
        <v>청해소재</v>
      </c>
      <c r="P369" s="126">
        <f t="shared" si="665"/>
        <v>0</v>
      </c>
      <c r="Q369" s="111">
        <f t="shared" si="666"/>
        <v>0</v>
      </c>
      <c r="R369" s="126" t="str">
        <f t="shared" si="651"/>
        <v/>
      </c>
      <c r="S369" s="122"/>
      <c r="T369" s="125" t="str">
        <f t="shared" si="652"/>
        <v>청해소재</v>
      </c>
      <c r="U369" s="126">
        <f t="shared" si="667"/>
        <v>0</v>
      </c>
      <c r="V369" s="111">
        <f t="shared" si="667"/>
        <v>0</v>
      </c>
      <c r="W369" s="163" t="str">
        <f>IFERROR(U369/V369,"")</f>
        <v/>
      </c>
      <c r="X369" s="164">
        <f t="shared" si="668"/>
        <v>0</v>
      </c>
      <c r="Y369" s="111"/>
      <c r="Z369" s="158" t="str">
        <f>IFERROR(IF(X369=0,"",X369/Y369),"")</f>
        <v/>
      </c>
      <c r="AN369" s="335"/>
      <c r="AO369" s="336">
        <f t="shared" si="655"/>
        <v>0</v>
      </c>
      <c r="AP369" s="452"/>
      <c r="AQ369" s="240" t="s">
        <v>157</v>
      </c>
    </row>
    <row r="370" spans="2:43" ht="17.45" customHeight="1" outlineLevel="1">
      <c r="B370" s="1104"/>
      <c r="C370" s="110" t="s">
        <v>366</v>
      </c>
      <c r="D370" s="111">
        <v>43611</v>
      </c>
      <c r="E370" s="111">
        <f t="shared" si="658"/>
        <v>0</v>
      </c>
      <c r="F370" s="111">
        <f t="shared" si="646"/>
        <v>43611</v>
      </c>
      <c r="G370" s="112">
        <f t="shared" si="647"/>
        <v>1</v>
      </c>
      <c r="H370" s="112">
        <f>IFERROR(E370/F370,"")</f>
        <v>0</v>
      </c>
      <c r="I370" s="112">
        <f>IFERROR(G370+H370,"")</f>
        <v>1</v>
      </c>
      <c r="J370" s="111">
        <f t="shared" si="662"/>
        <v>0</v>
      </c>
      <c r="K370" s="111">
        <f t="shared" si="663"/>
        <v>0</v>
      </c>
      <c r="L370" s="111">
        <f t="shared" si="664"/>
        <v>0</v>
      </c>
      <c r="O370" s="125" t="str">
        <f t="shared" si="670"/>
        <v>김천에너지</v>
      </c>
      <c r="P370" s="126">
        <f t="shared" si="665"/>
        <v>0</v>
      </c>
      <c r="Q370" s="111">
        <f t="shared" si="666"/>
        <v>0</v>
      </c>
      <c r="R370" s="126" t="str">
        <f t="shared" si="651"/>
        <v/>
      </c>
      <c r="S370" s="122"/>
      <c r="T370" s="125" t="str">
        <f t="shared" si="652"/>
        <v>김천에너지</v>
      </c>
      <c r="U370" s="126">
        <f t="shared" si="667"/>
        <v>0</v>
      </c>
      <c r="V370" s="111">
        <f t="shared" si="667"/>
        <v>0</v>
      </c>
      <c r="W370" s="163" t="str">
        <f t="shared" si="653"/>
        <v/>
      </c>
      <c r="X370" s="164">
        <f t="shared" si="668"/>
        <v>43.610999999999997</v>
      </c>
      <c r="Y370" s="111"/>
      <c r="Z370" s="158" t="str">
        <f t="shared" ref="Z370:Z379" si="671">IFERROR(IF(X370=0,"",X370/Y370),"")</f>
        <v/>
      </c>
      <c r="AN370" s="335"/>
      <c r="AO370" s="336">
        <f t="shared" si="655"/>
        <v>43.610999999999997</v>
      </c>
      <c r="AP370" s="452"/>
    </row>
    <row r="371" spans="2:43" ht="17.45" customHeight="1" outlineLevel="1">
      <c r="B371" s="1104"/>
      <c r="C371" s="110" t="s">
        <v>107</v>
      </c>
      <c r="D371" s="111">
        <f>SUMIF($B$20:$B$224,C371,$L$20:$L$224)</f>
        <v>0</v>
      </c>
      <c r="E371" s="111">
        <f t="shared" si="658"/>
        <v>0</v>
      </c>
      <c r="F371" s="111">
        <f t="shared" si="646"/>
        <v>0</v>
      </c>
      <c r="G371" s="112" t="str">
        <f t="shared" si="647"/>
        <v/>
      </c>
      <c r="H371" s="112" t="str">
        <f>IFERROR(E371/F371,"")</f>
        <v/>
      </c>
      <c r="I371" s="112" t="str">
        <f>IFERROR(G371+H371,"")</f>
        <v/>
      </c>
      <c r="J371" s="111">
        <f t="shared" si="662"/>
        <v>0</v>
      </c>
      <c r="K371" s="111">
        <f t="shared" si="663"/>
        <v>0</v>
      </c>
      <c r="L371" s="111">
        <f t="shared" si="664"/>
        <v>0</v>
      </c>
      <c r="O371" s="125" t="str">
        <f t="shared" si="670"/>
        <v>대구염색공단</v>
      </c>
      <c r="P371" s="126">
        <f t="shared" si="665"/>
        <v>0</v>
      </c>
      <c r="Q371" s="111">
        <f t="shared" si="666"/>
        <v>0</v>
      </c>
      <c r="R371" s="126" t="str">
        <f t="shared" si="651"/>
        <v/>
      </c>
      <c r="S371" s="122"/>
      <c r="T371" s="125" t="str">
        <f t="shared" si="652"/>
        <v>대구염색공단</v>
      </c>
      <c r="U371" s="126">
        <f t="shared" si="667"/>
        <v>0</v>
      </c>
      <c r="V371" s="111">
        <f t="shared" si="667"/>
        <v>0</v>
      </c>
      <c r="W371" s="163" t="str">
        <f t="shared" si="653"/>
        <v/>
      </c>
      <c r="X371" s="164">
        <f t="shared" si="668"/>
        <v>0</v>
      </c>
      <c r="Y371" s="111"/>
      <c r="Z371" s="158" t="str">
        <f t="shared" si="671"/>
        <v/>
      </c>
      <c r="AN371" s="335"/>
      <c r="AO371" s="336">
        <f t="shared" si="655"/>
        <v>0</v>
      </c>
      <c r="AP371" s="452"/>
    </row>
    <row r="372" spans="2:43" ht="17.45" customHeight="1" outlineLevel="1">
      <c r="B372" s="1104"/>
      <c r="C372" s="110" t="s">
        <v>108</v>
      </c>
      <c r="D372" s="111">
        <f>SUMIF($B$20:$B$224,C372,$L$20:$L$224)</f>
        <v>0</v>
      </c>
      <c r="E372" s="111">
        <f t="shared" si="658"/>
        <v>0</v>
      </c>
      <c r="F372" s="111">
        <f t="shared" si="646"/>
        <v>0</v>
      </c>
      <c r="G372" s="112" t="str">
        <f t="shared" si="647"/>
        <v/>
      </c>
      <c r="H372" s="112" t="str">
        <f t="shared" ref="H372:H374" si="672">IFERROR(E372/F372,"")</f>
        <v/>
      </c>
      <c r="I372" s="112" t="str">
        <f t="shared" ref="I372:I374" si="673">IFERROR(G372+H372,"")</f>
        <v/>
      </c>
      <c r="J372" s="111">
        <f t="shared" si="662"/>
        <v>0</v>
      </c>
      <c r="K372" s="111">
        <f t="shared" si="663"/>
        <v>0</v>
      </c>
      <c r="L372" s="111">
        <f t="shared" si="664"/>
        <v>0</v>
      </c>
      <c r="O372" s="125" t="str">
        <f t="shared" si="670"/>
        <v>SNNC(니켈)</v>
      </c>
      <c r="P372" s="126">
        <f t="shared" si="665"/>
        <v>0</v>
      </c>
      <c r="Q372" s="111">
        <f t="shared" si="666"/>
        <v>0</v>
      </c>
      <c r="R372" s="126" t="str">
        <f t="shared" si="651"/>
        <v/>
      </c>
      <c r="S372" s="122"/>
      <c r="T372" s="125" t="str">
        <f t="shared" si="652"/>
        <v>SNNC(니켈)</v>
      </c>
      <c r="U372" s="126">
        <f t="shared" si="667"/>
        <v>0</v>
      </c>
      <c r="V372" s="111">
        <f t="shared" si="667"/>
        <v>0</v>
      </c>
      <c r="W372" s="163" t="str">
        <f t="shared" si="653"/>
        <v/>
      </c>
      <c r="X372" s="164">
        <f t="shared" si="668"/>
        <v>0</v>
      </c>
      <c r="Y372" s="111"/>
      <c r="Z372" s="158" t="str">
        <f t="shared" si="671"/>
        <v/>
      </c>
      <c r="AN372" s="335"/>
      <c r="AO372" s="336">
        <f t="shared" si="655"/>
        <v>0</v>
      </c>
      <c r="AP372" s="452"/>
    </row>
    <row r="373" spans="2:43" ht="17.45" customHeight="1" outlineLevel="1">
      <c r="B373" s="1104"/>
      <c r="C373" s="110" t="s">
        <v>130</v>
      </c>
      <c r="D373" s="111">
        <f>SUMIF($B$20:$B$224,C373,$L$20:$L$224)</f>
        <v>0</v>
      </c>
      <c r="E373" s="111">
        <f t="shared" si="658"/>
        <v>0</v>
      </c>
      <c r="F373" s="111">
        <f t="shared" si="646"/>
        <v>0</v>
      </c>
      <c r="G373" s="112" t="str">
        <f t="shared" si="647"/>
        <v/>
      </c>
      <c r="H373" s="112" t="str">
        <f t="shared" si="672"/>
        <v/>
      </c>
      <c r="I373" s="112" t="str">
        <f t="shared" si="673"/>
        <v/>
      </c>
      <c r="J373" s="111">
        <f t="shared" si="662"/>
        <v>0</v>
      </c>
      <c r="K373" s="111">
        <f t="shared" si="663"/>
        <v>0</v>
      </c>
      <c r="L373" s="111">
        <f t="shared" si="664"/>
        <v>0</v>
      </c>
      <c r="O373" s="125" t="str">
        <f t="shared" si="670"/>
        <v>SK-N(고려시멘트)</v>
      </c>
      <c r="P373" s="126">
        <f t="shared" si="665"/>
        <v>0</v>
      </c>
      <c r="Q373" s="111">
        <f t="shared" si="666"/>
        <v>0</v>
      </c>
      <c r="R373" s="126" t="str">
        <f t="shared" si="651"/>
        <v/>
      </c>
      <c r="S373" s="122"/>
      <c r="T373" s="125" t="str">
        <f t="shared" si="652"/>
        <v>SK-N(고려시멘트)</v>
      </c>
      <c r="U373" s="126">
        <f t="shared" si="667"/>
        <v>0</v>
      </c>
      <c r="V373" s="111">
        <f t="shared" si="667"/>
        <v>0</v>
      </c>
      <c r="W373" s="163" t="str">
        <f t="shared" si="653"/>
        <v/>
      </c>
      <c r="X373" s="164">
        <f t="shared" si="668"/>
        <v>0</v>
      </c>
      <c r="Y373" s="111"/>
      <c r="Z373" s="158" t="str">
        <f t="shared" si="671"/>
        <v/>
      </c>
      <c r="AN373" s="335"/>
      <c r="AO373" s="336">
        <f t="shared" si="655"/>
        <v>0</v>
      </c>
      <c r="AP373" s="452"/>
    </row>
    <row r="374" spans="2:43" ht="17.45" customHeight="1" outlineLevel="1">
      <c r="B374" s="1104"/>
      <c r="C374" s="110" t="s">
        <v>68</v>
      </c>
      <c r="D374" s="111">
        <f>SUMIF($B$20:$B$224,C374,$L$20:$L$224)-43611</f>
        <v>156459</v>
      </c>
      <c r="E374" s="111">
        <f t="shared" si="658"/>
        <v>65904</v>
      </c>
      <c r="F374" s="111">
        <f t="shared" si="646"/>
        <v>222363</v>
      </c>
      <c r="G374" s="112">
        <f t="shared" si="647"/>
        <v>0.70361975688401401</v>
      </c>
      <c r="H374" s="112">
        <f t="shared" si="672"/>
        <v>0.29638024311598604</v>
      </c>
      <c r="I374" s="112">
        <f t="shared" si="673"/>
        <v>1</v>
      </c>
      <c r="J374" s="111">
        <f t="shared" si="662"/>
        <v>3</v>
      </c>
      <c r="K374" s="111">
        <f t="shared" si="663"/>
        <v>2</v>
      </c>
      <c r="L374" s="111">
        <f t="shared" si="664"/>
        <v>5</v>
      </c>
      <c r="O374" s="125" t="str">
        <f t="shared" si="670"/>
        <v>SNNC</v>
      </c>
      <c r="P374" s="126">
        <f t="shared" si="665"/>
        <v>29.677777777782467</v>
      </c>
      <c r="Q374" s="111">
        <f t="shared" si="666"/>
        <v>5</v>
      </c>
      <c r="R374" s="126">
        <f t="shared" si="651"/>
        <v>5.9355555555564932</v>
      </c>
      <c r="S374" s="122"/>
      <c r="T374" s="125" t="str">
        <f t="shared" si="652"/>
        <v>SNNC</v>
      </c>
      <c r="U374" s="126">
        <f t="shared" si="667"/>
        <v>29.677777777782467</v>
      </c>
      <c r="V374" s="111">
        <f t="shared" si="667"/>
        <v>5</v>
      </c>
      <c r="W374" s="163">
        <f t="shared" si="653"/>
        <v>5.9355555555564932</v>
      </c>
      <c r="X374" s="164">
        <f t="shared" si="668"/>
        <v>222.363</v>
      </c>
      <c r="Y374" s="111"/>
      <c r="Z374" s="158" t="str">
        <f t="shared" si="671"/>
        <v/>
      </c>
      <c r="AN374" s="335"/>
      <c r="AO374" s="336">
        <f t="shared" si="655"/>
        <v>222.363</v>
      </c>
      <c r="AP374" s="452"/>
    </row>
    <row r="375" spans="2:43" ht="17.45" customHeight="1" outlineLevel="1" thickBot="1">
      <c r="B375" s="1105"/>
      <c r="C375" s="113" t="s">
        <v>61</v>
      </c>
      <c r="D375" s="114">
        <f>SUM(D359:D374)</f>
        <v>706372</v>
      </c>
      <c r="E375" s="179">
        <f>SUM(E359:E374)</f>
        <v>211641</v>
      </c>
      <c r="F375" s="114">
        <f>SUM(F359:F374)</f>
        <v>918013</v>
      </c>
      <c r="G375" s="115">
        <f t="shared" si="647"/>
        <v>0.7694575131288991</v>
      </c>
      <c r="H375" s="185">
        <f>IFERROR(E375/F375,"")</f>
        <v>0.23054248687110096</v>
      </c>
      <c r="I375" s="115">
        <f>IFERROR(G375+H375,"")</f>
        <v>1</v>
      </c>
      <c r="J375" s="114">
        <f>SUM(J359:J374)</f>
        <v>12</v>
      </c>
      <c r="K375" s="114">
        <f>SUM(K359:K374)</f>
        <v>6</v>
      </c>
      <c r="L375" s="114">
        <f>SUM(L359:L374)</f>
        <v>18</v>
      </c>
      <c r="O375" s="128" t="s">
        <v>61</v>
      </c>
      <c r="P375" s="129">
        <f>SUM(P359:P374)</f>
        <v>73.434722222220444</v>
      </c>
      <c r="Q375" s="114">
        <f>SUM(Q359:Q374)</f>
        <v>18</v>
      </c>
      <c r="R375" s="129">
        <f t="shared" si="651"/>
        <v>4.0797067901233577</v>
      </c>
      <c r="S375" s="122"/>
      <c r="T375" s="128" t="s">
        <v>61</v>
      </c>
      <c r="U375" s="129">
        <f>SUM(U359:U374)</f>
        <v>73.434722222220444</v>
      </c>
      <c r="V375" s="114">
        <f>SUM(V359:V374)</f>
        <v>18</v>
      </c>
      <c r="W375" s="161">
        <f>IFERROR(U375/V375,"")</f>
        <v>4.0797067901233577</v>
      </c>
      <c r="X375" s="160">
        <f>SUM(X359:X374)</f>
        <v>918.01299999999992</v>
      </c>
      <c r="Y375" s="114">
        <f>SUM(Y360:Y374)</f>
        <v>0</v>
      </c>
      <c r="Z375" s="156" t="str">
        <f t="shared" si="671"/>
        <v/>
      </c>
      <c r="AN375" s="341">
        <f>SUM(AN360:AN374)</f>
        <v>0</v>
      </c>
      <c r="AO375" s="341">
        <f>SUM(AO359:AO374)</f>
        <v>918.01299999999992</v>
      </c>
      <c r="AP375" s="455"/>
    </row>
    <row r="376" spans="2:43" ht="17.45" customHeight="1" outlineLevel="1" thickTop="1" thickBot="1">
      <c r="B376" s="1106" t="s">
        <v>57</v>
      </c>
      <c r="C376" s="1106"/>
      <c r="D376" s="147">
        <f>SUM(D375,D358)</f>
        <v>824107</v>
      </c>
      <c r="E376" s="182">
        <f>SUM(E375,E358)</f>
        <v>1002936</v>
      </c>
      <c r="F376" s="149">
        <f>SUM(F375,F358)</f>
        <v>1827043</v>
      </c>
      <c r="G376" s="183">
        <f t="shared" si="647"/>
        <v>0.45106053880505276</v>
      </c>
      <c r="H376" s="186">
        <f>IFERROR(E376/F376,"")</f>
        <v>0.5489394611949473</v>
      </c>
      <c r="I376" s="184">
        <f>IFERROR(G376+H376,"")</f>
        <v>1</v>
      </c>
      <c r="J376" s="116">
        <f>SUM(J375,J358)</f>
        <v>13.5</v>
      </c>
      <c r="K376" s="116">
        <f>SUM(K375,K358)</f>
        <v>20.5</v>
      </c>
      <c r="L376" s="116">
        <f>SUM(L375,L358)</f>
        <v>34</v>
      </c>
      <c r="O376" s="131" t="s">
        <v>79</v>
      </c>
      <c r="P376" s="132">
        <f>SUM(P375,P358)</f>
        <v>163.64097222223063</v>
      </c>
      <c r="Q376" s="116">
        <f>SUM(Q375,Q358)</f>
        <v>34</v>
      </c>
      <c r="R376" s="132">
        <f>IFERROR(P376/Q376,"")</f>
        <v>4.8129697712420771</v>
      </c>
      <c r="S376" s="122"/>
      <c r="T376" s="131" t="s">
        <v>76</v>
      </c>
      <c r="U376" s="132">
        <f>SUM(U375,U358)</f>
        <v>163.64097222223063</v>
      </c>
      <c r="V376" s="147">
        <f>SUM(V375,V358)</f>
        <v>34</v>
      </c>
      <c r="W376" s="133">
        <f t="shared" si="653"/>
        <v>4.8129697712420771</v>
      </c>
      <c r="X376" s="162">
        <f>SUM(X358,X375)</f>
        <v>1827.0429999999999</v>
      </c>
      <c r="Y376" s="149">
        <f>SUM(Y358,Y375)</f>
        <v>0</v>
      </c>
      <c r="Z376" s="157" t="str">
        <f t="shared" si="671"/>
        <v/>
      </c>
      <c r="AN376" s="342">
        <f>SUM(AN358,AN375)</f>
        <v>0</v>
      </c>
      <c r="AO376" s="342">
        <f>SUM(AO358,AO375)</f>
        <v>1827.0429999999999</v>
      </c>
      <c r="AP376" s="456"/>
    </row>
    <row r="377" spans="2:43" ht="17.45" customHeight="1" outlineLevel="1">
      <c r="D377" s="343" t="str">
        <f>IF(D376=L226,"","CHECK")</f>
        <v/>
      </c>
      <c r="E377" s="344" t="str">
        <f>IF(E376=M226,"","CHECK")</f>
        <v/>
      </c>
      <c r="F377" s="344" t="str">
        <f>IF(F376=N226,"","CHECK")</f>
        <v/>
      </c>
      <c r="O377" s="134" t="s">
        <v>77</v>
      </c>
      <c r="P377" s="126"/>
      <c r="Q377" s="126"/>
      <c r="R377" s="126" t="str">
        <f>IFERROR(P377/Q377,"")</f>
        <v/>
      </c>
      <c r="S377" s="122"/>
      <c r="T377" s="134" t="s">
        <v>77</v>
      </c>
      <c r="U377" s="126"/>
      <c r="V377" s="111"/>
      <c r="W377" s="165" t="str">
        <f t="shared" si="653"/>
        <v/>
      </c>
      <c r="X377" s="163"/>
      <c r="Y377" s="126"/>
      <c r="Z377" s="158" t="str">
        <f t="shared" si="671"/>
        <v/>
      </c>
      <c r="AN377" s="335"/>
      <c r="AO377" s="336">
        <f t="shared" ref="AO377:AO378" si="674">X377-AN377</f>
        <v>0</v>
      </c>
      <c r="AP377" s="452"/>
    </row>
    <row r="378" spans="2:43" ht="17.45" customHeight="1" outlineLevel="1" thickBot="1">
      <c r="T378" s="345" t="s">
        <v>109</v>
      </c>
      <c r="U378" s="345"/>
      <c r="V378" s="328"/>
      <c r="W378" s="346"/>
      <c r="X378" s="346">
        <f>$E$393/1000</f>
        <v>132.02902000000003</v>
      </c>
      <c r="Y378" s="347"/>
      <c r="Z378" s="200" t="str">
        <f>IFERROR(IF(X378=0,"",X378/Y378),"")</f>
        <v/>
      </c>
      <c r="AN378" s="335"/>
      <c r="AO378" s="336">
        <f t="shared" si="674"/>
        <v>132.02902000000003</v>
      </c>
      <c r="AP378" s="452"/>
    </row>
    <row r="379" spans="2:43" ht="17.45" customHeight="1" outlineLevel="1" thickBot="1">
      <c r="B379" s="1099" t="s">
        <v>173</v>
      </c>
      <c r="C379" s="1100" t="s">
        <v>52</v>
      </c>
      <c r="D379" s="1100"/>
      <c r="E379" s="1100"/>
      <c r="F379" s="1100" t="s">
        <v>73</v>
      </c>
      <c r="G379" s="1100" t="s">
        <v>75</v>
      </c>
      <c r="H379" s="1100" t="s">
        <v>95</v>
      </c>
      <c r="I379" s="119"/>
      <c r="J379" s="1099" t="s">
        <v>172</v>
      </c>
      <c r="K379" s="1102" t="s">
        <v>124</v>
      </c>
      <c r="L379" s="1102"/>
      <c r="M379" s="1102"/>
      <c r="N379" s="1102" t="s">
        <v>75</v>
      </c>
      <c r="O379" s="1102"/>
      <c r="P379" s="1102"/>
      <c r="Q379" s="1097" t="s">
        <v>72</v>
      </c>
      <c r="R379" s="1097" t="s">
        <v>73</v>
      </c>
      <c r="S379" s="1097" t="s">
        <v>74</v>
      </c>
      <c r="T379" s="262" t="s">
        <v>110</v>
      </c>
      <c r="U379" s="262"/>
      <c r="V379" s="334"/>
      <c r="W379" s="346"/>
      <c r="X379" s="346">
        <f>SUM(X376,X377,X378)</f>
        <v>1959.0720199999998</v>
      </c>
      <c r="Y379" s="348">
        <f>SUM(Y376,Y378)</f>
        <v>0</v>
      </c>
      <c r="Z379" s="201" t="str">
        <f t="shared" si="671"/>
        <v/>
      </c>
      <c r="AN379" s="342">
        <f>SUM(AN376,AN378)</f>
        <v>0</v>
      </c>
      <c r="AO379" s="342">
        <f>SUM(AO376,AO378)</f>
        <v>1959.0720199999998</v>
      </c>
      <c r="AP379" s="456"/>
    </row>
    <row r="380" spans="2:43" ht="17.45" customHeight="1" outlineLevel="1">
      <c r="B380" s="1099"/>
      <c r="C380" s="233" t="s">
        <v>55</v>
      </c>
      <c r="D380" s="233" t="s">
        <v>56</v>
      </c>
      <c r="E380" s="233" t="s">
        <v>57</v>
      </c>
      <c r="F380" s="1100"/>
      <c r="G380" s="1100"/>
      <c r="H380" s="1100"/>
      <c r="I380" s="119"/>
      <c r="J380" s="1099"/>
      <c r="K380" s="235" t="s">
        <v>125</v>
      </c>
      <c r="L380" s="235" t="s">
        <v>126</v>
      </c>
      <c r="M380" s="235" t="s">
        <v>123</v>
      </c>
      <c r="N380" s="235" t="s">
        <v>125</v>
      </c>
      <c r="O380" s="235" t="s">
        <v>126</v>
      </c>
      <c r="P380" s="235" t="s">
        <v>123</v>
      </c>
      <c r="Q380" s="1098"/>
      <c r="R380" s="1098"/>
      <c r="S380" s="1098"/>
    </row>
    <row r="381" spans="2:43" ht="17.45" customHeight="1" outlineLevel="1">
      <c r="B381" s="139" t="s">
        <v>81</v>
      </c>
      <c r="C381" s="111">
        <f t="shared" ref="C381:C391" si="675">SUMIF($R$20:$R$224,B381,$L$20:$L$224)</f>
        <v>154895</v>
      </c>
      <c r="D381" s="111">
        <f t="shared" ref="D381:D391" si="676">SUMIF($R$20:$R$224,B381,$M$20:$M$224)</f>
        <v>682276</v>
      </c>
      <c r="E381" s="111">
        <f>C381+D381</f>
        <v>837171</v>
      </c>
      <c r="F381" s="111">
        <f t="shared" ref="F381:F391" si="677">SUMIF($R$20:$R$224,B381,$AZ$20:$AZ$224)</f>
        <v>16</v>
      </c>
      <c r="G381" s="111">
        <f>E381/1000</f>
        <v>837.17100000000005</v>
      </c>
      <c r="H381" s="111"/>
      <c r="I381" s="119"/>
      <c r="J381" s="139" t="s">
        <v>117</v>
      </c>
      <c r="K381" s="202">
        <f t="shared" ref="K381:K388" si="678">SUMIF($Q$20:$Q$224,J381,$L$20:$L$224)</f>
        <v>30505</v>
      </c>
      <c r="L381" s="202">
        <f>SUMIF($Q$20:$Q$224,J381,$M$20:$M$224)</f>
        <v>0</v>
      </c>
      <c r="M381" s="202">
        <f>K381+L381</f>
        <v>30505</v>
      </c>
      <c r="N381" s="202">
        <f>K381/1000</f>
        <v>30.504999999999999</v>
      </c>
      <c r="O381" s="202">
        <f>L381/1000</f>
        <v>0</v>
      </c>
      <c r="P381" s="202">
        <f>N381+O381</f>
        <v>30.504999999999999</v>
      </c>
      <c r="Q381" s="358">
        <f t="shared" ref="Q381:Q388" si="679">SUMIF($Q$20:$Q$224,J381,$I$20:$I$224)</f>
        <v>7.3055555555547471</v>
      </c>
      <c r="R381" s="111">
        <f t="shared" ref="R381:R387" si="680">SUMIF($Q$20:$Q$224,J381,$AZ$20:$AZ$224)</f>
        <v>1</v>
      </c>
      <c r="S381" s="126">
        <f>IFERROR(Q381/R381,"")</f>
        <v>7.3055555555547471</v>
      </c>
      <c r="V381" s="241" t="s">
        <v>157</v>
      </c>
      <c r="W381" s="237">
        <f>IFERROR(($P$360+$P$369)/($Q$360+$Q$369),0)</f>
        <v>2.484375</v>
      </c>
      <c r="X381" s="236">
        <f>X360+X369</f>
        <v>84.445999999999998</v>
      </c>
    </row>
    <row r="382" spans="2:43" ht="17.45" customHeight="1" outlineLevel="1">
      <c r="B382" s="139" t="s">
        <v>82</v>
      </c>
      <c r="C382" s="111">
        <f t="shared" si="675"/>
        <v>518852</v>
      </c>
      <c r="D382" s="111">
        <f t="shared" si="676"/>
        <v>104665</v>
      </c>
      <c r="E382" s="111">
        <f t="shared" ref="E382:E391" si="681">C382+D382</f>
        <v>623517</v>
      </c>
      <c r="F382" s="111">
        <f t="shared" si="677"/>
        <v>9</v>
      </c>
      <c r="G382" s="111">
        <f t="shared" ref="G382:G391" si="682">E382/1000</f>
        <v>623.51700000000005</v>
      </c>
      <c r="H382" s="111"/>
      <c r="I382" s="119"/>
      <c r="J382" s="139" t="s">
        <v>118</v>
      </c>
      <c r="K382" s="202">
        <f t="shared" si="678"/>
        <v>84355</v>
      </c>
      <c r="L382" s="202">
        <f>SUMIF($Q$20:$Q$224,J382,$M$20:$M$224)-48793</f>
        <v>115116</v>
      </c>
      <c r="M382" s="202">
        <f t="shared" ref="M382:M386" si="683">K382+L382</f>
        <v>199471</v>
      </c>
      <c r="N382" s="202">
        <f t="shared" ref="N382:O388" si="684">K382/1000</f>
        <v>84.355000000000004</v>
      </c>
      <c r="O382" s="202">
        <f t="shared" si="684"/>
        <v>115.116</v>
      </c>
      <c r="P382" s="202">
        <f t="shared" ref="P382:P388" si="685">N382+O382</f>
        <v>199.471</v>
      </c>
      <c r="Q382" s="358">
        <f t="shared" si="679"/>
        <v>29.160416666665697</v>
      </c>
      <c r="R382" s="111">
        <f t="shared" si="680"/>
        <v>5</v>
      </c>
      <c r="S382" s="126">
        <f t="shared" ref="S382:S387" si="686">IFERROR(Q382/R382,"")</f>
        <v>5.8320833333331397</v>
      </c>
    </row>
    <row r="383" spans="2:43" ht="17.45" customHeight="1" outlineLevel="1">
      <c r="B383" s="139" t="s">
        <v>83</v>
      </c>
      <c r="C383" s="111">
        <f t="shared" si="675"/>
        <v>88000</v>
      </c>
      <c r="D383" s="111">
        <f t="shared" si="676"/>
        <v>144546</v>
      </c>
      <c r="E383" s="111">
        <f t="shared" si="681"/>
        <v>232546</v>
      </c>
      <c r="F383" s="111">
        <f t="shared" si="677"/>
        <v>5</v>
      </c>
      <c r="G383" s="111">
        <f t="shared" si="682"/>
        <v>232.54599999999999</v>
      </c>
      <c r="H383" s="111"/>
      <c r="I383" s="119"/>
      <c r="J383" s="139" t="s">
        <v>119</v>
      </c>
      <c r="K383" s="202">
        <f t="shared" si="678"/>
        <v>40041</v>
      </c>
      <c r="L383" s="202">
        <f>SUMIF($Q$20:$Q$224,J383,$M$20:$M$224)</f>
        <v>0</v>
      </c>
      <c r="M383" s="202">
        <f t="shared" si="683"/>
        <v>40041</v>
      </c>
      <c r="N383" s="202">
        <f t="shared" si="684"/>
        <v>40.040999999999997</v>
      </c>
      <c r="O383" s="202">
        <f t="shared" si="684"/>
        <v>0</v>
      </c>
      <c r="P383" s="202">
        <f t="shared" si="685"/>
        <v>40.040999999999997</v>
      </c>
      <c r="Q383" s="358">
        <f t="shared" si="679"/>
        <v>8.7500000001455192E-2</v>
      </c>
      <c r="R383" s="111">
        <f t="shared" si="680"/>
        <v>1</v>
      </c>
      <c r="S383" s="126">
        <f t="shared" si="686"/>
        <v>8.7500000001455192E-2</v>
      </c>
    </row>
    <row r="384" spans="2:43" ht="17.45" customHeight="1" outlineLevel="1">
      <c r="B384" s="139" t="s">
        <v>84</v>
      </c>
      <c r="C384" s="111">
        <f t="shared" si="675"/>
        <v>31855</v>
      </c>
      <c r="D384" s="111">
        <f t="shared" si="676"/>
        <v>52591</v>
      </c>
      <c r="E384" s="111">
        <f t="shared" si="681"/>
        <v>84446</v>
      </c>
      <c r="F384" s="111">
        <f t="shared" si="677"/>
        <v>2</v>
      </c>
      <c r="G384" s="111">
        <f t="shared" si="682"/>
        <v>84.445999999999998</v>
      </c>
      <c r="H384" s="111"/>
      <c r="I384" s="119"/>
      <c r="J384" s="139" t="s">
        <v>113</v>
      </c>
      <c r="K384" s="202">
        <f t="shared" si="678"/>
        <v>154000</v>
      </c>
      <c r="L384" s="202">
        <f>SUMIF($Q$20:$Q$224,J384,$M$20:$M$224)</f>
        <v>0</v>
      </c>
      <c r="M384" s="202">
        <f t="shared" si="683"/>
        <v>154000</v>
      </c>
      <c r="N384" s="202">
        <f t="shared" si="684"/>
        <v>154</v>
      </c>
      <c r="O384" s="202">
        <f t="shared" si="684"/>
        <v>0</v>
      </c>
      <c r="P384" s="202">
        <f t="shared" si="685"/>
        <v>154</v>
      </c>
      <c r="Q384" s="358">
        <f t="shared" si="679"/>
        <v>3.9201388888905058</v>
      </c>
      <c r="R384" s="111">
        <f t="shared" si="680"/>
        <v>1</v>
      </c>
      <c r="S384" s="126">
        <f t="shared" si="686"/>
        <v>3.9201388888905058</v>
      </c>
    </row>
    <row r="385" spans="2:43" ht="17.45" customHeight="1" outlineLevel="1">
      <c r="B385" s="139" t="s">
        <v>223</v>
      </c>
      <c r="C385" s="111">
        <f t="shared" si="675"/>
        <v>0</v>
      </c>
      <c r="D385" s="111">
        <f t="shared" si="676"/>
        <v>0</v>
      </c>
      <c r="E385" s="111">
        <f t="shared" si="681"/>
        <v>0</v>
      </c>
      <c r="F385" s="111">
        <f t="shared" si="677"/>
        <v>0</v>
      </c>
      <c r="G385" s="111">
        <f t="shared" si="682"/>
        <v>0</v>
      </c>
      <c r="H385" s="111"/>
      <c r="I385" s="119"/>
      <c r="J385" s="139" t="s">
        <v>120</v>
      </c>
      <c r="K385" s="202">
        <f t="shared" si="678"/>
        <v>370136</v>
      </c>
      <c r="L385" s="202">
        <f>SUMIF($Q$20:$Q$224,J385,$M$20:$M$224)-27665</f>
        <v>93990</v>
      </c>
      <c r="M385" s="202">
        <f t="shared" si="683"/>
        <v>464126</v>
      </c>
      <c r="N385" s="202">
        <f t="shared" si="684"/>
        <v>370.13600000000002</v>
      </c>
      <c r="O385" s="202">
        <f t="shared" si="684"/>
        <v>93.99</v>
      </c>
      <c r="P385" s="202">
        <f t="shared" si="685"/>
        <v>464.12600000000003</v>
      </c>
      <c r="Q385" s="358">
        <f t="shared" si="679"/>
        <v>40.44097222223354</v>
      </c>
      <c r="R385" s="111">
        <f t="shared" si="680"/>
        <v>10</v>
      </c>
      <c r="S385" s="126">
        <f t="shared" si="686"/>
        <v>4.0440972222233542</v>
      </c>
      <c r="T385" s="57"/>
      <c r="U385" s="57"/>
      <c r="V385" s="57"/>
      <c r="W385" s="57"/>
      <c r="X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  <c r="AN385" s="57"/>
      <c r="AO385" s="57"/>
      <c r="AP385" s="57"/>
      <c r="AQ385" s="57"/>
    </row>
    <row r="386" spans="2:43" ht="17.45" customHeight="1" outlineLevel="1">
      <c r="B386" s="139" t="s">
        <v>158</v>
      </c>
      <c r="C386" s="111">
        <f t="shared" si="675"/>
        <v>0</v>
      </c>
      <c r="D386" s="111">
        <f t="shared" si="676"/>
        <v>0</v>
      </c>
      <c r="E386" s="111">
        <f t="shared" si="681"/>
        <v>0</v>
      </c>
      <c r="F386" s="111">
        <f t="shared" si="677"/>
        <v>0</v>
      </c>
      <c r="G386" s="111">
        <f t="shared" si="682"/>
        <v>0</v>
      </c>
      <c r="H386" s="111"/>
      <c r="I386" s="119"/>
      <c r="J386" s="139" t="s">
        <v>121</v>
      </c>
      <c r="K386" s="202">
        <f t="shared" si="678"/>
        <v>145070</v>
      </c>
      <c r="L386" s="202">
        <f>SUMIF($Q$20:$Q$224,J386,$M$20:$M$224)</f>
        <v>0</v>
      </c>
      <c r="M386" s="202">
        <f t="shared" si="683"/>
        <v>145070</v>
      </c>
      <c r="N386" s="202">
        <f t="shared" si="684"/>
        <v>145.07</v>
      </c>
      <c r="O386" s="202">
        <f t="shared" si="684"/>
        <v>0</v>
      </c>
      <c r="P386" s="202">
        <f t="shared" si="685"/>
        <v>145.07</v>
      </c>
      <c r="Q386" s="358">
        <f t="shared" si="679"/>
        <v>6.3347222222218988</v>
      </c>
      <c r="R386" s="111">
        <f t="shared" si="680"/>
        <v>2</v>
      </c>
      <c r="S386" s="126">
        <f>IFERROR(Q386/R386,"")</f>
        <v>3.1673611111109494</v>
      </c>
      <c r="T386" s="57"/>
      <c r="U386" s="57"/>
      <c r="V386" s="57"/>
      <c r="W386" s="57"/>
      <c r="X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57"/>
      <c r="AP386" s="57"/>
      <c r="AQ386" s="57"/>
    </row>
    <row r="387" spans="2:43" ht="17.45" customHeight="1" outlineLevel="1">
      <c r="B387" s="139" t="s">
        <v>518</v>
      </c>
      <c r="C387" s="111">
        <f t="shared" si="675"/>
        <v>0</v>
      </c>
      <c r="D387" s="111">
        <f t="shared" si="676"/>
        <v>10904</v>
      </c>
      <c r="E387" s="111">
        <f t="shared" si="681"/>
        <v>10904</v>
      </c>
      <c r="F387" s="111">
        <f t="shared" si="677"/>
        <v>1</v>
      </c>
      <c r="G387" s="111">
        <f t="shared" si="682"/>
        <v>10.904</v>
      </c>
      <c r="H387" s="111"/>
      <c r="I387" s="119"/>
      <c r="J387" s="139" t="s">
        <v>122</v>
      </c>
      <c r="K387" s="202">
        <f t="shared" si="678"/>
        <v>0</v>
      </c>
      <c r="L387" s="202">
        <f>SUMIF($Q$20:$Q$224,J387,$M$20:$M$224)+27665+48793</f>
        <v>785876</v>
      </c>
      <c r="M387" s="202">
        <f>K387+L387</f>
        <v>785876</v>
      </c>
      <c r="N387" s="202">
        <f t="shared" si="684"/>
        <v>0</v>
      </c>
      <c r="O387" s="202">
        <f t="shared" si="684"/>
        <v>785.87599999999998</v>
      </c>
      <c r="P387" s="202">
        <f t="shared" si="685"/>
        <v>785.87599999999998</v>
      </c>
      <c r="Q387" s="358">
        <f t="shared" si="679"/>
        <v>76.391666666662786</v>
      </c>
      <c r="R387" s="111">
        <f t="shared" si="680"/>
        <v>14</v>
      </c>
      <c r="S387" s="126">
        <f t="shared" si="686"/>
        <v>5.4565476190473419</v>
      </c>
      <c r="T387" s="57"/>
      <c r="U387" s="57"/>
      <c r="V387" s="57"/>
      <c r="W387" s="57"/>
      <c r="X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57"/>
      <c r="AP387" s="57"/>
      <c r="AQ387" s="57"/>
    </row>
    <row r="388" spans="2:43" ht="17.45" customHeight="1" outlineLevel="1">
      <c r="B388" s="139" t="s">
        <v>96</v>
      </c>
      <c r="C388" s="111">
        <f t="shared" si="675"/>
        <v>30505</v>
      </c>
      <c r="D388" s="111">
        <f t="shared" si="676"/>
        <v>0</v>
      </c>
      <c r="E388" s="111">
        <f t="shared" si="681"/>
        <v>30505</v>
      </c>
      <c r="F388" s="111">
        <f t="shared" si="677"/>
        <v>1</v>
      </c>
      <c r="G388" s="111">
        <f t="shared" si="682"/>
        <v>30.504999999999999</v>
      </c>
      <c r="H388" s="142" t="s">
        <v>30</v>
      </c>
      <c r="I388" s="119"/>
      <c r="J388" s="139" t="s">
        <v>162</v>
      </c>
      <c r="K388" s="202">
        <f t="shared" si="678"/>
        <v>0</v>
      </c>
      <c r="L388" s="202">
        <f>SUMIF($Q$20:$Q$224,J388,$M$20:$M$224)</f>
        <v>7954</v>
      </c>
      <c r="M388" s="202">
        <f>K388+L388</f>
        <v>7954</v>
      </c>
      <c r="N388" s="202">
        <f t="shared" si="684"/>
        <v>0</v>
      </c>
      <c r="O388" s="202">
        <f t="shared" si="684"/>
        <v>7.9539999999999997</v>
      </c>
      <c r="P388" s="202">
        <f t="shared" si="685"/>
        <v>7.9539999999999997</v>
      </c>
      <c r="Q388" s="358">
        <f t="shared" si="679"/>
        <v>0</v>
      </c>
      <c r="R388" s="111">
        <f>SUMIF($Q$20:$Q$224,J388,$AZ$20:$AZ$224)-1</f>
        <v>0</v>
      </c>
      <c r="S388" s="126" t="str">
        <f>IFERROR(Q388/R388,"")</f>
        <v/>
      </c>
      <c r="T388" s="57"/>
      <c r="U388" s="57"/>
      <c r="V388" s="57"/>
      <c r="W388" s="57"/>
      <c r="X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57"/>
      <c r="AP388" s="57"/>
      <c r="AQ388" s="57"/>
    </row>
    <row r="389" spans="2:43" ht="17.45" customHeight="1" outlineLevel="1">
      <c r="B389" s="139" t="s">
        <v>86</v>
      </c>
      <c r="C389" s="111">
        <f t="shared" si="675"/>
        <v>0</v>
      </c>
      <c r="D389" s="111">
        <f t="shared" si="676"/>
        <v>0</v>
      </c>
      <c r="E389" s="111">
        <f t="shared" si="681"/>
        <v>0</v>
      </c>
      <c r="F389" s="111">
        <f t="shared" si="677"/>
        <v>0</v>
      </c>
      <c r="G389" s="111">
        <f t="shared" si="682"/>
        <v>0</v>
      </c>
      <c r="H389" s="111"/>
      <c r="I389" s="119"/>
      <c r="J389" s="232" t="s">
        <v>123</v>
      </c>
      <c r="K389" s="203">
        <f>SUM(K381:K388)</f>
        <v>824107</v>
      </c>
      <c r="L389" s="203">
        <f t="shared" ref="L389:P389" si="687">SUM(L381:L388)</f>
        <v>1002936</v>
      </c>
      <c r="M389" s="203">
        <f t="shared" si="687"/>
        <v>1827043</v>
      </c>
      <c r="N389" s="203">
        <f t="shared" si="687"/>
        <v>824.10699999999997</v>
      </c>
      <c r="O389" s="203">
        <f t="shared" si="687"/>
        <v>1002.9359999999999</v>
      </c>
      <c r="P389" s="203">
        <f t="shared" si="687"/>
        <v>1827.0429999999999</v>
      </c>
      <c r="Q389" s="359">
        <f>SUM(Q381:Q388)</f>
        <v>163.64097222223063</v>
      </c>
      <c r="R389" s="359">
        <f>SUM(R381:R388)</f>
        <v>34</v>
      </c>
      <c r="S389" s="359">
        <f>IFERROR(Q389/R389,"")</f>
        <v>4.8129697712420771</v>
      </c>
      <c r="T389" s="57"/>
      <c r="U389" s="57"/>
      <c r="V389" s="57"/>
      <c r="W389" s="57"/>
      <c r="X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57"/>
      <c r="AP389" s="57"/>
      <c r="AQ389" s="57"/>
    </row>
    <row r="390" spans="2:43" ht="17.45" customHeight="1" outlineLevel="1">
      <c r="B390" s="139" t="s">
        <v>169</v>
      </c>
      <c r="C390" s="111">
        <f t="shared" si="675"/>
        <v>0</v>
      </c>
      <c r="D390" s="111">
        <f t="shared" si="676"/>
        <v>0</v>
      </c>
      <c r="E390" s="111">
        <f t="shared" si="681"/>
        <v>0</v>
      </c>
      <c r="F390" s="111">
        <f t="shared" si="677"/>
        <v>0</v>
      </c>
      <c r="G390" s="111">
        <f t="shared" si="682"/>
        <v>0</v>
      </c>
      <c r="H390" s="111"/>
      <c r="I390" s="119"/>
      <c r="K390" s="343" t="str">
        <f>IF(K389=D376,"","CHECK")</f>
        <v/>
      </c>
      <c r="L390" s="343" t="str">
        <f>IF(L389=E376,"","CHECK")</f>
        <v/>
      </c>
      <c r="M390" s="343" t="str">
        <f>IF(M389=F376,"","CHECK")</f>
        <v/>
      </c>
      <c r="S390" s="343" t="str">
        <f>IF(S389=I402,"","CHECK")</f>
        <v/>
      </c>
      <c r="T390" s="57"/>
      <c r="U390" s="57"/>
      <c r="V390" s="57"/>
      <c r="W390" s="57"/>
      <c r="X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  <c r="AN390" s="57"/>
      <c r="AO390" s="57"/>
      <c r="AP390" s="57"/>
      <c r="AQ390" s="57"/>
    </row>
    <row r="391" spans="2:43" ht="17.45" customHeight="1" outlineLevel="1">
      <c r="B391" s="139" t="s">
        <v>155</v>
      </c>
      <c r="C391" s="111">
        <f t="shared" si="675"/>
        <v>0</v>
      </c>
      <c r="D391" s="111">
        <f t="shared" si="676"/>
        <v>0</v>
      </c>
      <c r="E391" s="111">
        <f t="shared" si="681"/>
        <v>0</v>
      </c>
      <c r="F391" s="111">
        <f t="shared" si="677"/>
        <v>0</v>
      </c>
      <c r="G391" s="111">
        <f t="shared" si="682"/>
        <v>0</v>
      </c>
      <c r="H391" s="111"/>
      <c r="I391" s="119"/>
      <c r="L391" s="283" t="s">
        <v>170</v>
      </c>
      <c r="M391" s="384">
        <f>1700000-M387</f>
        <v>914124</v>
      </c>
      <c r="P391" s="360" t="s">
        <v>161</v>
      </c>
      <c r="Q391" s="359">
        <f>SUM(Q381:Q386)</f>
        <v>87.249305555567844</v>
      </c>
      <c r="R391" s="359">
        <f>SUM(R381:R386)</f>
        <v>20</v>
      </c>
      <c r="S391" s="359">
        <f>IFERROR(Q391/R391,"")</f>
        <v>4.3624652777783925</v>
      </c>
      <c r="T391" s="57"/>
      <c r="U391" s="57"/>
      <c r="V391" s="57"/>
      <c r="W391" s="57"/>
      <c r="X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  <c r="AN391" s="57"/>
      <c r="AO391" s="57"/>
      <c r="AP391" s="57"/>
      <c r="AQ391" s="57"/>
    </row>
    <row r="392" spans="2:43" ht="17.45" customHeight="1" outlineLevel="1">
      <c r="B392" s="113" t="s">
        <v>61</v>
      </c>
      <c r="C392" s="114">
        <f>SUM(C379:C391)</f>
        <v>824107</v>
      </c>
      <c r="D392" s="114">
        <f>SUM(D379:D391)</f>
        <v>994982</v>
      </c>
      <c r="E392" s="114">
        <f>SUM(E379:E391)</f>
        <v>1819089</v>
      </c>
      <c r="F392" s="114">
        <f>SUM(F379:F391)</f>
        <v>34</v>
      </c>
      <c r="G392" s="114">
        <f>SUM(G379:G391)</f>
        <v>1819.0890000000002</v>
      </c>
      <c r="H392" s="114"/>
      <c r="I392" s="119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  <c r="AN392" s="57"/>
      <c r="AO392" s="57"/>
      <c r="AP392" s="57"/>
      <c r="AQ392" s="57"/>
    </row>
    <row r="393" spans="2:43" ht="17.45" customHeight="1" outlineLevel="1" thickBot="1">
      <c r="B393" s="151" t="s">
        <v>87</v>
      </c>
      <c r="C393" s="152"/>
      <c r="D393" s="152"/>
      <c r="E393" s="153">
        <f>W345</f>
        <v>132029.02000000002</v>
      </c>
      <c r="F393" s="143"/>
      <c r="G393" s="144">
        <f>E393/1000</f>
        <v>132.02902000000003</v>
      </c>
      <c r="H393" s="145"/>
      <c r="I393" s="119"/>
      <c r="T393" s="57"/>
      <c r="U393" s="57"/>
      <c r="V393" s="57"/>
      <c r="W393" s="57"/>
      <c r="X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  <c r="AN393" s="57"/>
      <c r="AO393" s="57"/>
      <c r="AP393" s="57"/>
      <c r="AQ393" s="57"/>
    </row>
    <row r="394" spans="2:43" ht="17.45" customHeight="1" outlineLevel="1" thickTop="1" thickBot="1">
      <c r="B394" s="151" t="s">
        <v>57</v>
      </c>
      <c r="C394" s="122"/>
      <c r="D394" s="122"/>
      <c r="E394" s="140">
        <f>SUM(E392:E393)</f>
        <v>1951118.02</v>
      </c>
      <c r="F394" s="122"/>
      <c r="G394" s="199">
        <f>SUM(G392:G393)</f>
        <v>1951.1180200000001</v>
      </c>
      <c r="H394" s="344" t="str">
        <f>IF(G394=X379,"","CHECK")</f>
        <v>CHECK</v>
      </c>
      <c r="I394" s="119"/>
      <c r="K394" s="221"/>
      <c r="T394" s="57"/>
      <c r="U394" s="57"/>
      <c r="V394" s="57"/>
      <c r="W394" s="57"/>
      <c r="X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57"/>
      <c r="AP394" s="57"/>
      <c r="AQ394" s="57"/>
    </row>
    <row r="395" spans="2:43" ht="17.45" customHeight="1" outlineLevel="1" thickTop="1">
      <c r="B395" s="137"/>
      <c r="C395" s="122"/>
      <c r="D395" s="122"/>
      <c r="E395" s="154"/>
      <c r="F395" s="122"/>
      <c r="G395" s="122"/>
      <c r="H395" s="137"/>
      <c r="I395" s="119"/>
      <c r="T395" s="57"/>
      <c r="U395" s="57"/>
      <c r="V395" s="57"/>
      <c r="W395" s="57"/>
      <c r="X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  <c r="AN395" s="57"/>
      <c r="AO395" s="57"/>
      <c r="AP395" s="57"/>
      <c r="AQ395" s="57"/>
    </row>
    <row r="396" spans="2:43" ht="17.45" customHeight="1" outlineLevel="1">
      <c r="B396" s="1099" t="s">
        <v>174</v>
      </c>
      <c r="C396" s="1100" t="s">
        <v>52</v>
      </c>
      <c r="D396" s="1100"/>
      <c r="E396" s="1100"/>
      <c r="F396" s="1100" t="s">
        <v>73</v>
      </c>
      <c r="G396" s="1100" t="s">
        <v>75</v>
      </c>
      <c r="H396" s="1101" t="s">
        <v>72</v>
      </c>
      <c r="I396" s="1101"/>
      <c r="T396" s="57"/>
      <c r="U396" s="57"/>
      <c r="V396" s="57"/>
      <c r="W396" s="57"/>
      <c r="X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57"/>
      <c r="AP396" s="57"/>
      <c r="AQ396" s="57"/>
    </row>
    <row r="397" spans="2:43" ht="17.45" customHeight="1" outlineLevel="1">
      <c r="B397" s="1099"/>
      <c r="C397" s="233" t="s">
        <v>55</v>
      </c>
      <c r="D397" s="233" t="s">
        <v>56</v>
      </c>
      <c r="E397" s="233" t="s">
        <v>57</v>
      </c>
      <c r="F397" s="1100"/>
      <c r="G397" s="1100"/>
      <c r="H397" s="234" t="s">
        <v>89</v>
      </c>
      <c r="I397" s="234" t="s">
        <v>90</v>
      </c>
      <c r="T397" s="57"/>
      <c r="U397" s="57"/>
      <c r="V397" s="57"/>
      <c r="W397" s="57"/>
      <c r="X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57"/>
      <c r="AP397" s="57"/>
      <c r="AQ397" s="57"/>
    </row>
    <row r="398" spans="2:43" ht="17.45" customHeight="1" outlineLevel="1">
      <c r="B398" s="138" t="s">
        <v>91</v>
      </c>
      <c r="C398" s="111">
        <f>SUMIF($V$20:$V$224,B398,$L$20:$L$224)</f>
        <v>354070</v>
      </c>
      <c r="D398" s="111">
        <f>SUMIF($V$20:$V$224,B398,$M$20:$M$224)</f>
        <v>0</v>
      </c>
      <c r="E398" s="111">
        <f>C398+D398</f>
        <v>354070</v>
      </c>
      <c r="F398" s="111">
        <f>SUMIF($V$20:$V$224,B398,$AZ$20:$AZ$224)</f>
        <v>4</v>
      </c>
      <c r="G398" s="111">
        <f>E398/1000</f>
        <v>354.07</v>
      </c>
      <c r="H398" s="126">
        <f>SUMIF($V$20:$V$224,B398,$I$20:$I$224)</f>
        <v>21.306250000001455</v>
      </c>
      <c r="I398" s="141">
        <f>IFERROR(H398/F398,"")</f>
        <v>5.3265625000003638</v>
      </c>
      <c r="T398" s="57"/>
      <c r="U398" s="57"/>
      <c r="V398" s="57"/>
      <c r="W398" s="57"/>
      <c r="X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57"/>
      <c r="AP398" s="57"/>
      <c r="AQ398" s="57"/>
    </row>
    <row r="399" spans="2:43" ht="17.45" customHeight="1" outlineLevel="1">
      <c r="B399" s="138" t="s">
        <v>92</v>
      </c>
      <c r="C399" s="111">
        <f>SUMIF($V$20:$V$224,B399,$L$20:$L$224)</f>
        <v>407677</v>
      </c>
      <c r="D399" s="111">
        <f>SUMIF($V$20:$V$224,B399,$M$20:$M$224)</f>
        <v>943432</v>
      </c>
      <c r="E399" s="111">
        <f t="shared" ref="E399:E401" si="688">C399+D399</f>
        <v>1351109</v>
      </c>
      <c r="F399" s="111">
        <f>SUMIF($V$20:$V$224,B399,$AZ$20:$AZ$224)</f>
        <v>25</v>
      </c>
      <c r="G399" s="111">
        <f t="shared" ref="G399:G401" si="689">E399/1000</f>
        <v>1351.1089999999999</v>
      </c>
      <c r="H399" s="126">
        <f>SUMIF($V$20:$V$224,B399,$I$20:$I$224)</f>
        <v>129.43819444446126</v>
      </c>
      <c r="I399" s="141">
        <f t="shared" ref="I399:I401" si="690">IFERROR(H399/F399,"")</f>
        <v>5.1775277777784501</v>
      </c>
      <c r="T399" s="57"/>
      <c r="U399" s="57"/>
      <c r="V399" s="57"/>
      <c r="W399" s="57"/>
      <c r="X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  <c r="AN399" s="57"/>
      <c r="AO399" s="57"/>
      <c r="AP399" s="57"/>
      <c r="AQ399" s="57"/>
    </row>
    <row r="400" spans="2:43" ht="17.45" customHeight="1" outlineLevel="1">
      <c r="B400" s="138" t="s">
        <v>93</v>
      </c>
      <c r="C400" s="111">
        <f>SUMIF($V$20:$V$224,B400,$L$20:$L$224)</f>
        <v>0</v>
      </c>
      <c r="D400" s="111">
        <f>SUMIF($V$20:$V$224,B400,$M$20:$M$224)</f>
        <v>0</v>
      </c>
      <c r="E400" s="111">
        <f t="shared" si="688"/>
        <v>0</v>
      </c>
      <c r="F400" s="111">
        <f>SUMIF($V$20:$V$224,B400,$AZ$20:$AZ$224)</f>
        <v>0</v>
      </c>
      <c r="G400" s="111">
        <f t="shared" si="689"/>
        <v>0</v>
      </c>
      <c r="H400" s="126">
        <f>SUMIF($V$20:$V$224,B400,$I$20:$I$224)</f>
        <v>0</v>
      </c>
      <c r="I400" s="141" t="str">
        <f t="shared" si="690"/>
        <v/>
      </c>
      <c r="T400" s="57"/>
      <c r="U400" s="57"/>
      <c r="V400" s="57"/>
      <c r="W400" s="57"/>
      <c r="X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</row>
    <row r="401" spans="2:43" ht="17.45" customHeight="1" outlineLevel="1" thickBot="1">
      <c r="B401" s="138" t="s">
        <v>94</v>
      </c>
      <c r="C401" s="111">
        <f>SUMIF($V$20:$V$224,B401,$L$20:$L$224)</f>
        <v>62360</v>
      </c>
      <c r="D401" s="111">
        <f>SUMIF($V$20:$V$224,B401,$M$20:$M$224)</f>
        <v>51550</v>
      </c>
      <c r="E401" s="111">
        <f t="shared" si="688"/>
        <v>113910</v>
      </c>
      <c r="F401" s="111">
        <f>SUMIF($V$20:$V$224,B401,$AZ$20:$AZ$224)</f>
        <v>5</v>
      </c>
      <c r="G401" s="111">
        <f t="shared" si="689"/>
        <v>113.91</v>
      </c>
      <c r="H401" s="126">
        <f>SUMIF($V$20:$V$224,B401,$I$20:$I$224)</f>
        <v>12.896527777767915</v>
      </c>
      <c r="I401" s="190">
        <f t="shared" si="690"/>
        <v>2.5793055555535829</v>
      </c>
      <c r="T401" s="57"/>
      <c r="U401" s="57"/>
      <c r="V401" s="57"/>
      <c r="W401" s="57"/>
      <c r="X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</row>
    <row r="402" spans="2:43" ht="17.45" customHeight="1" outlineLevel="1" thickBot="1">
      <c r="B402" s="113" t="s">
        <v>61</v>
      </c>
      <c r="C402" s="114">
        <f t="shared" ref="C402:H402" si="691">SUM(C395:C401)</f>
        <v>824107</v>
      </c>
      <c r="D402" s="114">
        <f t="shared" si="691"/>
        <v>994982</v>
      </c>
      <c r="E402" s="114">
        <f t="shared" si="691"/>
        <v>1819089</v>
      </c>
      <c r="F402" s="114">
        <f t="shared" si="691"/>
        <v>34</v>
      </c>
      <c r="G402" s="114">
        <f t="shared" si="691"/>
        <v>1819.0889999999999</v>
      </c>
      <c r="H402" s="189">
        <f t="shared" si="691"/>
        <v>163.64097222223063</v>
      </c>
      <c r="I402" s="191">
        <f>IFERROR(H402/F402,"")</f>
        <v>4.8129697712420771</v>
      </c>
    </row>
    <row r="403" spans="2:43" ht="17.45" customHeight="1" outlineLevel="1"/>
    <row r="405" spans="2:43" ht="17.45" customHeight="1">
      <c r="B405" s="329" t="s">
        <v>255</v>
      </c>
      <c r="O405" s="122"/>
      <c r="P405" s="122"/>
      <c r="Q405" s="122"/>
      <c r="R405" s="123"/>
      <c r="S405" s="331"/>
      <c r="T405" s="124"/>
      <c r="U405" s="332"/>
      <c r="V405" s="332"/>
      <c r="W405" s="245"/>
      <c r="X405" s="245"/>
      <c r="Y405" s="333"/>
    </row>
    <row r="406" spans="2:43" ht="17.45" hidden="1" customHeight="1" outlineLevel="1">
      <c r="B406" s="1173" t="s">
        <v>51</v>
      </c>
      <c r="C406" s="1173"/>
      <c r="D406" s="1168" t="s">
        <v>52</v>
      </c>
      <c r="E406" s="1168"/>
      <c r="F406" s="1168"/>
      <c r="G406" s="1168" t="s">
        <v>53</v>
      </c>
      <c r="H406" s="1168"/>
      <c r="I406" s="1168"/>
      <c r="J406" s="1168" t="s">
        <v>54</v>
      </c>
      <c r="K406" s="1168"/>
      <c r="L406" s="1168"/>
      <c r="O406" s="1168" t="s">
        <v>71</v>
      </c>
      <c r="P406" s="1168" t="s">
        <v>72</v>
      </c>
      <c r="Q406" s="1168" t="s">
        <v>73</v>
      </c>
      <c r="R406" s="1168" t="s">
        <v>74</v>
      </c>
      <c r="S406" s="122"/>
      <c r="T406" s="1168" t="s">
        <v>71</v>
      </c>
      <c r="U406" s="1168" t="s">
        <v>72</v>
      </c>
      <c r="V406" s="1168" t="s">
        <v>73</v>
      </c>
      <c r="W406" s="1168" t="s">
        <v>74</v>
      </c>
      <c r="X406" s="1168" t="s">
        <v>75</v>
      </c>
      <c r="Y406" s="1169" t="str">
        <f>RIGHT(B405,3)&amp;" 목표(ST)"</f>
        <v xml:space="preserve"> 1월 목표(ST)</v>
      </c>
      <c r="Z406" s="1170" t="s">
        <v>111</v>
      </c>
    </row>
    <row r="407" spans="2:43" ht="17.45" hidden="1" customHeight="1" outlineLevel="1">
      <c r="B407" s="1173"/>
      <c r="C407" s="1173"/>
      <c r="D407" s="626" t="s">
        <v>55</v>
      </c>
      <c r="E407" s="626" t="s">
        <v>56</v>
      </c>
      <c r="F407" s="626" t="s">
        <v>57</v>
      </c>
      <c r="G407" s="626" t="s">
        <v>55</v>
      </c>
      <c r="H407" s="626" t="s">
        <v>56</v>
      </c>
      <c r="I407" s="626" t="s">
        <v>57</v>
      </c>
      <c r="J407" s="626" t="s">
        <v>55</v>
      </c>
      <c r="K407" s="626" t="s">
        <v>56</v>
      </c>
      <c r="L407" s="626" t="s">
        <v>57</v>
      </c>
      <c r="O407" s="1168"/>
      <c r="P407" s="1168"/>
      <c r="Q407" s="1168"/>
      <c r="R407" s="1168"/>
      <c r="S407" s="122"/>
      <c r="T407" s="1168"/>
      <c r="U407" s="1168"/>
      <c r="V407" s="1168"/>
      <c r="W407" s="1168"/>
      <c r="X407" s="1168"/>
      <c r="Y407" s="1168"/>
      <c r="Z407" s="1168"/>
      <c r="AN407" s="361"/>
      <c r="AO407" s="362" t="s">
        <v>156</v>
      </c>
      <c r="AP407" s="457"/>
    </row>
    <row r="408" spans="2:43" ht="17.45" hidden="1" customHeight="1" outlineLevel="1">
      <c r="B408" s="1171" t="s">
        <v>58</v>
      </c>
      <c r="C408" s="110" t="s">
        <v>179</v>
      </c>
      <c r="D408" s="111">
        <f t="shared" ref="D408:D413" si="692">SUMIF($B$20:$B$25,C408,$L$20:$L$25)</f>
        <v>0</v>
      </c>
      <c r="E408" s="111">
        <f t="shared" ref="E408:E413" si="693">SUMIF($B$20:$B$25,C408,$M$20:$M$25)</f>
        <v>0</v>
      </c>
      <c r="F408" s="111">
        <f>D408+E408</f>
        <v>0</v>
      </c>
      <c r="G408" s="112" t="str">
        <f>IFERROR(D408/F408,"")</f>
        <v/>
      </c>
      <c r="H408" s="112" t="str">
        <f>IFERROR(E408/F408,"")</f>
        <v/>
      </c>
      <c r="I408" s="112" t="str">
        <f t="shared" ref="I408:I412" si="694">IFERROR(G408+H408,"")</f>
        <v/>
      </c>
      <c r="J408" s="111">
        <f t="shared" ref="J408:J413" si="695">SUMIF($B$20:$B$25,C408,$AX$20:$AX$25)</f>
        <v>0</v>
      </c>
      <c r="K408" s="111">
        <f t="shared" ref="K408:K413" si="696">SUMIF($B$20:$B$25,C408,$AY$20:$AY$25)</f>
        <v>0</v>
      </c>
      <c r="L408" s="111">
        <f>J408+K408</f>
        <v>0</v>
      </c>
      <c r="O408" s="125" t="str">
        <f>C408</f>
        <v>SGC에너지</v>
      </c>
      <c r="P408" s="126">
        <f t="shared" ref="P408:P413" si="697">SUMIF($B$20:$B$25,O408,$AA$20:$AA$25)</f>
        <v>0</v>
      </c>
      <c r="Q408" s="111">
        <f t="shared" ref="Q408:Q413" si="698">SUMIF($B$20:$B$25,O408,$AZ$20:$AZ$25)</f>
        <v>0</v>
      </c>
      <c r="R408" s="126" t="str">
        <f>IFERROR(P408/Q408,"")</f>
        <v/>
      </c>
      <c r="S408" s="122"/>
      <c r="T408" s="125" t="str">
        <f>O408</f>
        <v>SGC에너지</v>
      </c>
      <c r="U408" s="126">
        <f>P408</f>
        <v>0</v>
      </c>
      <c r="V408" s="111">
        <f>Q408</f>
        <v>0</v>
      </c>
      <c r="W408" s="163" t="str">
        <f>IFERROR(U408/V408,"")</f>
        <v/>
      </c>
      <c r="X408" s="164">
        <f>F408/1000</f>
        <v>0</v>
      </c>
      <c r="Y408" s="111"/>
      <c r="Z408" s="158" t="str">
        <f t="shared" ref="Z408:Z424" si="699">IFERROR(IF(X408=0,"",X408/Y408),"")</f>
        <v/>
      </c>
      <c r="AN408" s="335"/>
      <c r="AO408" s="336">
        <f>X408-Y408</f>
        <v>0</v>
      </c>
      <c r="AP408" s="452"/>
    </row>
    <row r="409" spans="2:43" ht="17.45" hidden="1" customHeight="1" outlineLevel="1">
      <c r="B409" s="1172"/>
      <c r="C409" s="110" t="s">
        <v>59</v>
      </c>
      <c r="D409" s="111">
        <f t="shared" si="692"/>
        <v>0</v>
      </c>
      <c r="E409" s="111">
        <f t="shared" si="693"/>
        <v>54829</v>
      </c>
      <c r="F409" s="111">
        <f t="shared" ref="F409:F413" si="700">D409+E409</f>
        <v>54829</v>
      </c>
      <c r="G409" s="112">
        <f t="shared" ref="G409:G422" si="701">IFERROR(D409/F409,"")</f>
        <v>0</v>
      </c>
      <c r="H409" s="112">
        <f t="shared" ref="H409:H412" si="702">IFERROR(E409/F409,"")</f>
        <v>1</v>
      </c>
      <c r="I409" s="112">
        <f t="shared" si="694"/>
        <v>1</v>
      </c>
      <c r="J409" s="111">
        <f t="shared" si="695"/>
        <v>0</v>
      </c>
      <c r="K409" s="111">
        <f t="shared" si="696"/>
        <v>1</v>
      </c>
      <c r="L409" s="111">
        <f t="shared" ref="L409:L412" si="703">J409+K409</f>
        <v>1</v>
      </c>
      <c r="O409" s="125" t="str">
        <f t="shared" ref="O409:O413" si="704">C409</f>
        <v>남동발전</v>
      </c>
      <c r="P409" s="126">
        <f t="shared" si="697"/>
        <v>6.8208333333313931</v>
      </c>
      <c r="Q409" s="111">
        <f t="shared" si="698"/>
        <v>1</v>
      </c>
      <c r="R409" s="126">
        <f t="shared" ref="R409:R430" si="705">IFERROR(P409/Q409,"")</f>
        <v>6.8208333333313931</v>
      </c>
      <c r="S409" s="122"/>
      <c r="T409" s="125" t="str">
        <f t="shared" ref="T409:V413" si="706">O409</f>
        <v>남동발전</v>
      </c>
      <c r="U409" s="126">
        <f t="shared" si="706"/>
        <v>6.8208333333313931</v>
      </c>
      <c r="V409" s="111">
        <f t="shared" si="706"/>
        <v>1</v>
      </c>
      <c r="W409" s="163">
        <f t="shared" ref="W409:W430" si="707">IFERROR(U409/V409,"")</f>
        <v>6.8208333333313931</v>
      </c>
      <c r="X409" s="164">
        <f t="shared" ref="X409:X413" si="708">F409/1000</f>
        <v>54.829000000000001</v>
      </c>
      <c r="Y409" s="111"/>
      <c r="Z409" s="158" t="str">
        <f t="shared" si="699"/>
        <v/>
      </c>
      <c r="AN409" s="335"/>
      <c r="AO409" s="336">
        <f t="shared" ref="AO409:AO413" si="709">X409-Y409</f>
        <v>54.829000000000001</v>
      </c>
      <c r="AP409" s="452"/>
    </row>
    <row r="410" spans="2:43" ht="17.45" hidden="1" customHeight="1" outlineLevel="1">
      <c r="B410" s="1172"/>
      <c r="C410" s="110" t="s">
        <v>60</v>
      </c>
      <c r="D410" s="111">
        <f t="shared" si="692"/>
        <v>0</v>
      </c>
      <c r="E410" s="111">
        <f t="shared" si="693"/>
        <v>0</v>
      </c>
      <c r="F410" s="111">
        <f t="shared" si="700"/>
        <v>0</v>
      </c>
      <c r="G410" s="112" t="str">
        <f t="shared" si="701"/>
        <v/>
      </c>
      <c r="H410" s="112" t="str">
        <f t="shared" si="702"/>
        <v/>
      </c>
      <c r="I410" s="112" t="str">
        <f t="shared" si="694"/>
        <v/>
      </c>
      <c r="J410" s="111">
        <f t="shared" si="695"/>
        <v>0</v>
      </c>
      <c r="K410" s="111">
        <f t="shared" si="696"/>
        <v>0</v>
      </c>
      <c r="L410" s="111">
        <f t="shared" si="703"/>
        <v>0</v>
      </c>
      <c r="O410" s="125" t="str">
        <f t="shared" si="704"/>
        <v>동서발전</v>
      </c>
      <c r="P410" s="126">
        <f t="shared" si="697"/>
        <v>0</v>
      </c>
      <c r="Q410" s="111">
        <f t="shared" si="698"/>
        <v>0</v>
      </c>
      <c r="R410" s="126" t="str">
        <f t="shared" si="705"/>
        <v/>
      </c>
      <c r="S410" s="122"/>
      <c r="T410" s="125" t="str">
        <f t="shared" si="706"/>
        <v>동서발전</v>
      </c>
      <c r="U410" s="126">
        <f t="shared" si="706"/>
        <v>0</v>
      </c>
      <c r="V410" s="111">
        <f t="shared" si="706"/>
        <v>0</v>
      </c>
      <c r="W410" s="163" t="str">
        <f t="shared" si="707"/>
        <v/>
      </c>
      <c r="X410" s="164">
        <f t="shared" si="708"/>
        <v>0</v>
      </c>
      <c r="Y410" s="111"/>
      <c r="Z410" s="158" t="str">
        <f t="shared" si="699"/>
        <v/>
      </c>
      <c r="AN410" s="335"/>
      <c r="AO410" s="336">
        <f t="shared" si="709"/>
        <v>0</v>
      </c>
      <c r="AP410" s="452"/>
    </row>
    <row r="411" spans="2:43" ht="17.45" hidden="1" customHeight="1" outlineLevel="1">
      <c r="B411" s="1172"/>
      <c r="C411" s="110" t="s">
        <v>159</v>
      </c>
      <c r="D411" s="111">
        <f t="shared" si="692"/>
        <v>0</v>
      </c>
      <c r="E411" s="111">
        <f t="shared" si="693"/>
        <v>0</v>
      </c>
      <c r="F411" s="111">
        <f t="shared" si="700"/>
        <v>0</v>
      </c>
      <c r="G411" s="112" t="str">
        <f t="shared" si="701"/>
        <v/>
      </c>
      <c r="H411" s="112" t="str">
        <f t="shared" si="702"/>
        <v/>
      </c>
      <c r="I411" s="112" t="str">
        <f t="shared" si="694"/>
        <v/>
      </c>
      <c r="J411" s="111">
        <f t="shared" si="695"/>
        <v>0</v>
      </c>
      <c r="K411" s="111">
        <f t="shared" si="696"/>
        <v>0</v>
      </c>
      <c r="L411" s="111">
        <f t="shared" si="703"/>
        <v>0</v>
      </c>
      <c r="O411" s="125" t="str">
        <f t="shared" si="704"/>
        <v>미쓰이</v>
      </c>
      <c r="P411" s="126">
        <f t="shared" si="697"/>
        <v>0</v>
      </c>
      <c r="Q411" s="111">
        <f t="shared" si="698"/>
        <v>0</v>
      </c>
      <c r="R411" s="126" t="str">
        <f t="shared" si="705"/>
        <v/>
      </c>
      <c r="S411" s="122"/>
      <c r="T411" s="125" t="str">
        <f t="shared" si="706"/>
        <v>미쓰이</v>
      </c>
      <c r="U411" s="126">
        <f t="shared" si="706"/>
        <v>0</v>
      </c>
      <c r="V411" s="111">
        <f t="shared" si="706"/>
        <v>0</v>
      </c>
      <c r="W411" s="163" t="str">
        <f t="shared" si="707"/>
        <v/>
      </c>
      <c r="X411" s="164">
        <f t="shared" si="708"/>
        <v>0</v>
      </c>
      <c r="Y411" s="111"/>
      <c r="Z411" s="158" t="str">
        <f t="shared" si="699"/>
        <v/>
      </c>
      <c r="AN411" s="335"/>
      <c r="AO411" s="336">
        <f t="shared" si="709"/>
        <v>0</v>
      </c>
      <c r="AP411" s="452"/>
    </row>
    <row r="412" spans="2:43" ht="17.45" hidden="1" customHeight="1" outlineLevel="1">
      <c r="B412" s="1172"/>
      <c r="C412" s="110" t="s">
        <v>168</v>
      </c>
      <c r="D412" s="111">
        <f t="shared" si="692"/>
        <v>0</v>
      </c>
      <c r="E412" s="111">
        <f t="shared" si="693"/>
        <v>0</v>
      </c>
      <c r="F412" s="111">
        <f t="shared" si="700"/>
        <v>0</v>
      </c>
      <c r="G412" s="112" t="str">
        <f t="shared" si="701"/>
        <v/>
      </c>
      <c r="H412" s="112" t="str">
        <f t="shared" si="702"/>
        <v/>
      </c>
      <c r="I412" s="112" t="str">
        <f t="shared" si="694"/>
        <v/>
      </c>
      <c r="J412" s="111">
        <f t="shared" si="695"/>
        <v>0</v>
      </c>
      <c r="K412" s="111">
        <f t="shared" si="696"/>
        <v>0</v>
      </c>
      <c r="L412" s="111">
        <f t="shared" si="703"/>
        <v>0</v>
      </c>
      <c r="O412" s="125" t="str">
        <f t="shared" si="704"/>
        <v>포스코인터</v>
      </c>
      <c r="P412" s="126">
        <f t="shared" si="697"/>
        <v>0</v>
      </c>
      <c r="Q412" s="111">
        <f t="shared" si="698"/>
        <v>0</v>
      </c>
      <c r="R412" s="126" t="str">
        <f t="shared" si="705"/>
        <v/>
      </c>
      <c r="S412" s="122"/>
      <c r="T412" s="125" t="str">
        <f t="shared" si="706"/>
        <v>포스코인터</v>
      </c>
      <c r="U412" s="126">
        <f t="shared" si="706"/>
        <v>0</v>
      </c>
      <c r="V412" s="111">
        <f t="shared" si="706"/>
        <v>0</v>
      </c>
      <c r="W412" s="163" t="str">
        <f t="shared" si="707"/>
        <v/>
      </c>
      <c r="X412" s="164">
        <f t="shared" si="708"/>
        <v>0</v>
      </c>
      <c r="Y412" s="111"/>
      <c r="Z412" s="158" t="str">
        <f t="shared" si="699"/>
        <v/>
      </c>
      <c r="AN412" s="335"/>
      <c r="AO412" s="336">
        <f t="shared" si="709"/>
        <v>0</v>
      </c>
      <c r="AP412" s="452"/>
    </row>
    <row r="413" spans="2:43" ht="17.45" hidden="1" customHeight="1" outlineLevel="1">
      <c r="B413" s="1172"/>
      <c r="C413" s="110" t="s">
        <v>154</v>
      </c>
      <c r="D413" s="111">
        <f t="shared" si="692"/>
        <v>0</v>
      </c>
      <c r="E413" s="111">
        <f t="shared" si="693"/>
        <v>0</v>
      </c>
      <c r="F413" s="111">
        <f t="shared" si="700"/>
        <v>0</v>
      </c>
      <c r="G413" s="112" t="str">
        <f t="shared" si="701"/>
        <v/>
      </c>
      <c r="H413" s="112" t="str">
        <f>IFERROR(E413/F413,"")</f>
        <v/>
      </c>
      <c r="I413" s="112" t="str">
        <f>IFERROR(G413+H413,"")</f>
        <v/>
      </c>
      <c r="J413" s="111">
        <f t="shared" si="695"/>
        <v>0</v>
      </c>
      <c r="K413" s="111">
        <f t="shared" si="696"/>
        <v>0</v>
      </c>
      <c r="L413" s="111">
        <f>J413+K413</f>
        <v>0</v>
      </c>
      <c r="O413" s="125" t="str">
        <f t="shared" si="704"/>
        <v>이노샌드</v>
      </c>
      <c r="P413" s="126">
        <f t="shared" si="697"/>
        <v>0</v>
      </c>
      <c r="Q413" s="111">
        <f t="shared" si="698"/>
        <v>0</v>
      </c>
      <c r="R413" s="126" t="str">
        <f t="shared" si="705"/>
        <v/>
      </c>
      <c r="S413" s="122"/>
      <c r="T413" s="125" t="str">
        <f t="shared" si="706"/>
        <v>이노샌드</v>
      </c>
      <c r="U413" s="126">
        <f t="shared" si="706"/>
        <v>0</v>
      </c>
      <c r="V413" s="111">
        <f t="shared" si="706"/>
        <v>0</v>
      </c>
      <c r="W413" s="163" t="str">
        <f t="shared" si="707"/>
        <v/>
      </c>
      <c r="X413" s="164">
        <f t="shared" si="708"/>
        <v>0</v>
      </c>
      <c r="Y413" s="111"/>
      <c r="Z413" s="158" t="str">
        <f t="shared" si="699"/>
        <v/>
      </c>
      <c r="AN413" s="335"/>
      <c r="AO413" s="336">
        <f t="shared" si="709"/>
        <v>0</v>
      </c>
      <c r="AP413" s="452"/>
      <c r="AQ413" s="337"/>
    </row>
    <row r="414" spans="2:43" ht="17.45" hidden="1" customHeight="1" outlineLevel="1">
      <c r="B414" s="1172"/>
      <c r="C414" s="113" t="s">
        <v>61</v>
      </c>
      <c r="D414" s="114">
        <f>SUM(D408:D413)</f>
        <v>0</v>
      </c>
      <c r="E414" s="114">
        <f>SUM(E408:E413)</f>
        <v>54829</v>
      </c>
      <c r="F414" s="114">
        <f>SUM(F408:F413)</f>
        <v>54829</v>
      </c>
      <c r="G414" s="115">
        <f t="shared" si="701"/>
        <v>0</v>
      </c>
      <c r="H414" s="115">
        <f>IFERROR(E414/F414,"")</f>
        <v>1</v>
      </c>
      <c r="I414" s="115">
        <f>IFERROR(G414+H414,"")</f>
        <v>1</v>
      </c>
      <c r="J414" s="114">
        <f t="shared" ref="J414:L414" si="710">SUM(J408:J413)</f>
        <v>0</v>
      </c>
      <c r="K414" s="114">
        <f t="shared" si="710"/>
        <v>1</v>
      </c>
      <c r="L414" s="114">
        <f t="shared" si="710"/>
        <v>1</v>
      </c>
      <c r="O414" s="128" t="s">
        <v>61</v>
      </c>
      <c r="P414" s="129">
        <f>SUM(P408:P413)</f>
        <v>6.8208333333313931</v>
      </c>
      <c r="Q414" s="114">
        <f>SUM(Q408:Q413)</f>
        <v>1</v>
      </c>
      <c r="R414" s="129">
        <f t="shared" si="705"/>
        <v>6.8208333333313931</v>
      </c>
      <c r="S414" s="122"/>
      <c r="T414" s="128" t="s">
        <v>61</v>
      </c>
      <c r="U414" s="129">
        <f>SUM(U408:U413)</f>
        <v>6.8208333333313931</v>
      </c>
      <c r="V414" s="114">
        <f>SUM(V408:V413)</f>
        <v>1</v>
      </c>
      <c r="W414" s="159">
        <f t="shared" si="707"/>
        <v>6.8208333333313931</v>
      </c>
      <c r="X414" s="160">
        <f>SUM(X408:X413)</f>
        <v>54.829000000000001</v>
      </c>
      <c r="Y414" s="114">
        <f>SUM(Y408:Y413)</f>
        <v>0</v>
      </c>
      <c r="Z414" s="156" t="str">
        <f t="shared" si="699"/>
        <v/>
      </c>
      <c r="AN414" s="338">
        <f>SUM(AN408:AN413)</f>
        <v>0</v>
      </c>
      <c r="AO414" s="338">
        <f>SUM(AO408:AO413)</f>
        <v>54.829000000000001</v>
      </c>
      <c r="AP414" s="453"/>
    </row>
    <row r="415" spans="2:43" ht="17.45" hidden="1" customHeight="1" outlineLevel="1">
      <c r="B415" s="1103" t="s">
        <v>62</v>
      </c>
      <c r="C415" s="110" t="s">
        <v>367</v>
      </c>
      <c r="D415" s="111">
        <f t="shared" ref="D415:D430" si="711">SUMIF($B$20:$B$25,C415,$L$20:$L$25)</f>
        <v>0</v>
      </c>
      <c r="E415" s="111">
        <f t="shared" ref="E415:E430" si="712">SUMIF($B$20:$B$25,C415,$M$20:$M$25)</f>
        <v>0</v>
      </c>
      <c r="F415" s="111">
        <f t="shared" ref="F415:F430" si="713">D415+E415</f>
        <v>0</v>
      </c>
      <c r="G415" s="112" t="str">
        <f t="shared" si="701"/>
        <v/>
      </c>
      <c r="H415" s="112" t="str">
        <f t="shared" ref="H415:H425" si="714">IFERROR(E415/F415,"")</f>
        <v/>
      </c>
      <c r="I415" s="112" t="str">
        <f t="shared" ref="I415:I425" si="715">IFERROR(G415+H415,"")</f>
        <v/>
      </c>
      <c r="J415" s="111">
        <f t="shared" ref="J415:J430" si="716">SUMIF($B$20:$B$25,C415,$AX$20:$AX$25)</f>
        <v>0</v>
      </c>
      <c r="K415" s="111">
        <f t="shared" ref="K415:K430" si="717">SUMIF($B$20:$B$25,C415,$AY$20:$AY$25)</f>
        <v>0</v>
      </c>
      <c r="L415" s="111">
        <f t="shared" ref="L415:L430" si="718">J415+K415</f>
        <v>0</v>
      </c>
      <c r="O415" s="125" t="str">
        <f>C415</f>
        <v>보임코퍼레이션</v>
      </c>
      <c r="P415" s="126">
        <f t="shared" ref="P415:P430" si="719">SUMIF($B$20:$B$25,O415,$AA$20:$AA$25)</f>
        <v>0</v>
      </c>
      <c r="Q415" s="111">
        <f t="shared" ref="Q415:Q430" si="720">SUMIF($B$20:$B$25,O415,$AZ$20:$AZ$25)</f>
        <v>0</v>
      </c>
      <c r="R415" s="126" t="str">
        <f t="shared" si="705"/>
        <v/>
      </c>
      <c r="S415" s="122"/>
      <c r="T415" s="125" t="str">
        <f t="shared" ref="T415:V430" si="721">O415</f>
        <v>보임코퍼레이션</v>
      </c>
      <c r="U415" s="126">
        <f t="shared" si="721"/>
        <v>0</v>
      </c>
      <c r="V415" s="111">
        <f t="shared" si="721"/>
        <v>0</v>
      </c>
      <c r="W415" s="163" t="str">
        <f t="shared" si="707"/>
        <v/>
      </c>
      <c r="X415" s="164">
        <f t="shared" ref="X415:X430" si="722">F415/1000</f>
        <v>0</v>
      </c>
      <c r="Y415" s="111"/>
      <c r="Z415" s="158" t="str">
        <f t="shared" si="699"/>
        <v/>
      </c>
      <c r="AN415" s="335"/>
      <c r="AO415" s="336">
        <f>X415-Y415</f>
        <v>0</v>
      </c>
      <c r="AP415" s="452"/>
    </row>
    <row r="416" spans="2:43" ht="17.45" hidden="1" customHeight="1" outlineLevel="1">
      <c r="B416" s="1104"/>
      <c r="C416" s="110" t="s">
        <v>222</v>
      </c>
      <c r="D416" s="111">
        <f t="shared" si="711"/>
        <v>0</v>
      </c>
      <c r="E416" s="111">
        <f t="shared" si="712"/>
        <v>0</v>
      </c>
      <c r="F416" s="111">
        <f t="shared" si="713"/>
        <v>0</v>
      </c>
      <c r="G416" s="112" t="str">
        <f t="shared" si="701"/>
        <v/>
      </c>
      <c r="H416" s="112" t="str">
        <f t="shared" si="714"/>
        <v/>
      </c>
      <c r="I416" s="112" t="str">
        <f t="shared" si="715"/>
        <v/>
      </c>
      <c r="J416" s="111">
        <f t="shared" si="716"/>
        <v>0</v>
      </c>
      <c r="K416" s="111">
        <f t="shared" si="717"/>
        <v>0</v>
      </c>
      <c r="L416" s="111">
        <f t="shared" si="718"/>
        <v>0</v>
      </c>
      <c r="O416" s="125" t="str">
        <f>C416</f>
        <v>태경비케이</v>
      </c>
      <c r="P416" s="126">
        <f t="shared" si="719"/>
        <v>0</v>
      </c>
      <c r="Q416" s="111">
        <f t="shared" si="720"/>
        <v>0</v>
      </c>
      <c r="R416" s="126" t="str">
        <f t="shared" si="705"/>
        <v/>
      </c>
      <c r="S416" s="122"/>
      <c r="T416" s="125" t="str">
        <f t="shared" si="721"/>
        <v>태경비케이</v>
      </c>
      <c r="U416" s="126">
        <f t="shared" si="721"/>
        <v>0</v>
      </c>
      <c r="V416" s="111">
        <f t="shared" si="721"/>
        <v>0</v>
      </c>
      <c r="W416" s="163" t="str">
        <f t="shared" si="707"/>
        <v/>
      </c>
      <c r="X416" s="164">
        <f t="shared" si="722"/>
        <v>0</v>
      </c>
      <c r="Y416" s="111"/>
      <c r="Z416" s="158" t="str">
        <f t="shared" si="699"/>
        <v/>
      </c>
      <c r="AN416" s="335"/>
      <c r="AO416" s="336">
        <f>X416-Y416</f>
        <v>0</v>
      </c>
      <c r="AP416" s="452"/>
    </row>
    <row r="417" spans="2:43" ht="17.45" hidden="1" customHeight="1" outlineLevel="1">
      <c r="B417" s="1104"/>
      <c r="C417" s="110" t="s">
        <v>78</v>
      </c>
      <c r="D417" s="111">
        <f t="shared" si="711"/>
        <v>0</v>
      </c>
      <c r="E417" s="111">
        <f t="shared" si="712"/>
        <v>0</v>
      </c>
      <c r="F417" s="111">
        <f t="shared" si="713"/>
        <v>0</v>
      </c>
      <c r="G417" s="112" t="str">
        <f t="shared" si="701"/>
        <v/>
      </c>
      <c r="H417" s="112" t="str">
        <f t="shared" si="714"/>
        <v/>
      </c>
      <c r="I417" s="112" t="str">
        <f t="shared" si="715"/>
        <v/>
      </c>
      <c r="J417" s="111">
        <f t="shared" si="716"/>
        <v>0</v>
      </c>
      <c r="K417" s="111">
        <f t="shared" si="717"/>
        <v>0</v>
      </c>
      <c r="L417" s="111">
        <f t="shared" si="718"/>
        <v>0</v>
      </c>
      <c r="O417" s="125" t="str">
        <f t="shared" ref="O417:O430" si="723">C417</f>
        <v>삼영산업</v>
      </c>
      <c r="P417" s="126">
        <f t="shared" si="719"/>
        <v>0</v>
      </c>
      <c r="Q417" s="111">
        <f t="shared" si="720"/>
        <v>0</v>
      </c>
      <c r="R417" s="126" t="str">
        <f t="shared" si="705"/>
        <v/>
      </c>
      <c r="S417" s="122"/>
      <c r="T417" s="125" t="str">
        <f t="shared" si="721"/>
        <v>삼영산업</v>
      </c>
      <c r="U417" s="126">
        <f t="shared" si="721"/>
        <v>0</v>
      </c>
      <c r="V417" s="111">
        <f t="shared" si="721"/>
        <v>0</v>
      </c>
      <c r="W417" s="163" t="str">
        <f t="shared" si="707"/>
        <v/>
      </c>
      <c r="X417" s="164">
        <f t="shared" si="722"/>
        <v>0</v>
      </c>
      <c r="Y417" s="111"/>
      <c r="Z417" s="158" t="str">
        <f t="shared" si="699"/>
        <v/>
      </c>
      <c r="AN417" s="335"/>
      <c r="AO417" s="336">
        <f t="shared" ref="AO417:AO430" si="724">X417-Y417</f>
        <v>0</v>
      </c>
      <c r="AP417" s="452"/>
    </row>
    <row r="418" spans="2:43" ht="17.45" hidden="1" customHeight="1" outlineLevel="1">
      <c r="B418" s="1104"/>
      <c r="C418" s="110" t="s">
        <v>176</v>
      </c>
      <c r="D418" s="111">
        <f t="shared" si="711"/>
        <v>0</v>
      </c>
      <c r="E418" s="111">
        <f t="shared" si="712"/>
        <v>0</v>
      </c>
      <c r="F418" s="111">
        <f t="shared" si="713"/>
        <v>0</v>
      </c>
      <c r="G418" s="112" t="str">
        <f t="shared" si="701"/>
        <v/>
      </c>
      <c r="H418" s="112" t="str">
        <f t="shared" si="714"/>
        <v/>
      </c>
      <c r="I418" s="112" t="str">
        <f t="shared" si="715"/>
        <v/>
      </c>
      <c r="J418" s="111">
        <f t="shared" si="716"/>
        <v>0</v>
      </c>
      <c r="K418" s="111">
        <f t="shared" si="717"/>
        <v>0</v>
      </c>
      <c r="L418" s="111">
        <f t="shared" si="718"/>
        <v>0</v>
      </c>
      <c r="O418" s="125" t="str">
        <f t="shared" si="723"/>
        <v>고려시멘트</v>
      </c>
      <c r="P418" s="126">
        <f t="shared" si="719"/>
        <v>0</v>
      </c>
      <c r="Q418" s="111">
        <f t="shared" si="720"/>
        <v>0</v>
      </c>
      <c r="R418" s="126" t="str">
        <f t="shared" si="705"/>
        <v/>
      </c>
      <c r="S418" s="122"/>
      <c r="T418" s="125" t="str">
        <f t="shared" si="721"/>
        <v>고려시멘트</v>
      </c>
      <c r="U418" s="126">
        <f t="shared" si="721"/>
        <v>0</v>
      </c>
      <c r="V418" s="111">
        <f t="shared" si="721"/>
        <v>0</v>
      </c>
      <c r="W418" s="163" t="str">
        <f t="shared" si="707"/>
        <v/>
      </c>
      <c r="X418" s="164">
        <f t="shared" si="722"/>
        <v>0</v>
      </c>
      <c r="Y418" s="111"/>
      <c r="Z418" s="158" t="str">
        <f t="shared" si="699"/>
        <v/>
      </c>
      <c r="AN418" s="335"/>
      <c r="AO418" s="336">
        <f t="shared" si="724"/>
        <v>0</v>
      </c>
      <c r="AP418" s="452"/>
    </row>
    <row r="419" spans="2:43" ht="17.45" hidden="1" customHeight="1" outlineLevel="1">
      <c r="B419" s="1104"/>
      <c r="C419" s="110" t="s">
        <v>63</v>
      </c>
      <c r="D419" s="111">
        <f t="shared" si="711"/>
        <v>0</v>
      </c>
      <c r="E419" s="111">
        <f t="shared" si="712"/>
        <v>0</v>
      </c>
      <c r="F419" s="111">
        <f t="shared" si="713"/>
        <v>0</v>
      </c>
      <c r="G419" s="112" t="str">
        <f t="shared" si="701"/>
        <v/>
      </c>
      <c r="H419" s="112" t="str">
        <f t="shared" si="714"/>
        <v/>
      </c>
      <c r="I419" s="112" t="str">
        <f t="shared" si="715"/>
        <v/>
      </c>
      <c r="J419" s="111">
        <f t="shared" si="716"/>
        <v>0</v>
      </c>
      <c r="K419" s="111">
        <f t="shared" si="717"/>
        <v>0</v>
      </c>
      <c r="L419" s="111">
        <f t="shared" si="718"/>
        <v>0</v>
      </c>
      <c r="O419" s="125" t="str">
        <f t="shared" si="723"/>
        <v>청해실업</v>
      </c>
      <c r="P419" s="126">
        <f t="shared" si="719"/>
        <v>0</v>
      </c>
      <c r="Q419" s="111">
        <f t="shared" si="720"/>
        <v>0</v>
      </c>
      <c r="R419" s="126" t="str">
        <f t="shared" si="705"/>
        <v/>
      </c>
      <c r="S419" s="122"/>
      <c r="T419" s="125" t="str">
        <f t="shared" si="721"/>
        <v>청해실업</v>
      </c>
      <c r="U419" s="126">
        <f t="shared" si="721"/>
        <v>0</v>
      </c>
      <c r="V419" s="111">
        <f t="shared" si="721"/>
        <v>0</v>
      </c>
      <c r="W419" s="163" t="str">
        <f t="shared" si="707"/>
        <v/>
      </c>
      <c r="X419" s="164">
        <f t="shared" si="722"/>
        <v>0</v>
      </c>
      <c r="Y419" s="111"/>
      <c r="Z419" s="158" t="str">
        <f t="shared" si="699"/>
        <v/>
      </c>
      <c r="AN419" s="339"/>
      <c r="AO419" s="340">
        <f t="shared" ref="AO419" si="725">X419-AN419</f>
        <v>0</v>
      </c>
      <c r="AP419" s="454"/>
      <c r="AQ419" s="240" t="s">
        <v>30</v>
      </c>
    </row>
    <row r="420" spans="2:43" ht="17.45" hidden="1" customHeight="1" outlineLevel="1">
      <c r="B420" s="1104"/>
      <c r="C420" s="110" t="s">
        <v>64</v>
      </c>
      <c r="D420" s="111">
        <f t="shared" si="711"/>
        <v>0</v>
      </c>
      <c r="E420" s="111">
        <f t="shared" si="712"/>
        <v>0</v>
      </c>
      <c r="F420" s="111">
        <f t="shared" si="713"/>
        <v>0</v>
      </c>
      <c r="G420" s="112" t="str">
        <f t="shared" si="701"/>
        <v/>
      </c>
      <c r="H420" s="112" t="str">
        <f t="shared" si="714"/>
        <v/>
      </c>
      <c r="I420" s="112" t="str">
        <f t="shared" si="715"/>
        <v/>
      </c>
      <c r="J420" s="111">
        <f t="shared" si="716"/>
        <v>0</v>
      </c>
      <c r="K420" s="111">
        <f t="shared" si="717"/>
        <v>0</v>
      </c>
      <c r="L420" s="111">
        <f t="shared" si="718"/>
        <v>0</v>
      </c>
      <c r="O420" s="125" t="str">
        <f t="shared" si="723"/>
        <v>한화에너지</v>
      </c>
      <c r="P420" s="126">
        <f t="shared" si="719"/>
        <v>0</v>
      </c>
      <c r="Q420" s="111">
        <f t="shared" si="720"/>
        <v>0</v>
      </c>
      <c r="R420" s="126" t="str">
        <f t="shared" si="705"/>
        <v/>
      </c>
      <c r="S420" s="122"/>
      <c r="T420" s="125" t="str">
        <f t="shared" si="721"/>
        <v>한화에너지</v>
      </c>
      <c r="U420" s="126">
        <f t="shared" si="721"/>
        <v>0</v>
      </c>
      <c r="V420" s="111">
        <f t="shared" si="721"/>
        <v>0</v>
      </c>
      <c r="W420" s="163" t="str">
        <f t="shared" si="707"/>
        <v/>
      </c>
      <c r="X420" s="164">
        <f t="shared" si="722"/>
        <v>0</v>
      </c>
      <c r="Y420" s="111"/>
      <c r="Z420" s="158" t="str">
        <f t="shared" si="699"/>
        <v/>
      </c>
      <c r="AN420" s="335"/>
      <c r="AO420" s="336">
        <f t="shared" si="724"/>
        <v>0</v>
      </c>
      <c r="AP420" s="452"/>
    </row>
    <row r="421" spans="2:43" ht="17.45" hidden="1" customHeight="1" outlineLevel="1">
      <c r="B421" s="1104"/>
      <c r="C421" s="110" t="s">
        <v>178</v>
      </c>
      <c r="D421" s="111">
        <f t="shared" si="711"/>
        <v>0</v>
      </c>
      <c r="E421" s="111">
        <f t="shared" si="712"/>
        <v>0</v>
      </c>
      <c r="F421" s="111">
        <f t="shared" si="713"/>
        <v>0</v>
      </c>
      <c r="G421" s="112" t="str">
        <f t="shared" si="701"/>
        <v/>
      </c>
      <c r="H421" s="112" t="str">
        <f t="shared" si="714"/>
        <v/>
      </c>
      <c r="I421" s="112" t="str">
        <f t="shared" si="715"/>
        <v/>
      </c>
      <c r="J421" s="111">
        <f t="shared" si="716"/>
        <v>0</v>
      </c>
      <c r="K421" s="111">
        <f t="shared" si="717"/>
        <v>0</v>
      </c>
      <c r="L421" s="111">
        <f t="shared" si="718"/>
        <v>0</v>
      </c>
      <c r="O421" s="125" t="str">
        <f t="shared" si="723"/>
        <v>금호석유화학</v>
      </c>
      <c r="P421" s="126">
        <f t="shared" si="719"/>
        <v>0</v>
      </c>
      <c r="Q421" s="111">
        <f t="shared" si="720"/>
        <v>0</v>
      </c>
      <c r="R421" s="126" t="str">
        <f t="shared" si="705"/>
        <v/>
      </c>
      <c r="S421" s="122"/>
      <c r="T421" s="125" t="str">
        <f t="shared" si="721"/>
        <v>금호석유화학</v>
      </c>
      <c r="U421" s="126">
        <f t="shared" si="721"/>
        <v>0</v>
      </c>
      <c r="V421" s="111">
        <f t="shared" si="721"/>
        <v>0</v>
      </c>
      <c r="W421" s="163" t="str">
        <f t="shared" si="707"/>
        <v/>
      </c>
      <c r="X421" s="164">
        <f t="shared" si="722"/>
        <v>0</v>
      </c>
      <c r="Y421" s="111"/>
      <c r="Z421" s="158" t="str">
        <f t="shared" si="699"/>
        <v/>
      </c>
      <c r="AN421" s="335"/>
      <c r="AO421" s="336">
        <f t="shared" si="724"/>
        <v>0</v>
      </c>
      <c r="AP421" s="452"/>
    </row>
    <row r="422" spans="2:43" ht="17.45" hidden="1" customHeight="1" outlineLevel="1">
      <c r="B422" s="1104"/>
      <c r="C422" s="110" t="s">
        <v>65</v>
      </c>
      <c r="D422" s="111">
        <f t="shared" si="711"/>
        <v>0</v>
      </c>
      <c r="E422" s="111">
        <f t="shared" si="712"/>
        <v>0</v>
      </c>
      <c r="F422" s="111">
        <f t="shared" si="713"/>
        <v>0</v>
      </c>
      <c r="G422" s="112" t="str">
        <f t="shared" si="701"/>
        <v/>
      </c>
      <c r="H422" s="112" t="str">
        <f t="shared" si="714"/>
        <v/>
      </c>
      <c r="I422" s="112" t="str">
        <f t="shared" si="715"/>
        <v/>
      </c>
      <c r="J422" s="111">
        <f t="shared" si="716"/>
        <v>0</v>
      </c>
      <c r="K422" s="111">
        <f t="shared" si="717"/>
        <v>0</v>
      </c>
      <c r="L422" s="111">
        <f t="shared" si="718"/>
        <v>0</v>
      </c>
      <c r="O422" s="125" t="str">
        <f t="shared" si="723"/>
        <v>LG상사</v>
      </c>
      <c r="P422" s="126">
        <f t="shared" si="719"/>
        <v>0</v>
      </c>
      <c r="Q422" s="111">
        <f t="shared" si="720"/>
        <v>0</v>
      </c>
      <c r="R422" s="126" t="str">
        <f t="shared" si="705"/>
        <v/>
      </c>
      <c r="S422" s="122"/>
      <c r="T422" s="125" t="str">
        <f t="shared" si="721"/>
        <v>LG상사</v>
      </c>
      <c r="U422" s="126">
        <f t="shared" si="721"/>
        <v>0</v>
      </c>
      <c r="V422" s="111">
        <f t="shared" si="721"/>
        <v>0</v>
      </c>
      <c r="W422" s="163" t="str">
        <f t="shared" si="707"/>
        <v/>
      </c>
      <c r="X422" s="164">
        <f t="shared" si="722"/>
        <v>0</v>
      </c>
      <c r="Y422" s="111"/>
      <c r="Z422" s="158" t="str">
        <f t="shared" si="699"/>
        <v/>
      </c>
      <c r="AN422" s="335"/>
      <c r="AO422" s="336">
        <f t="shared" si="724"/>
        <v>0</v>
      </c>
      <c r="AP422" s="452"/>
    </row>
    <row r="423" spans="2:43" ht="17.45" hidden="1" customHeight="1" outlineLevel="1">
      <c r="B423" s="1104"/>
      <c r="C423" s="110" t="s">
        <v>66</v>
      </c>
      <c r="D423" s="111">
        <f t="shared" si="711"/>
        <v>0</v>
      </c>
      <c r="E423" s="111">
        <f t="shared" si="712"/>
        <v>0</v>
      </c>
      <c r="F423" s="111">
        <f t="shared" si="713"/>
        <v>0</v>
      </c>
      <c r="G423" s="112" t="str">
        <f>IFERROR(D423/F423,"")</f>
        <v/>
      </c>
      <c r="H423" s="112" t="str">
        <f t="shared" si="714"/>
        <v/>
      </c>
      <c r="I423" s="112" t="str">
        <f t="shared" si="715"/>
        <v/>
      </c>
      <c r="J423" s="111">
        <f t="shared" si="716"/>
        <v>0</v>
      </c>
      <c r="K423" s="111">
        <f t="shared" si="717"/>
        <v>0</v>
      </c>
      <c r="L423" s="111">
        <f t="shared" si="718"/>
        <v>0</v>
      </c>
      <c r="O423" s="125" t="str">
        <f t="shared" si="723"/>
        <v>LG화학</v>
      </c>
      <c r="P423" s="126">
        <f t="shared" si="719"/>
        <v>0</v>
      </c>
      <c r="Q423" s="111">
        <f t="shared" si="720"/>
        <v>0</v>
      </c>
      <c r="R423" s="126" t="str">
        <f t="shared" si="705"/>
        <v/>
      </c>
      <c r="S423" s="122"/>
      <c r="T423" s="125" t="str">
        <f t="shared" si="721"/>
        <v>LG화학</v>
      </c>
      <c r="U423" s="126">
        <f t="shared" si="721"/>
        <v>0</v>
      </c>
      <c r="V423" s="111">
        <f t="shared" si="721"/>
        <v>0</v>
      </c>
      <c r="W423" s="163" t="str">
        <f t="shared" si="707"/>
        <v/>
      </c>
      <c r="X423" s="164">
        <f t="shared" si="722"/>
        <v>0</v>
      </c>
      <c r="Y423" s="111"/>
      <c r="Z423" s="158" t="str">
        <f t="shared" si="699"/>
        <v/>
      </c>
      <c r="AN423" s="335"/>
      <c r="AO423" s="336">
        <f t="shared" si="724"/>
        <v>0</v>
      </c>
      <c r="AP423" s="452"/>
    </row>
    <row r="424" spans="2:43" ht="17.45" hidden="1" customHeight="1" outlineLevel="1">
      <c r="B424" s="1104"/>
      <c r="C424" s="110" t="s">
        <v>67</v>
      </c>
      <c r="D424" s="111">
        <f t="shared" si="711"/>
        <v>40041</v>
      </c>
      <c r="E424" s="111">
        <f t="shared" si="712"/>
        <v>0</v>
      </c>
      <c r="F424" s="111">
        <f t="shared" si="713"/>
        <v>40041</v>
      </c>
      <c r="G424" s="112">
        <f t="shared" ref="G424:G432" si="726">IFERROR(D424/F424,"")</f>
        <v>1</v>
      </c>
      <c r="H424" s="112">
        <f t="shared" si="714"/>
        <v>0</v>
      </c>
      <c r="I424" s="112">
        <f t="shared" si="715"/>
        <v>1</v>
      </c>
      <c r="J424" s="111">
        <f t="shared" si="716"/>
        <v>1</v>
      </c>
      <c r="K424" s="111">
        <f t="shared" si="717"/>
        <v>0</v>
      </c>
      <c r="L424" s="111">
        <f t="shared" si="718"/>
        <v>1</v>
      </c>
      <c r="O424" s="125" t="str">
        <f t="shared" si="723"/>
        <v>OCI SE</v>
      </c>
      <c r="P424" s="126">
        <f t="shared" si="719"/>
        <v>8.7500000001455192E-2</v>
      </c>
      <c r="Q424" s="111">
        <f t="shared" si="720"/>
        <v>1</v>
      </c>
      <c r="R424" s="126">
        <f t="shared" si="705"/>
        <v>8.7500000001455192E-2</v>
      </c>
      <c r="S424" s="122"/>
      <c r="T424" s="125" t="str">
        <f t="shared" si="721"/>
        <v>OCI SE</v>
      </c>
      <c r="U424" s="126">
        <f t="shared" si="721"/>
        <v>8.7500000001455192E-2</v>
      </c>
      <c r="V424" s="111">
        <f t="shared" si="721"/>
        <v>1</v>
      </c>
      <c r="W424" s="163">
        <f t="shared" si="707"/>
        <v>8.7500000001455192E-2</v>
      </c>
      <c r="X424" s="164">
        <f t="shared" si="722"/>
        <v>40.040999999999997</v>
      </c>
      <c r="Y424" s="111"/>
      <c r="Z424" s="158" t="str">
        <f t="shared" si="699"/>
        <v/>
      </c>
      <c r="AN424" s="335"/>
      <c r="AO424" s="336">
        <f t="shared" si="724"/>
        <v>40.040999999999997</v>
      </c>
      <c r="AP424" s="452"/>
    </row>
    <row r="425" spans="2:43" ht="17.45" hidden="1" customHeight="1" outlineLevel="1">
      <c r="B425" s="1104"/>
      <c r="C425" s="110" t="s">
        <v>37</v>
      </c>
      <c r="D425" s="111">
        <f t="shared" si="711"/>
        <v>0</v>
      </c>
      <c r="E425" s="111">
        <f t="shared" si="712"/>
        <v>0</v>
      </c>
      <c r="F425" s="111">
        <f t="shared" si="713"/>
        <v>0</v>
      </c>
      <c r="G425" s="112" t="str">
        <f t="shared" si="726"/>
        <v/>
      </c>
      <c r="H425" s="112" t="str">
        <f t="shared" si="714"/>
        <v/>
      </c>
      <c r="I425" s="112" t="str">
        <f t="shared" si="715"/>
        <v/>
      </c>
      <c r="J425" s="111">
        <f t="shared" si="716"/>
        <v>0</v>
      </c>
      <c r="K425" s="111">
        <f t="shared" si="717"/>
        <v>0</v>
      </c>
      <c r="L425" s="111">
        <f t="shared" si="718"/>
        <v>0</v>
      </c>
      <c r="O425" s="125" t="str">
        <f t="shared" si="723"/>
        <v>청해소재</v>
      </c>
      <c r="P425" s="126">
        <f t="shared" si="719"/>
        <v>0</v>
      </c>
      <c r="Q425" s="111">
        <f t="shared" si="720"/>
        <v>0</v>
      </c>
      <c r="R425" s="126" t="str">
        <f t="shared" si="705"/>
        <v/>
      </c>
      <c r="S425" s="122"/>
      <c r="T425" s="125" t="str">
        <f t="shared" si="721"/>
        <v>청해소재</v>
      </c>
      <c r="U425" s="126">
        <f t="shared" si="721"/>
        <v>0</v>
      </c>
      <c r="V425" s="111">
        <f t="shared" si="721"/>
        <v>0</v>
      </c>
      <c r="W425" s="163" t="str">
        <f t="shared" si="707"/>
        <v/>
      </c>
      <c r="X425" s="164">
        <f>F425/1000</f>
        <v>0</v>
      </c>
      <c r="Y425" s="111"/>
      <c r="Z425" s="158" t="str">
        <f>IFERROR(IF(X425=0,"",X425/Y425),"")</f>
        <v/>
      </c>
      <c r="AN425" s="335"/>
      <c r="AO425" s="336">
        <f t="shared" si="724"/>
        <v>0</v>
      </c>
      <c r="AP425" s="452"/>
      <c r="AQ425" s="240" t="s">
        <v>157</v>
      </c>
    </row>
    <row r="426" spans="2:43" ht="17.45" hidden="1" customHeight="1" outlineLevel="1">
      <c r="B426" s="1104"/>
      <c r="C426" s="110" t="s">
        <v>365</v>
      </c>
      <c r="D426" s="111">
        <f t="shared" si="711"/>
        <v>0</v>
      </c>
      <c r="E426" s="111">
        <f t="shared" si="712"/>
        <v>0</v>
      </c>
      <c r="F426" s="111">
        <f t="shared" si="713"/>
        <v>0</v>
      </c>
      <c r="G426" s="112" t="str">
        <f t="shared" si="726"/>
        <v/>
      </c>
      <c r="H426" s="112" t="str">
        <f>IFERROR(E426/F426,"")</f>
        <v/>
      </c>
      <c r="I426" s="112" t="str">
        <f>IFERROR(G426+H426,"")</f>
        <v/>
      </c>
      <c r="J426" s="111">
        <f t="shared" si="716"/>
        <v>0</v>
      </c>
      <c r="K426" s="111">
        <f t="shared" si="717"/>
        <v>0</v>
      </c>
      <c r="L426" s="111">
        <f t="shared" si="718"/>
        <v>0</v>
      </c>
      <c r="O426" s="125" t="str">
        <f t="shared" si="723"/>
        <v>김천에너지</v>
      </c>
      <c r="P426" s="126">
        <f t="shared" si="719"/>
        <v>0</v>
      </c>
      <c r="Q426" s="111">
        <f t="shared" si="720"/>
        <v>0</v>
      </c>
      <c r="R426" s="126" t="str">
        <f t="shared" si="705"/>
        <v/>
      </c>
      <c r="S426" s="122"/>
      <c r="T426" s="125" t="str">
        <f t="shared" si="721"/>
        <v>김천에너지</v>
      </c>
      <c r="U426" s="126">
        <f t="shared" si="721"/>
        <v>0</v>
      </c>
      <c r="V426" s="111">
        <f t="shared" si="721"/>
        <v>0</v>
      </c>
      <c r="W426" s="163" t="str">
        <f t="shared" si="707"/>
        <v/>
      </c>
      <c r="X426" s="164">
        <f t="shared" si="722"/>
        <v>0</v>
      </c>
      <c r="Y426" s="111"/>
      <c r="Z426" s="158" t="str">
        <f t="shared" ref="Z426:Z435" si="727">IFERROR(IF(X426=0,"",X426/Y426),"")</f>
        <v/>
      </c>
      <c r="AN426" s="335"/>
      <c r="AO426" s="336">
        <f t="shared" si="724"/>
        <v>0</v>
      </c>
      <c r="AP426" s="452"/>
    </row>
    <row r="427" spans="2:43" ht="17.45" hidden="1" customHeight="1" outlineLevel="1">
      <c r="B427" s="1104"/>
      <c r="C427" s="110" t="s">
        <v>107</v>
      </c>
      <c r="D427" s="111">
        <f t="shared" si="711"/>
        <v>0</v>
      </c>
      <c r="E427" s="111">
        <f t="shared" si="712"/>
        <v>0</v>
      </c>
      <c r="F427" s="111">
        <f t="shared" si="713"/>
        <v>0</v>
      </c>
      <c r="G427" s="112" t="str">
        <f t="shared" si="726"/>
        <v/>
      </c>
      <c r="H427" s="112" t="str">
        <f t="shared" ref="H427:H430" si="728">IFERROR(E427/F427,"")</f>
        <v/>
      </c>
      <c r="I427" s="112" t="str">
        <f t="shared" ref="I427:I430" si="729">IFERROR(G427+H427,"")</f>
        <v/>
      </c>
      <c r="J427" s="111">
        <f t="shared" si="716"/>
        <v>0</v>
      </c>
      <c r="K427" s="111">
        <f t="shared" si="717"/>
        <v>0</v>
      </c>
      <c r="L427" s="111">
        <f t="shared" si="718"/>
        <v>0</v>
      </c>
      <c r="O427" s="125" t="str">
        <f t="shared" si="723"/>
        <v>대구염색공단</v>
      </c>
      <c r="P427" s="126">
        <f t="shared" si="719"/>
        <v>0</v>
      </c>
      <c r="Q427" s="111">
        <f t="shared" si="720"/>
        <v>0</v>
      </c>
      <c r="R427" s="126" t="str">
        <f t="shared" si="705"/>
        <v/>
      </c>
      <c r="S427" s="122"/>
      <c r="T427" s="125" t="str">
        <f t="shared" si="721"/>
        <v>대구염색공단</v>
      </c>
      <c r="U427" s="126">
        <f t="shared" si="721"/>
        <v>0</v>
      </c>
      <c r="V427" s="111">
        <f t="shared" si="721"/>
        <v>0</v>
      </c>
      <c r="W427" s="163" t="str">
        <f t="shared" si="707"/>
        <v/>
      </c>
      <c r="X427" s="164">
        <f t="shared" si="722"/>
        <v>0</v>
      </c>
      <c r="Y427" s="111"/>
      <c r="Z427" s="158" t="str">
        <f t="shared" si="727"/>
        <v/>
      </c>
      <c r="AN427" s="335"/>
      <c r="AO427" s="336">
        <f t="shared" si="724"/>
        <v>0</v>
      </c>
      <c r="AP427" s="452"/>
    </row>
    <row r="428" spans="2:43" ht="17.45" hidden="1" customHeight="1" outlineLevel="1">
      <c r="B428" s="1104"/>
      <c r="C428" s="110" t="s">
        <v>108</v>
      </c>
      <c r="D428" s="111">
        <f t="shared" si="711"/>
        <v>0</v>
      </c>
      <c r="E428" s="111">
        <f t="shared" si="712"/>
        <v>0</v>
      </c>
      <c r="F428" s="111">
        <f t="shared" si="713"/>
        <v>0</v>
      </c>
      <c r="G428" s="112" t="str">
        <f t="shared" si="726"/>
        <v/>
      </c>
      <c r="H428" s="112" t="str">
        <f t="shared" si="728"/>
        <v/>
      </c>
      <c r="I428" s="112" t="str">
        <f t="shared" si="729"/>
        <v/>
      </c>
      <c r="J428" s="111">
        <f t="shared" si="716"/>
        <v>0</v>
      </c>
      <c r="K428" s="111">
        <f t="shared" si="717"/>
        <v>0</v>
      </c>
      <c r="L428" s="111">
        <f t="shared" si="718"/>
        <v>0</v>
      </c>
      <c r="O428" s="125" t="str">
        <f t="shared" si="723"/>
        <v>SNNC(니켈)</v>
      </c>
      <c r="P428" s="126">
        <f t="shared" si="719"/>
        <v>0</v>
      </c>
      <c r="Q428" s="111">
        <f t="shared" si="720"/>
        <v>0</v>
      </c>
      <c r="R428" s="126" t="str">
        <f t="shared" si="705"/>
        <v/>
      </c>
      <c r="S428" s="122"/>
      <c r="T428" s="125" t="str">
        <f t="shared" si="721"/>
        <v>SNNC(니켈)</v>
      </c>
      <c r="U428" s="126">
        <f t="shared" si="721"/>
        <v>0</v>
      </c>
      <c r="V428" s="111">
        <f t="shared" si="721"/>
        <v>0</v>
      </c>
      <c r="W428" s="163" t="str">
        <f t="shared" si="707"/>
        <v/>
      </c>
      <c r="X428" s="164">
        <f t="shared" si="722"/>
        <v>0</v>
      </c>
      <c r="Y428" s="111"/>
      <c r="Z428" s="158" t="str">
        <f t="shared" si="727"/>
        <v/>
      </c>
      <c r="AN428" s="335"/>
      <c r="AO428" s="336">
        <f t="shared" si="724"/>
        <v>0</v>
      </c>
      <c r="AP428" s="452"/>
    </row>
    <row r="429" spans="2:43" ht="17.45" hidden="1" customHeight="1" outlineLevel="1">
      <c r="B429" s="1104"/>
      <c r="C429" s="110" t="s">
        <v>130</v>
      </c>
      <c r="D429" s="111">
        <f t="shared" si="711"/>
        <v>0</v>
      </c>
      <c r="E429" s="111">
        <f t="shared" si="712"/>
        <v>0</v>
      </c>
      <c r="F429" s="111">
        <f t="shared" si="713"/>
        <v>0</v>
      </c>
      <c r="G429" s="112" t="str">
        <f t="shared" si="726"/>
        <v/>
      </c>
      <c r="H429" s="112" t="str">
        <f t="shared" si="728"/>
        <v/>
      </c>
      <c r="I429" s="112" t="str">
        <f t="shared" si="729"/>
        <v/>
      </c>
      <c r="J429" s="111">
        <f t="shared" si="716"/>
        <v>0</v>
      </c>
      <c r="K429" s="111">
        <f t="shared" si="717"/>
        <v>0</v>
      </c>
      <c r="L429" s="111">
        <f t="shared" si="718"/>
        <v>0</v>
      </c>
      <c r="O429" s="125" t="str">
        <f t="shared" si="723"/>
        <v>SK-N(고려시멘트)</v>
      </c>
      <c r="P429" s="126">
        <f t="shared" si="719"/>
        <v>0</v>
      </c>
      <c r="Q429" s="111">
        <f t="shared" si="720"/>
        <v>0</v>
      </c>
      <c r="R429" s="126" t="str">
        <f t="shared" si="705"/>
        <v/>
      </c>
      <c r="S429" s="122"/>
      <c r="T429" s="125" t="str">
        <f t="shared" si="721"/>
        <v>SK-N(고려시멘트)</v>
      </c>
      <c r="U429" s="126">
        <f t="shared" si="721"/>
        <v>0</v>
      </c>
      <c r="V429" s="111">
        <f t="shared" si="721"/>
        <v>0</v>
      </c>
      <c r="W429" s="163" t="str">
        <f t="shared" si="707"/>
        <v/>
      </c>
      <c r="X429" s="164">
        <f t="shared" si="722"/>
        <v>0</v>
      </c>
      <c r="Y429" s="111"/>
      <c r="Z429" s="158" t="str">
        <f t="shared" si="727"/>
        <v/>
      </c>
      <c r="AN429" s="335"/>
      <c r="AO429" s="336">
        <f t="shared" si="724"/>
        <v>0</v>
      </c>
      <c r="AP429" s="452"/>
    </row>
    <row r="430" spans="2:43" ht="17.45" hidden="1" customHeight="1" outlineLevel="1">
      <c r="B430" s="1104"/>
      <c r="C430" s="110" t="s">
        <v>68</v>
      </c>
      <c r="D430" s="111">
        <f t="shared" si="711"/>
        <v>0</v>
      </c>
      <c r="E430" s="111">
        <f t="shared" si="712"/>
        <v>0</v>
      </c>
      <c r="F430" s="111">
        <f t="shared" si="713"/>
        <v>0</v>
      </c>
      <c r="G430" s="112" t="str">
        <f t="shared" si="726"/>
        <v/>
      </c>
      <c r="H430" s="112" t="str">
        <f t="shared" si="728"/>
        <v/>
      </c>
      <c r="I430" s="112" t="str">
        <f t="shared" si="729"/>
        <v/>
      </c>
      <c r="J430" s="111">
        <f t="shared" si="716"/>
        <v>0</v>
      </c>
      <c r="K430" s="111">
        <f t="shared" si="717"/>
        <v>0</v>
      </c>
      <c r="L430" s="111">
        <f t="shared" si="718"/>
        <v>0</v>
      </c>
      <c r="O430" s="125" t="str">
        <f t="shared" si="723"/>
        <v>SNNC</v>
      </c>
      <c r="P430" s="126">
        <f t="shared" si="719"/>
        <v>0</v>
      </c>
      <c r="Q430" s="111">
        <f t="shared" si="720"/>
        <v>0</v>
      </c>
      <c r="R430" s="126" t="str">
        <f t="shared" si="705"/>
        <v/>
      </c>
      <c r="S430" s="122"/>
      <c r="T430" s="125" t="str">
        <f t="shared" si="721"/>
        <v>SNNC</v>
      </c>
      <c r="U430" s="126">
        <f t="shared" si="721"/>
        <v>0</v>
      </c>
      <c r="V430" s="111">
        <f t="shared" si="721"/>
        <v>0</v>
      </c>
      <c r="W430" s="163" t="str">
        <f t="shared" si="707"/>
        <v/>
      </c>
      <c r="X430" s="164">
        <f t="shared" si="722"/>
        <v>0</v>
      </c>
      <c r="Y430" s="111"/>
      <c r="Z430" s="158" t="str">
        <f t="shared" si="727"/>
        <v/>
      </c>
      <c r="AN430" s="335"/>
      <c r="AO430" s="336">
        <f t="shared" si="724"/>
        <v>0</v>
      </c>
      <c r="AP430" s="452"/>
    </row>
    <row r="431" spans="2:43" ht="17.45" hidden="1" customHeight="1" outlineLevel="1" thickBot="1">
      <c r="B431" s="1105"/>
      <c r="C431" s="113" t="s">
        <v>61</v>
      </c>
      <c r="D431" s="114">
        <f>SUM(D415:D430)</f>
        <v>40041</v>
      </c>
      <c r="E431" s="179">
        <f>SUM(E415:E430)</f>
        <v>0</v>
      </c>
      <c r="F431" s="114">
        <f>SUM(F415:F430)</f>
        <v>40041</v>
      </c>
      <c r="G431" s="115">
        <f t="shared" si="726"/>
        <v>1</v>
      </c>
      <c r="H431" s="185">
        <f>IFERROR(E431/F431,"")</f>
        <v>0</v>
      </c>
      <c r="I431" s="115">
        <f>IFERROR(G431+H431,"")</f>
        <v>1</v>
      </c>
      <c r="J431" s="114">
        <f>SUM(J415:J430)</f>
        <v>1</v>
      </c>
      <c r="K431" s="114">
        <f>SUM(K415:K430)</f>
        <v>0</v>
      </c>
      <c r="L431" s="114">
        <f t="shared" ref="L431" si="730">SUM(L416:L430)</f>
        <v>1</v>
      </c>
      <c r="O431" s="128" t="s">
        <v>61</v>
      </c>
      <c r="P431" s="129">
        <f>SUM(P416:P430)</f>
        <v>8.7500000001455192E-2</v>
      </c>
      <c r="Q431" s="114">
        <f>SUM(Q415:Q430)</f>
        <v>1</v>
      </c>
      <c r="R431" s="129">
        <f>IFERROR(P431/Q431,"")</f>
        <v>8.7500000001455192E-2</v>
      </c>
      <c r="S431" s="122"/>
      <c r="T431" s="128" t="s">
        <v>61</v>
      </c>
      <c r="U431" s="129">
        <f>SUM(U416:U430)</f>
        <v>8.7500000001455192E-2</v>
      </c>
      <c r="V431" s="114">
        <f>SUM(V415:V430)</f>
        <v>1</v>
      </c>
      <c r="W431" s="161">
        <f>IFERROR(U431/V431,"")</f>
        <v>8.7500000001455192E-2</v>
      </c>
      <c r="X431" s="171">
        <f>SUM(X415:X430)</f>
        <v>40.040999999999997</v>
      </c>
      <c r="Y431" s="114">
        <f>SUM(Y415:Y430)</f>
        <v>0</v>
      </c>
      <c r="Z431" s="176" t="str">
        <f>IFERROR(IF(X431=0,"",X431/Y431),"")</f>
        <v/>
      </c>
      <c r="AN431" s="341">
        <f>SUM(AN415:AN430)</f>
        <v>0</v>
      </c>
      <c r="AO431" s="341">
        <f>SUM(AO415:AO430)</f>
        <v>40.040999999999997</v>
      </c>
      <c r="AP431" s="455"/>
    </row>
    <row r="432" spans="2:43" ht="17.45" hidden="1" customHeight="1" outlineLevel="1" thickBot="1">
      <c r="B432" s="1106" t="s">
        <v>57</v>
      </c>
      <c r="C432" s="1106"/>
      <c r="D432" s="147">
        <f>SUM(D431,D414)</f>
        <v>40041</v>
      </c>
      <c r="E432" s="182">
        <f>SUM(E431,E414)</f>
        <v>54829</v>
      </c>
      <c r="F432" s="149">
        <f>SUM(F431,F414)</f>
        <v>94870</v>
      </c>
      <c r="G432" s="183">
        <f t="shared" si="726"/>
        <v>0.4220617687361653</v>
      </c>
      <c r="H432" s="186">
        <f>IFERROR(E432/F432,"")</f>
        <v>0.5779382312638347</v>
      </c>
      <c r="I432" s="184">
        <f>IFERROR(G432+H432,"")</f>
        <v>1</v>
      </c>
      <c r="J432" s="116">
        <f t="shared" ref="J432:L432" si="731">SUM(J431,J414)</f>
        <v>1</v>
      </c>
      <c r="K432" s="116">
        <f t="shared" si="731"/>
        <v>1</v>
      </c>
      <c r="L432" s="116">
        <f t="shared" si="731"/>
        <v>2</v>
      </c>
      <c r="O432" s="131" t="s">
        <v>79</v>
      </c>
      <c r="P432" s="132">
        <f>SUM(P431,P414)</f>
        <v>6.9083333333328483</v>
      </c>
      <c r="Q432" s="116">
        <f>SUM(Q431,Q414)</f>
        <v>2</v>
      </c>
      <c r="R432" s="132">
        <f>IFERROR(P432/Q432,"")</f>
        <v>3.4541666666664241</v>
      </c>
      <c r="S432" s="122"/>
      <c r="T432" s="131" t="s">
        <v>76</v>
      </c>
      <c r="U432" s="132">
        <f>SUM(U431,U414)</f>
        <v>6.9083333333328483</v>
      </c>
      <c r="V432" s="147">
        <f>SUM(V431,V414)</f>
        <v>2</v>
      </c>
      <c r="W432" s="173">
        <f t="shared" ref="W432:W433" si="732">IFERROR(U432/V432,"")</f>
        <v>3.4541666666664241</v>
      </c>
      <c r="X432" s="174">
        <f>SUM(X414,X431)</f>
        <v>94.87</v>
      </c>
      <c r="Y432" s="175">
        <f>SUM(Y414,Y431)</f>
        <v>0</v>
      </c>
      <c r="Z432" s="178" t="str">
        <f t="shared" si="727"/>
        <v/>
      </c>
      <c r="AN432" s="342">
        <f>SUM(AN414,AN431)</f>
        <v>0</v>
      </c>
      <c r="AO432" s="342">
        <f>SUM(AO414,AO431)</f>
        <v>94.87</v>
      </c>
      <c r="AP432" s="456"/>
    </row>
    <row r="433" spans="2:43" ht="17.45" hidden="1" customHeight="1" outlineLevel="1">
      <c r="D433" s="343" t="str">
        <f>IF(D432=L25,"","CHECK")</f>
        <v/>
      </c>
      <c r="E433" s="343" t="str">
        <f>IF(E432=M25,"","CHECK")</f>
        <v/>
      </c>
      <c r="F433" s="343" t="str">
        <f>IF(F432=N25,"","CHECK")</f>
        <v/>
      </c>
      <c r="O433" s="134" t="s">
        <v>77</v>
      </c>
      <c r="P433" s="126"/>
      <c r="Q433" s="126"/>
      <c r="R433" s="126" t="str">
        <f>IFERROR(P433/Q433,"")</f>
        <v/>
      </c>
      <c r="S433" s="122"/>
      <c r="T433" s="134" t="s">
        <v>77</v>
      </c>
      <c r="U433" s="126"/>
      <c r="V433" s="111"/>
      <c r="W433" s="165" t="str">
        <f t="shared" si="732"/>
        <v/>
      </c>
      <c r="X433" s="172"/>
      <c r="Y433" s="126"/>
      <c r="Z433" s="177" t="str">
        <f t="shared" si="727"/>
        <v/>
      </c>
      <c r="AN433" s="335"/>
      <c r="AO433" s="336">
        <f t="shared" ref="AO433:AO434" si="733">X433-Y433</f>
        <v>0</v>
      </c>
      <c r="AP433" s="452"/>
    </row>
    <row r="434" spans="2:43" ht="17.45" hidden="1" customHeight="1" outlineLevel="1" thickBot="1">
      <c r="T434" s="345" t="s">
        <v>109</v>
      </c>
      <c r="U434" s="345"/>
      <c r="V434" s="328"/>
      <c r="W434" s="346"/>
      <c r="X434" s="349">
        <f>G449</f>
        <v>5.4759799999999998</v>
      </c>
      <c r="Y434" s="347"/>
      <c r="Z434" s="158" t="str">
        <f t="shared" si="727"/>
        <v/>
      </c>
      <c r="AN434" s="335"/>
      <c r="AO434" s="336">
        <f t="shared" si="733"/>
        <v>5.4759799999999998</v>
      </c>
      <c r="AP434" s="452"/>
    </row>
    <row r="435" spans="2:43" ht="17.45" hidden="1" customHeight="1" outlineLevel="1" thickBot="1">
      <c r="B435" s="1173" t="s">
        <v>80</v>
      </c>
      <c r="C435" s="1177" t="s">
        <v>52</v>
      </c>
      <c r="D435" s="1177"/>
      <c r="E435" s="1177"/>
      <c r="F435" s="1177" t="s">
        <v>73</v>
      </c>
      <c r="G435" s="1177" t="s">
        <v>75</v>
      </c>
      <c r="H435" s="1177" t="s">
        <v>95</v>
      </c>
      <c r="I435" s="119"/>
      <c r="J435" s="1173" t="s">
        <v>132</v>
      </c>
      <c r="K435" s="1174" t="s">
        <v>124</v>
      </c>
      <c r="L435" s="1174"/>
      <c r="M435" s="1174"/>
      <c r="N435" s="1174" t="s">
        <v>75</v>
      </c>
      <c r="O435" s="1174"/>
      <c r="P435" s="1174"/>
      <c r="Q435" s="1175" t="s">
        <v>72</v>
      </c>
      <c r="R435" s="1175" t="s">
        <v>73</v>
      </c>
      <c r="S435" s="1175" t="s">
        <v>74</v>
      </c>
      <c r="T435" s="350" t="s">
        <v>110</v>
      </c>
      <c r="U435" s="350"/>
      <c r="V435" s="351"/>
      <c r="W435" s="352"/>
      <c r="X435" s="353">
        <f>SUM(X432,X433,X434)</f>
        <v>100.34598</v>
      </c>
      <c r="Y435" s="354">
        <f>SUM(Y432,Y434)</f>
        <v>0</v>
      </c>
      <c r="Z435" s="187" t="str">
        <f t="shared" si="727"/>
        <v/>
      </c>
      <c r="AN435" s="342">
        <f>SUM(AN432,AN434)</f>
        <v>0</v>
      </c>
      <c r="AO435" s="342">
        <f>SUM(AO432,AO434)</f>
        <v>100.34598</v>
      </c>
      <c r="AP435" s="456"/>
    </row>
    <row r="436" spans="2:43" ht="17.45" hidden="1" customHeight="1" outlineLevel="1">
      <c r="B436" s="1173"/>
      <c r="C436" s="628" t="s">
        <v>55</v>
      </c>
      <c r="D436" s="628" t="s">
        <v>56</v>
      </c>
      <c r="E436" s="628" t="s">
        <v>57</v>
      </c>
      <c r="F436" s="1177"/>
      <c r="G436" s="1177"/>
      <c r="H436" s="1177"/>
      <c r="I436" s="119"/>
      <c r="J436" s="1173"/>
      <c r="K436" s="627" t="s">
        <v>125</v>
      </c>
      <c r="L436" s="627" t="s">
        <v>126</v>
      </c>
      <c r="M436" s="627" t="s">
        <v>123</v>
      </c>
      <c r="N436" s="627" t="s">
        <v>125</v>
      </c>
      <c r="O436" s="627" t="s">
        <v>126</v>
      </c>
      <c r="P436" s="627" t="s">
        <v>123</v>
      </c>
      <c r="Q436" s="1176"/>
      <c r="R436" s="1176"/>
      <c r="S436" s="1176"/>
      <c r="T436" s="57"/>
      <c r="U436" s="57"/>
      <c r="V436" s="57"/>
      <c r="W436" s="57"/>
      <c r="X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57"/>
      <c r="AP436" s="57"/>
      <c r="AQ436" s="57"/>
    </row>
    <row r="437" spans="2:43" ht="17.45" hidden="1" customHeight="1" outlineLevel="1">
      <c r="B437" s="139" t="s">
        <v>81</v>
      </c>
      <c r="C437" s="111">
        <f t="shared" ref="C437:C447" si="734">SUMIF($R$20:$R$25,B437,$L$20:$L$25)</f>
        <v>0</v>
      </c>
      <c r="D437" s="111">
        <f t="shared" ref="D437:D447" si="735">SUMIF($R$20:$R$25,B437,$M$20:$M$25)</f>
        <v>54829</v>
      </c>
      <c r="E437" s="111">
        <f>C437+D437</f>
        <v>54829</v>
      </c>
      <c r="F437" s="111">
        <f t="shared" ref="F437:F447" si="736">SUMIF($R$20:$R$25,B437,$AZ$20:$AZ$25)</f>
        <v>1</v>
      </c>
      <c r="G437" s="111">
        <f>E437/1000</f>
        <v>54.829000000000001</v>
      </c>
      <c r="H437" s="111"/>
      <c r="I437" s="119"/>
      <c r="J437" s="139" t="s">
        <v>117</v>
      </c>
      <c r="K437" s="111">
        <f t="shared" ref="K437:K444" si="737">SUMIF($Q$20:$Q$25,J437,$L$20:$L$25)</f>
        <v>0</v>
      </c>
      <c r="L437" s="111">
        <f t="shared" ref="L437:L444" si="738">SUMIF($Q$20:$Q$25,J437,$M$20:$M$25)</f>
        <v>0</v>
      </c>
      <c r="M437" s="202">
        <f>K437+L437</f>
        <v>0</v>
      </c>
      <c r="N437" s="202">
        <f>K437/1000</f>
        <v>0</v>
      </c>
      <c r="O437" s="202">
        <f>L437/1000</f>
        <v>0</v>
      </c>
      <c r="P437" s="202">
        <f>N437+O437</f>
        <v>0</v>
      </c>
      <c r="Q437" s="358">
        <f t="shared" ref="Q437:Q444" si="739">SUMIF($Q$20:$Q$25,J437,$I$20:$I$25)</f>
        <v>0</v>
      </c>
      <c r="R437" s="111">
        <f t="shared" ref="R437:R444" si="740">SUMIF($Q$20:$Q$25,J437,$AZ$20:$AZ$25)</f>
        <v>0</v>
      </c>
      <c r="S437" s="126" t="str">
        <f>IFERROR(Q437/R437,"")</f>
        <v/>
      </c>
      <c r="T437" s="57"/>
      <c r="U437" s="57"/>
      <c r="V437" s="241" t="s">
        <v>157</v>
      </c>
      <c r="W437" s="237">
        <f>IFERROR(($P$416+$P$425)/($Q$416+$Q$425),0)</f>
        <v>0</v>
      </c>
      <c r="X437" s="236">
        <f>X416+X425</f>
        <v>0</v>
      </c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  <c r="AN437" s="57"/>
      <c r="AO437" s="57"/>
      <c r="AP437" s="57"/>
      <c r="AQ437" s="57"/>
    </row>
    <row r="438" spans="2:43" ht="17.45" hidden="1" customHeight="1" outlineLevel="1">
      <c r="B438" s="139" t="s">
        <v>82</v>
      </c>
      <c r="C438" s="111">
        <f t="shared" si="734"/>
        <v>40041</v>
      </c>
      <c r="D438" s="111">
        <f t="shared" si="735"/>
        <v>0</v>
      </c>
      <c r="E438" s="111">
        <f t="shared" ref="E438:E447" si="741">C438+D438</f>
        <v>40041</v>
      </c>
      <c r="F438" s="111">
        <f t="shared" si="736"/>
        <v>1</v>
      </c>
      <c r="G438" s="111">
        <f t="shared" ref="G438:G445" si="742">E438/1000</f>
        <v>40.040999999999997</v>
      </c>
      <c r="H438" s="111"/>
      <c r="I438" s="119"/>
      <c r="J438" s="139" t="s">
        <v>118</v>
      </c>
      <c r="K438" s="111">
        <f t="shared" si="737"/>
        <v>0</v>
      </c>
      <c r="L438" s="111">
        <f t="shared" si="738"/>
        <v>0</v>
      </c>
      <c r="M438" s="202">
        <f t="shared" ref="M438:M444" si="743">K438+L438</f>
        <v>0</v>
      </c>
      <c r="N438" s="202">
        <f t="shared" ref="N438:O444" si="744">K438/1000</f>
        <v>0</v>
      </c>
      <c r="O438" s="202">
        <f t="shared" si="744"/>
        <v>0</v>
      </c>
      <c r="P438" s="202">
        <f t="shared" ref="P438:P444" si="745">N438+O438</f>
        <v>0</v>
      </c>
      <c r="Q438" s="358">
        <f t="shared" si="739"/>
        <v>0</v>
      </c>
      <c r="R438" s="111">
        <f t="shared" si="740"/>
        <v>0</v>
      </c>
      <c r="S438" s="126" t="str">
        <f t="shared" ref="S438:S444" si="746">IFERROR(Q438/R438,"")</f>
        <v/>
      </c>
      <c r="T438" s="57"/>
      <c r="U438" s="57"/>
      <c r="V438" s="57"/>
      <c r="W438" s="57"/>
      <c r="X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</row>
    <row r="439" spans="2:43" ht="17.45" hidden="1" customHeight="1" outlineLevel="1">
      <c r="B439" s="139" t="s">
        <v>83</v>
      </c>
      <c r="C439" s="111">
        <f t="shared" si="734"/>
        <v>0</v>
      </c>
      <c r="D439" s="111">
        <f t="shared" si="735"/>
        <v>0</v>
      </c>
      <c r="E439" s="111">
        <f t="shared" si="741"/>
        <v>0</v>
      </c>
      <c r="F439" s="111">
        <f t="shared" si="736"/>
        <v>0</v>
      </c>
      <c r="G439" s="111">
        <f t="shared" si="742"/>
        <v>0</v>
      </c>
      <c r="H439" s="111"/>
      <c r="I439" s="119"/>
      <c r="J439" s="139" t="s">
        <v>119</v>
      </c>
      <c r="K439" s="111">
        <f t="shared" si="737"/>
        <v>40041</v>
      </c>
      <c r="L439" s="111">
        <f t="shared" si="738"/>
        <v>0</v>
      </c>
      <c r="M439" s="202">
        <f t="shared" si="743"/>
        <v>40041</v>
      </c>
      <c r="N439" s="202">
        <f t="shared" si="744"/>
        <v>40.040999999999997</v>
      </c>
      <c r="O439" s="202">
        <f t="shared" si="744"/>
        <v>0</v>
      </c>
      <c r="P439" s="202">
        <f t="shared" si="745"/>
        <v>40.040999999999997</v>
      </c>
      <c r="Q439" s="358">
        <f t="shared" si="739"/>
        <v>8.7500000001455192E-2</v>
      </c>
      <c r="R439" s="111">
        <f t="shared" si="740"/>
        <v>1</v>
      </c>
      <c r="S439" s="126">
        <f t="shared" si="746"/>
        <v>8.7500000001455192E-2</v>
      </c>
      <c r="T439" s="57"/>
      <c r="U439" s="57"/>
      <c r="V439" s="57"/>
      <c r="W439" s="57"/>
      <c r="X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7"/>
      <c r="AP439" s="57"/>
      <c r="AQ439" s="57"/>
    </row>
    <row r="440" spans="2:43" ht="17.45" hidden="1" customHeight="1" outlineLevel="1">
      <c r="B440" s="139" t="s">
        <v>84</v>
      </c>
      <c r="C440" s="111">
        <f t="shared" si="734"/>
        <v>0</v>
      </c>
      <c r="D440" s="111">
        <f t="shared" si="735"/>
        <v>0</v>
      </c>
      <c r="E440" s="111">
        <f t="shared" si="741"/>
        <v>0</v>
      </c>
      <c r="F440" s="111">
        <f t="shared" si="736"/>
        <v>0</v>
      </c>
      <c r="G440" s="111">
        <f t="shared" si="742"/>
        <v>0</v>
      </c>
      <c r="H440" s="111"/>
      <c r="I440" s="119"/>
      <c r="J440" s="139" t="s">
        <v>113</v>
      </c>
      <c r="K440" s="111">
        <f t="shared" si="737"/>
        <v>0</v>
      </c>
      <c r="L440" s="111">
        <f t="shared" si="738"/>
        <v>0</v>
      </c>
      <c r="M440" s="202">
        <f t="shared" si="743"/>
        <v>0</v>
      </c>
      <c r="N440" s="202">
        <f t="shared" si="744"/>
        <v>0</v>
      </c>
      <c r="O440" s="202">
        <f t="shared" si="744"/>
        <v>0</v>
      </c>
      <c r="P440" s="202">
        <f t="shared" si="745"/>
        <v>0</v>
      </c>
      <c r="Q440" s="358">
        <f t="shared" si="739"/>
        <v>0</v>
      </c>
      <c r="R440" s="111">
        <f t="shared" si="740"/>
        <v>0</v>
      </c>
      <c r="S440" s="126" t="str">
        <f t="shared" si="746"/>
        <v/>
      </c>
      <c r="T440" s="57"/>
      <c r="U440" s="57"/>
      <c r="V440" s="57"/>
      <c r="W440" s="57"/>
      <c r="X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</row>
    <row r="441" spans="2:43" ht="17.45" hidden="1" customHeight="1" outlineLevel="1">
      <c r="B441" s="139" t="s">
        <v>223</v>
      </c>
      <c r="C441" s="111">
        <f t="shared" si="734"/>
        <v>0</v>
      </c>
      <c r="D441" s="111">
        <f t="shared" si="735"/>
        <v>0</v>
      </c>
      <c r="E441" s="111">
        <f t="shared" si="741"/>
        <v>0</v>
      </c>
      <c r="F441" s="111">
        <f t="shared" si="736"/>
        <v>0</v>
      </c>
      <c r="G441" s="111">
        <f t="shared" si="742"/>
        <v>0</v>
      </c>
      <c r="H441" s="111"/>
      <c r="I441" s="119"/>
      <c r="J441" s="139" t="s">
        <v>120</v>
      </c>
      <c r="K441" s="111">
        <f t="shared" si="737"/>
        <v>0</v>
      </c>
      <c r="L441" s="111">
        <f t="shared" si="738"/>
        <v>0</v>
      </c>
      <c r="M441" s="202">
        <f t="shared" si="743"/>
        <v>0</v>
      </c>
      <c r="N441" s="202">
        <f t="shared" si="744"/>
        <v>0</v>
      </c>
      <c r="O441" s="202">
        <f t="shared" si="744"/>
        <v>0</v>
      </c>
      <c r="P441" s="202">
        <f t="shared" si="745"/>
        <v>0</v>
      </c>
      <c r="Q441" s="358">
        <f t="shared" si="739"/>
        <v>0</v>
      </c>
      <c r="R441" s="111">
        <f t="shared" si="740"/>
        <v>0</v>
      </c>
      <c r="S441" s="126" t="str">
        <f t="shared" si="746"/>
        <v/>
      </c>
      <c r="T441" s="57"/>
      <c r="U441" s="57"/>
      <c r="V441" s="57"/>
      <c r="W441" s="57"/>
      <c r="X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  <c r="AN441" s="57"/>
      <c r="AO441" s="57"/>
      <c r="AP441" s="57"/>
      <c r="AQ441" s="57"/>
    </row>
    <row r="442" spans="2:43" ht="17.45" hidden="1" customHeight="1" outlineLevel="1">
      <c r="B442" s="139" t="s">
        <v>158</v>
      </c>
      <c r="C442" s="111">
        <f t="shared" si="734"/>
        <v>0</v>
      </c>
      <c r="D442" s="111">
        <f t="shared" si="735"/>
        <v>0</v>
      </c>
      <c r="E442" s="111">
        <f t="shared" si="741"/>
        <v>0</v>
      </c>
      <c r="F442" s="111">
        <f t="shared" si="736"/>
        <v>0</v>
      </c>
      <c r="G442" s="111">
        <f t="shared" si="742"/>
        <v>0</v>
      </c>
      <c r="H442" s="111"/>
      <c r="I442" s="119"/>
      <c r="J442" s="139" t="s">
        <v>121</v>
      </c>
      <c r="K442" s="111">
        <f t="shared" si="737"/>
        <v>0</v>
      </c>
      <c r="L442" s="111">
        <f t="shared" si="738"/>
        <v>0</v>
      </c>
      <c r="M442" s="202">
        <f t="shared" si="743"/>
        <v>0</v>
      </c>
      <c r="N442" s="202">
        <f t="shared" si="744"/>
        <v>0</v>
      </c>
      <c r="O442" s="202">
        <f t="shared" si="744"/>
        <v>0</v>
      </c>
      <c r="P442" s="202">
        <f t="shared" si="745"/>
        <v>0</v>
      </c>
      <c r="Q442" s="358">
        <f t="shared" si="739"/>
        <v>0</v>
      </c>
      <c r="R442" s="111">
        <f t="shared" si="740"/>
        <v>0</v>
      </c>
      <c r="S442" s="126" t="str">
        <f t="shared" si="746"/>
        <v/>
      </c>
      <c r="T442" s="57"/>
      <c r="U442" s="57"/>
      <c r="V442" s="57"/>
      <c r="W442" s="57"/>
      <c r="X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  <c r="AM442" s="57"/>
      <c r="AN442" s="57"/>
      <c r="AO442" s="57"/>
      <c r="AP442" s="57"/>
      <c r="AQ442" s="57"/>
    </row>
    <row r="443" spans="2:43" ht="17.45" hidden="1" customHeight="1" outlineLevel="1">
      <c r="B443" s="139" t="s">
        <v>85</v>
      </c>
      <c r="C443" s="111">
        <f t="shared" si="734"/>
        <v>0</v>
      </c>
      <c r="D443" s="111">
        <f t="shared" si="735"/>
        <v>0</v>
      </c>
      <c r="E443" s="111">
        <f t="shared" si="741"/>
        <v>0</v>
      </c>
      <c r="F443" s="111">
        <f t="shared" si="736"/>
        <v>0</v>
      </c>
      <c r="G443" s="111">
        <f t="shared" si="742"/>
        <v>0</v>
      </c>
      <c r="H443" s="111"/>
      <c r="I443" s="119"/>
      <c r="J443" s="139" t="s">
        <v>122</v>
      </c>
      <c r="K443" s="111">
        <f t="shared" si="737"/>
        <v>0</v>
      </c>
      <c r="L443" s="111">
        <f t="shared" si="738"/>
        <v>54829</v>
      </c>
      <c r="M443" s="202">
        <f t="shared" si="743"/>
        <v>54829</v>
      </c>
      <c r="N443" s="202">
        <f t="shared" si="744"/>
        <v>0</v>
      </c>
      <c r="O443" s="202">
        <f t="shared" si="744"/>
        <v>54.829000000000001</v>
      </c>
      <c r="P443" s="202">
        <f t="shared" si="745"/>
        <v>54.829000000000001</v>
      </c>
      <c r="Q443" s="358">
        <f t="shared" si="739"/>
        <v>6.8208333333313931</v>
      </c>
      <c r="R443" s="111">
        <f t="shared" si="740"/>
        <v>1</v>
      </c>
      <c r="S443" s="126">
        <f t="shared" si="746"/>
        <v>6.8208333333313931</v>
      </c>
      <c r="T443" s="57"/>
      <c r="U443" s="57"/>
      <c r="V443" s="57"/>
      <c r="W443" s="57"/>
      <c r="X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  <c r="AM443" s="57"/>
      <c r="AN443" s="57"/>
      <c r="AO443" s="57"/>
      <c r="AP443" s="57"/>
      <c r="AQ443" s="57"/>
    </row>
    <row r="444" spans="2:43" ht="17.45" hidden="1" customHeight="1" outlineLevel="1">
      <c r="B444" s="139" t="s">
        <v>96</v>
      </c>
      <c r="C444" s="111">
        <f t="shared" si="734"/>
        <v>0</v>
      </c>
      <c r="D444" s="111">
        <f t="shared" si="735"/>
        <v>0</v>
      </c>
      <c r="E444" s="111">
        <f t="shared" si="741"/>
        <v>0</v>
      </c>
      <c r="F444" s="111">
        <f t="shared" si="736"/>
        <v>0</v>
      </c>
      <c r="G444" s="111">
        <f t="shared" si="742"/>
        <v>0</v>
      </c>
      <c r="H444" s="142" t="s">
        <v>30</v>
      </c>
      <c r="I444" s="119"/>
      <c r="J444" s="139" t="s">
        <v>162</v>
      </c>
      <c r="K444" s="111">
        <f t="shared" si="737"/>
        <v>0</v>
      </c>
      <c r="L444" s="111">
        <f t="shared" si="738"/>
        <v>0</v>
      </c>
      <c r="M444" s="202">
        <f t="shared" si="743"/>
        <v>0</v>
      </c>
      <c r="N444" s="202">
        <f t="shared" si="744"/>
        <v>0</v>
      </c>
      <c r="O444" s="202">
        <f t="shared" si="744"/>
        <v>0</v>
      </c>
      <c r="P444" s="202">
        <f t="shared" si="745"/>
        <v>0</v>
      </c>
      <c r="Q444" s="358">
        <f t="shared" si="739"/>
        <v>0</v>
      </c>
      <c r="R444" s="111">
        <f t="shared" si="740"/>
        <v>0</v>
      </c>
      <c r="S444" s="126" t="str">
        <f t="shared" si="746"/>
        <v/>
      </c>
      <c r="T444" s="57"/>
      <c r="U444" s="57"/>
      <c r="V444" s="57"/>
      <c r="W444" s="57"/>
      <c r="X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  <c r="AN444" s="57"/>
      <c r="AO444" s="57"/>
      <c r="AP444" s="57"/>
      <c r="AQ444" s="57"/>
    </row>
    <row r="445" spans="2:43" ht="17.45" hidden="1" customHeight="1" outlineLevel="1">
      <c r="B445" s="139" t="s">
        <v>86</v>
      </c>
      <c r="C445" s="111">
        <f t="shared" si="734"/>
        <v>0</v>
      </c>
      <c r="D445" s="111">
        <f t="shared" si="735"/>
        <v>0</v>
      </c>
      <c r="E445" s="111">
        <f t="shared" si="741"/>
        <v>0</v>
      </c>
      <c r="F445" s="111">
        <f t="shared" si="736"/>
        <v>0</v>
      </c>
      <c r="G445" s="111">
        <f t="shared" si="742"/>
        <v>0</v>
      </c>
      <c r="H445" s="111"/>
      <c r="I445" s="119"/>
      <c r="J445" s="232" t="s">
        <v>123</v>
      </c>
      <c r="K445" s="203">
        <f>SUM(K437:K444)</f>
        <v>40041</v>
      </c>
      <c r="L445" s="203">
        <f>SUM(L437:L444)</f>
        <v>54829</v>
      </c>
      <c r="M445" s="203">
        <f t="shared" ref="M445" si="747">SUM(M437:M444)</f>
        <v>94870</v>
      </c>
      <c r="N445" s="203">
        <f>SUM(N437:N444)</f>
        <v>40.040999999999997</v>
      </c>
      <c r="O445" s="203">
        <f t="shared" ref="O445:P445" si="748">SUM(O437:O444)</f>
        <v>54.829000000000001</v>
      </c>
      <c r="P445" s="203">
        <f t="shared" si="748"/>
        <v>94.87</v>
      </c>
      <c r="Q445" s="359">
        <f>SUM(Q437:Q444)</f>
        <v>6.9083333333328483</v>
      </c>
      <c r="R445" s="359">
        <f>SUM(R437:R444)</f>
        <v>2</v>
      </c>
      <c r="S445" s="359">
        <f>IFERROR(Q445/R445,"")</f>
        <v>3.4541666666664241</v>
      </c>
      <c r="T445" s="57"/>
      <c r="U445" s="57"/>
      <c r="V445" s="57"/>
      <c r="W445" s="57"/>
      <c r="X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  <c r="AM445" s="57"/>
      <c r="AN445" s="57"/>
      <c r="AO445" s="57"/>
      <c r="AP445" s="57"/>
      <c r="AQ445" s="57"/>
    </row>
    <row r="446" spans="2:43" ht="17.45" hidden="1" customHeight="1" outlineLevel="1">
      <c r="B446" s="139" t="s">
        <v>169</v>
      </c>
      <c r="C446" s="111">
        <f t="shared" si="734"/>
        <v>0</v>
      </c>
      <c r="D446" s="111">
        <f t="shared" si="735"/>
        <v>0</v>
      </c>
      <c r="E446" s="111">
        <f t="shared" si="741"/>
        <v>0</v>
      </c>
      <c r="F446" s="111">
        <f t="shared" si="736"/>
        <v>0</v>
      </c>
      <c r="G446" s="168">
        <f>E446/1000</f>
        <v>0</v>
      </c>
      <c r="H446" s="111"/>
      <c r="I446" s="119"/>
      <c r="K446" s="343" t="str">
        <f>IF(K445=D432,"","CHECK")</f>
        <v/>
      </c>
      <c r="L446" s="343" t="str">
        <f>IF(L445=E432,"","CHECK")</f>
        <v/>
      </c>
      <c r="M446" s="343" t="str">
        <f>IF(M445=F432,"","CHECK")</f>
        <v/>
      </c>
      <c r="S446" s="344" t="str">
        <f>IF(S445=I458,"","CHECK")</f>
        <v/>
      </c>
      <c r="T446" s="57"/>
      <c r="U446" s="57"/>
      <c r="V446" s="57"/>
      <c r="W446" s="57"/>
      <c r="X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  <c r="AM446" s="57"/>
      <c r="AN446" s="57"/>
      <c r="AO446" s="57"/>
      <c r="AP446" s="57"/>
      <c r="AQ446" s="57"/>
    </row>
    <row r="447" spans="2:43" ht="17.45" hidden="1" customHeight="1" outlineLevel="1" thickBot="1">
      <c r="B447" s="139" t="s">
        <v>155</v>
      </c>
      <c r="C447" s="111">
        <f t="shared" si="734"/>
        <v>0</v>
      </c>
      <c r="D447" s="111">
        <f t="shared" si="735"/>
        <v>0</v>
      </c>
      <c r="E447" s="111">
        <f t="shared" si="741"/>
        <v>0</v>
      </c>
      <c r="F447" s="111">
        <f t="shared" si="736"/>
        <v>0</v>
      </c>
      <c r="G447" s="168">
        <f>E447/1000</f>
        <v>0</v>
      </c>
      <c r="H447" s="111"/>
      <c r="I447" s="119"/>
      <c r="L447" s="283"/>
      <c r="M447" s="220"/>
      <c r="P447" s="360" t="s">
        <v>161</v>
      </c>
      <c r="Q447" s="359">
        <f>SUM(Q437:Q442)</f>
        <v>8.7500000001455192E-2</v>
      </c>
      <c r="R447" s="359">
        <f>SUM(R437:R442)</f>
        <v>1</v>
      </c>
      <c r="S447" s="359">
        <f>IFERROR(Q447/R447,"")</f>
        <v>8.7500000001455192E-2</v>
      </c>
      <c r="T447" s="57"/>
      <c r="U447" s="57"/>
      <c r="V447" s="57"/>
      <c r="W447" s="57"/>
      <c r="X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  <c r="AM447" s="57"/>
      <c r="AN447" s="57"/>
      <c r="AO447" s="57"/>
      <c r="AP447" s="57"/>
      <c r="AQ447" s="57"/>
    </row>
    <row r="448" spans="2:43" ht="17.45" hidden="1" customHeight="1" outlineLevel="1" thickBot="1">
      <c r="B448" s="113" t="s">
        <v>61</v>
      </c>
      <c r="C448" s="114">
        <f>SUM(C437:C447)</f>
        <v>40041</v>
      </c>
      <c r="D448" s="114">
        <f t="shared" ref="D448:F448" si="749">SUM(D437:D447)</f>
        <v>54829</v>
      </c>
      <c r="E448" s="114">
        <f t="shared" si="749"/>
        <v>94870</v>
      </c>
      <c r="F448" s="166">
        <f t="shared" si="749"/>
        <v>2</v>
      </c>
      <c r="G448" s="170">
        <f>SUM(G437:G447)</f>
        <v>94.87</v>
      </c>
      <c r="H448" s="167"/>
      <c r="I448" s="119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  <c r="AM448" s="57"/>
      <c r="AN448" s="57"/>
      <c r="AO448" s="57"/>
      <c r="AP448" s="57"/>
      <c r="AQ448" s="57"/>
    </row>
    <row r="449" spans="2:43" ht="17.45" hidden="1" customHeight="1" outlineLevel="1">
      <c r="B449" s="151" t="s">
        <v>87</v>
      </c>
      <c r="C449" s="152"/>
      <c r="D449" s="152"/>
      <c r="E449" s="153">
        <f>$W$235</f>
        <v>5475.98</v>
      </c>
      <c r="F449" s="143"/>
      <c r="G449" s="188">
        <f t="shared" ref="G449" si="750">E449/1000</f>
        <v>5.4759799999999998</v>
      </c>
      <c r="H449" s="145"/>
      <c r="I449" s="119"/>
      <c r="T449" s="57"/>
      <c r="U449" s="57"/>
      <c r="V449" s="57"/>
      <c r="W449" s="57"/>
      <c r="X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7"/>
      <c r="AM449" s="57"/>
      <c r="AN449" s="57"/>
      <c r="AO449" s="57"/>
      <c r="AP449" s="57"/>
      <c r="AQ449" s="57"/>
    </row>
    <row r="450" spans="2:43" ht="17.45" hidden="1" customHeight="1" outlineLevel="1">
      <c r="B450" s="151" t="s">
        <v>57</v>
      </c>
      <c r="C450" s="152"/>
      <c r="D450" s="152"/>
      <c r="E450" s="140">
        <f>SUM(E448:E449)</f>
        <v>100345.98</v>
      </c>
      <c r="F450" s="122"/>
      <c r="G450" s="140">
        <f>SUM(G448:G449)</f>
        <v>100.34598</v>
      </c>
      <c r="H450" s="137"/>
      <c r="I450" s="119"/>
      <c r="T450" s="57"/>
      <c r="U450" s="57"/>
      <c r="V450" s="57"/>
      <c r="W450" s="57"/>
      <c r="X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  <c r="AN450" s="57"/>
      <c r="AO450" s="57"/>
      <c r="AP450" s="57"/>
      <c r="AQ450" s="57"/>
    </row>
    <row r="451" spans="2:43" ht="17.45" hidden="1" customHeight="1" outlineLevel="1">
      <c r="B451" s="137"/>
      <c r="C451" s="122"/>
      <c r="D451" s="122"/>
      <c r="E451" s="154"/>
      <c r="F451" s="122"/>
      <c r="G451" s="122"/>
      <c r="H451" s="137"/>
      <c r="I451" s="119"/>
      <c r="T451" s="57"/>
      <c r="U451" s="57"/>
      <c r="V451" s="57"/>
      <c r="W451" s="57"/>
      <c r="X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57"/>
      <c r="AO451" s="57"/>
      <c r="AP451" s="57"/>
      <c r="AQ451" s="57"/>
    </row>
    <row r="452" spans="2:43" ht="17.45" hidden="1" customHeight="1" outlineLevel="1">
      <c r="B452" s="1173" t="s">
        <v>88</v>
      </c>
      <c r="C452" s="1177" t="s">
        <v>52</v>
      </c>
      <c r="D452" s="1177"/>
      <c r="E452" s="1177"/>
      <c r="F452" s="1177" t="s">
        <v>73</v>
      </c>
      <c r="G452" s="1177" t="s">
        <v>75</v>
      </c>
      <c r="H452" s="1168" t="s">
        <v>72</v>
      </c>
      <c r="I452" s="1168"/>
      <c r="T452" s="57"/>
      <c r="U452" s="57"/>
      <c r="V452" s="57"/>
      <c r="W452" s="57"/>
      <c r="X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  <c r="AN452" s="57"/>
      <c r="AO452" s="57"/>
      <c r="AP452" s="57"/>
      <c r="AQ452" s="57"/>
    </row>
    <row r="453" spans="2:43" ht="17.45" hidden="1" customHeight="1" outlineLevel="1">
      <c r="B453" s="1173"/>
      <c r="C453" s="628" t="s">
        <v>55</v>
      </c>
      <c r="D453" s="628" t="s">
        <v>56</v>
      </c>
      <c r="E453" s="628" t="s">
        <v>57</v>
      </c>
      <c r="F453" s="1177"/>
      <c r="G453" s="1177"/>
      <c r="H453" s="626" t="s">
        <v>89</v>
      </c>
      <c r="I453" s="626" t="s">
        <v>90</v>
      </c>
    </row>
    <row r="454" spans="2:43" ht="17.45" hidden="1" customHeight="1" outlineLevel="1">
      <c r="B454" s="138" t="s">
        <v>91</v>
      </c>
      <c r="C454" s="111">
        <f>SUMIF($V$20:$V$25,B454,$L$20:$L$25)</f>
        <v>0</v>
      </c>
      <c r="D454" s="111">
        <f>SUMIF($V$20:$V$25,B454,$M$20:$M$25)</f>
        <v>0</v>
      </c>
      <c r="E454" s="111">
        <f>C454+D454</f>
        <v>0</v>
      </c>
      <c r="F454" s="111">
        <f>SUMIF($V$20:$V$25,B454,$AZ$20:$AZ$25)</f>
        <v>0</v>
      </c>
      <c r="G454" s="111">
        <f>E454/1000</f>
        <v>0</v>
      </c>
      <c r="H454" s="126">
        <f>SUMIF($V$20:$V$25,B454,$AA$20:$AA$25)</f>
        <v>0</v>
      </c>
      <c r="I454" s="141" t="str">
        <f>IFERROR(H454/F454,"")</f>
        <v/>
      </c>
    </row>
    <row r="455" spans="2:43" ht="17.45" hidden="1" customHeight="1" outlineLevel="1">
      <c r="B455" s="138" t="s">
        <v>92</v>
      </c>
      <c r="C455" s="111">
        <f>SUMIF($V$20:$V$25,B455,$L$20:$L$25)</f>
        <v>40041</v>
      </c>
      <c r="D455" s="111">
        <f>SUMIF($V$20:$V$25,B455,$M$20:$M$25)</f>
        <v>54829</v>
      </c>
      <c r="E455" s="111">
        <f>C455+D455</f>
        <v>94870</v>
      </c>
      <c r="F455" s="111">
        <f>SUMIF($V$20:$V$25,B455,$AZ$20:$AZ$25)</f>
        <v>2</v>
      </c>
      <c r="G455" s="111">
        <f t="shared" ref="G455:G457" si="751">E455/1000</f>
        <v>94.87</v>
      </c>
      <c r="H455" s="126">
        <f>SUMIF($V$20:$V$25,B455,$AA$20:$AA$25)</f>
        <v>6.9083333333328483</v>
      </c>
      <c r="I455" s="141">
        <f t="shared" ref="I455:I456" si="752">IFERROR(H455/F455,"")</f>
        <v>3.4541666666664241</v>
      </c>
    </row>
    <row r="456" spans="2:43" ht="17.45" hidden="1" customHeight="1" outlineLevel="1">
      <c r="B456" s="138" t="s">
        <v>93</v>
      </c>
      <c r="C456" s="111">
        <f>SUMIF($V$20:$V$25,B456,$L$20:$L$25)</f>
        <v>0</v>
      </c>
      <c r="D456" s="111">
        <f>SUMIF($V$20:$V$25,B456,$M$20:$M$25)</f>
        <v>0</v>
      </c>
      <c r="E456" s="111">
        <f>C456+D456</f>
        <v>0</v>
      </c>
      <c r="F456" s="111">
        <f>SUMIF($V$20:$V$25,B456,$AZ$20:$AZ$25)</f>
        <v>0</v>
      </c>
      <c r="G456" s="111">
        <f t="shared" si="751"/>
        <v>0</v>
      </c>
      <c r="H456" s="126">
        <f>SUMIF($V$20:$V$25,B456,$AA$20:$AA$25)</f>
        <v>0</v>
      </c>
      <c r="I456" s="141" t="str">
        <f t="shared" si="752"/>
        <v/>
      </c>
    </row>
    <row r="457" spans="2:43" ht="17.45" hidden="1" customHeight="1" outlineLevel="1" thickBot="1">
      <c r="B457" s="138" t="s">
        <v>94</v>
      </c>
      <c r="C457" s="111">
        <f>SUMIF($V$20:$V$25,B457,$L$20:$L$25)</f>
        <v>0</v>
      </c>
      <c r="D457" s="111">
        <f>SUMIF($V$20:$V$25,B457,$M$20:$M$25)</f>
        <v>0</v>
      </c>
      <c r="E457" s="111">
        <f t="shared" ref="E457" si="753">C457+D457</f>
        <v>0</v>
      </c>
      <c r="F457" s="111">
        <f>SUMIF($V$20:$V$25,B457,$AZ$20:$AZ$25)</f>
        <v>0</v>
      </c>
      <c r="G457" s="111">
        <f t="shared" si="751"/>
        <v>0</v>
      </c>
      <c r="H457" s="126">
        <f>SUMIF($V$20:$V$25,B457,$AA$20:$AA$25)</f>
        <v>0</v>
      </c>
      <c r="I457" s="190" t="str">
        <f>IFERROR(H457/F457,"")</f>
        <v/>
      </c>
    </row>
    <row r="458" spans="2:43" ht="17.45" hidden="1" customHeight="1" outlineLevel="1" thickBot="1">
      <c r="B458" s="113" t="s">
        <v>61</v>
      </c>
      <c r="C458" s="114">
        <f>SUM(C454:C457)</f>
        <v>40041</v>
      </c>
      <c r="D458" s="114">
        <f t="shared" ref="D458:F458" si="754">SUM(D454:D457)</f>
        <v>54829</v>
      </c>
      <c r="E458" s="114">
        <f t="shared" si="754"/>
        <v>94870</v>
      </c>
      <c r="F458" s="114">
        <f t="shared" si="754"/>
        <v>2</v>
      </c>
      <c r="G458" s="114">
        <f>SUM(G454:G457)</f>
        <v>94.87</v>
      </c>
      <c r="H458" s="189">
        <f>SUM(H454:H457)</f>
        <v>6.9083333333328483</v>
      </c>
      <c r="I458" s="191">
        <f>IFERROR(H458/F458,"")</f>
        <v>3.4541666666664241</v>
      </c>
    </row>
    <row r="459" spans="2:43" ht="17.45" hidden="1" customHeight="1" outlineLevel="1"/>
    <row r="460" spans="2:43" ht="17.45" customHeight="1" collapsed="1">
      <c r="B460" s="329" t="s">
        <v>256</v>
      </c>
      <c r="O460" s="122"/>
      <c r="P460" s="122"/>
      <c r="Q460" s="122"/>
      <c r="R460" s="123"/>
      <c r="S460" s="331"/>
      <c r="T460" s="124"/>
      <c r="U460" s="332"/>
      <c r="V460" s="332"/>
      <c r="W460" s="245"/>
      <c r="X460" s="245"/>
      <c r="Y460" s="333"/>
    </row>
    <row r="461" spans="2:43" ht="17.45" hidden="1" customHeight="1" outlineLevel="1">
      <c r="B461" s="1173" t="s">
        <v>51</v>
      </c>
      <c r="C461" s="1173"/>
      <c r="D461" s="1168" t="s">
        <v>52</v>
      </c>
      <c r="E461" s="1168"/>
      <c r="F461" s="1168"/>
      <c r="G461" s="1168" t="s">
        <v>53</v>
      </c>
      <c r="H461" s="1168"/>
      <c r="I461" s="1168"/>
      <c r="J461" s="1168" t="s">
        <v>54</v>
      </c>
      <c r="K461" s="1168"/>
      <c r="L461" s="1168"/>
      <c r="O461" s="1168" t="s">
        <v>71</v>
      </c>
      <c r="P461" s="1168" t="s">
        <v>72</v>
      </c>
      <c r="Q461" s="1168" t="s">
        <v>73</v>
      </c>
      <c r="R461" s="1168" t="s">
        <v>74</v>
      </c>
      <c r="S461" s="122"/>
      <c r="T461" s="1168" t="s">
        <v>71</v>
      </c>
      <c r="U461" s="1168" t="s">
        <v>72</v>
      </c>
      <c r="V461" s="1168" t="s">
        <v>73</v>
      </c>
      <c r="W461" s="1168" t="s">
        <v>74</v>
      </c>
      <c r="X461" s="1168" t="s">
        <v>75</v>
      </c>
      <c r="Y461" s="1169" t="str">
        <f>RIGHT(B460,3)&amp;" 목표(ST)"</f>
        <v xml:space="preserve"> 2월 목표(ST)</v>
      </c>
      <c r="Z461" s="1170" t="s">
        <v>111</v>
      </c>
    </row>
    <row r="462" spans="2:43" ht="17.45" hidden="1" customHeight="1" outlineLevel="1">
      <c r="B462" s="1173"/>
      <c r="C462" s="1173"/>
      <c r="D462" s="626" t="s">
        <v>55</v>
      </c>
      <c r="E462" s="626" t="s">
        <v>56</v>
      </c>
      <c r="F462" s="626" t="s">
        <v>57</v>
      </c>
      <c r="G462" s="626" t="s">
        <v>55</v>
      </c>
      <c r="H462" s="626" t="s">
        <v>56</v>
      </c>
      <c r="I462" s="626" t="s">
        <v>57</v>
      </c>
      <c r="J462" s="626" t="s">
        <v>55</v>
      </c>
      <c r="K462" s="626" t="s">
        <v>56</v>
      </c>
      <c r="L462" s="626" t="s">
        <v>57</v>
      </c>
      <c r="O462" s="1168"/>
      <c r="P462" s="1168"/>
      <c r="Q462" s="1168"/>
      <c r="R462" s="1168"/>
      <c r="S462" s="122"/>
      <c r="T462" s="1168"/>
      <c r="U462" s="1168"/>
      <c r="V462" s="1168"/>
      <c r="W462" s="1168"/>
      <c r="X462" s="1168"/>
      <c r="Y462" s="1168"/>
      <c r="Z462" s="1168"/>
      <c r="AN462" s="361"/>
      <c r="AO462" s="362" t="s">
        <v>156</v>
      </c>
      <c r="AP462" s="457"/>
    </row>
    <row r="463" spans="2:43" ht="17.45" hidden="1" customHeight="1" outlineLevel="1">
      <c r="B463" s="1171" t="s">
        <v>58</v>
      </c>
      <c r="C463" s="110" t="s">
        <v>179</v>
      </c>
      <c r="D463" s="111">
        <f t="shared" ref="D463:D468" si="755">SUMIF($B$27:$B$48,C463,$L$27:$L$48)</f>
        <v>0</v>
      </c>
      <c r="E463" s="111">
        <f t="shared" ref="E463:E468" si="756">SUMIF($B$27:$B$48,C463,$M$27:$M$48)</f>
        <v>122261</v>
      </c>
      <c r="F463" s="111">
        <f>D463+E463</f>
        <v>122261</v>
      </c>
      <c r="G463" s="112">
        <f>IFERROR(D463/F463,"")</f>
        <v>0</v>
      </c>
      <c r="H463" s="112">
        <f>IFERROR(E463/F463,"")</f>
        <v>1</v>
      </c>
      <c r="I463" s="112">
        <f t="shared" ref="I463:I467" si="757">IFERROR(G463+H463,"")</f>
        <v>1</v>
      </c>
      <c r="J463" s="111">
        <f t="shared" ref="J463:J468" si="758">SUMIF($B$48:$B$48,C463,$AX$48:$AX$48)</f>
        <v>0</v>
      </c>
      <c r="K463" s="111">
        <f t="shared" ref="K463:K468" si="759">SUMIF($B$48:$B$48,C463,$AY$48:$AY$48)</f>
        <v>0</v>
      </c>
      <c r="L463" s="111">
        <f>J463+K463</f>
        <v>0</v>
      </c>
      <c r="O463" s="125" t="str">
        <f>C463</f>
        <v>SGC에너지</v>
      </c>
      <c r="P463" s="126">
        <f t="shared" ref="P463:P468" si="760">SUMIF($B$27:$B$48,O463,$AA$27:$AA$48)</f>
        <v>10.29513888888323</v>
      </c>
      <c r="Q463" s="111">
        <f t="shared" ref="Q463:Q468" si="761">SUMIF($B$27:$B$48,O463,$AZ$27:$AZ$48)</f>
        <v>2</v>
      </c>
      <c r="R463" s="126">
        <f>IFERROR(P463/Q463,"")</f>
        <v>5.1475694444416149</v>
      </c>
      <c r="S463" s="122"/>
      <c r="T463" s="125" t="str">
        <f>O463</f>
        <v>SGC에너지</v>
      </c>
      <c r="U463" s="126">
        <f>P463</f>
        <v>10.29513888888323</v>
      </c>
      <c r="V463" s="111">
        <f>Q463</f>
        <v>2</v>
      </c>
      <c r="W463" s="127">
        <f>IFERROR(U463/V463,"")</f>
        <v>5.1475694444416149</v>
      </c>
      <c r="X463" s="148">
        <f>F463/1000</f>
        <v>122.261</v>
      </c>
      <c r="Y463" s="111"/>
      <c r="Z463" s="155" t="str">
        <f t="shared" ref="Z463:Z479" si="762">IFERROR(IF(X463=0,"",X463/Y463),"")</f>
        <v/>
      </c>
      <c r="AN463" s="335"/>
      <c r="AO463" s="336">
        <f>X463-Y463</f>
        <v>122.261</v>
      </c>
      <c r="AP463" s="452"/>
    </row>
    <row r="464" spans="2:43" ht="17.45" hidden="1" customHeight="1" outlineLevel="1">
      <c r="B464" s="1172"/>
      <c r="C464" s="110" t="s">
        <v>59</v>
      </c>
      <c r="D464" s="111">
        <f t="shared" si="755"/>
        <v>0</v>
      </c>
      <c r="E464" s="111">
        <f t="shared" si="756"/>
        <v>94350</v>
      </c>
      <c r="F464" s="111">
        <f t="shared" ref="F464:F468" si="763">D464+E464</f>
        <v>94350</v>
      </c>
      <c r="G464" s="112">
        <f t="shared" ref="G464:G477" si="764">IFERROR(D464/F464,"")</f>
        <v>0</v>
      </c>
      <c r="H464" s="112">
        <f t="shared" ref="H464:H467" si="765">IFERROR(E464/F464,"")</f>
        <v>1</v>
      </c>
      <c r="I464" s="112">
        <f t="shared" si="757"/>
        <v>1</v>
      </c>
      <c r="J464" s="111">
        <f t="shared" si="758"/>
        <v>0</v>
      </c>
      <c r="K464" s="111">
        <f t="shared" si="759"/>
        <v>0</v>
      </c>
      <c r="L464" s="111">
        <f t="shared" ref="L464:L467" si="766">J464+K464</f>
        <v>0</v>
      </c>
      <c r="O464" s="125" t="str">
        <f t="shared" ref="O464:O468" si="767">C464</f>
        <v>남동발전</v>
      </c>
      <c r="P464" s="126">
        <f t="shared" si="760"/>
        <v>0.72638888889196096</v>
      </c>
      <c r="Q464" s="111">
        <f t="shared" si="761"/>
        <v>2</v>
      </c>
      <c r="R464" s="126">
        <f t="shared" ref="R464:R486" si="768">IFERROR(P464/Q464,"")</f>
        <v>0.36319444444598048</v>
      </c>
      <c r="S464" s="122"/>
      <c r="T464" s="125" t="str">
        <f t="shared" ref="T464:V468" si="769">O464</f>
        <v>남동발전</v>
      </c>
      <c r="U464" s="126">
        <f t="shared" si="769"/>
        <v>0.72638888889196096</v>
      </c>
      <c r="V464" s="111">
        <f t="shared" si="769"/>
        <v>2</v>
      </c>
      <c r="W464" s="127">
        <f t="shared" ref="W464:W485" si="770">IFERROR(U464/V464,"")</f>
        <v>0.36319444444598048</v>
      </c>
      <c r="X464" s="148">
        <f t="shared" ref="X464:X468" si="771">F464/1000</f>
        <v>94.35</v>
      </c>
      <c r="Y464" s="111"/>
      <c r="Z464" s="155" t="str">
        <f t="shared" si="762"/>
        <v/>
      </c>
      <c r="AN464" s="335"/>
      <c r="AO464" s="336">
        <f t="shared" ref="AO464:AO468" si="772">X464-Y464</f>
        <v>94.35</v>
      </c>
      <c r="AP464" s="452"/>
    </row>
    <row r="465" spans="2:43" ht="17.45" hidden="1" customHeight="1" outlineLevel="1">
      <c r="B465" s="1172"/>
      <c r="C465" s="110" t="s">
        <v>60</v>
      </c>
      <c r="D465" s="111">
        <f t="shared" si="755"/>
        <v>0</v>
      </c>
      <c r="E465" s="111">
        <f t="shared" si="756"/>
        <v>0</v>
      </c>
      <c r="F465" s="111">
        <f t="shared" si="763"/>
        <v>0</v>
      </c>
      <c r="G465" s="112" t="str">
        <f t="shared" si="764"/>
        <v/>
      </c>
      <c r="H465" s="112" t="str">
        <f t="shared" si="765"/>
        <v/>
      </c>
      <c r="I465" s="112" t="str">
        <f t="shared" si="757"/>
        <v/>
      </c>
      <c r="J465" s="111">
        <f t="shared" si="758"/>
        <v>0</v>
      </c>
      <c r="K465" s="111">
        <f t="shared" si="759"/>
        <v>0</v>
      </c>
      <c r="L465" s="111">
        <f t="shared" si="766"/>
        <v>0</v>
      </c>
      <c r="O465" s="125" t="str">
        <f t="shared" si="767"/>
        <v>동서발전</v>
      </c>
      <c r="P465" s="126">
        <f t="shared" si="760"/>
        <v>0</v>
      </c>
      <c r="Q465" s="111">
        <f t="shared" si="761"/>
        <v>0</v>
      </c>
      <c r="R465" s="126" t="str">
        <f t="shared" si="768"/>
        <v/>
      </c>
      <c r="S465" s="122"/>
      <c r="T465" s="125" t="str">
        <f t="shared" si="769"/>
        <v>동서발전</v>
      </c>
      <c r="U465" s="126">
        <f t="shared" si="769"/>
        <v>0</v>
      </c>
      <c r="V465" s="111">
        <f t="shared" si="769"/>
        <v>0</v>
      </c>
      <c r="W465" s="127" t="str">
        <f t="shared" si="770"/>
        <v/>
      </c>
      <c r="X465" s="148">
        <f t="shared" si="771"/>
        <v>0</v>
      </c>
      <c r="Y465" s="111"/>
      <c r="Z465" s="155" t="str">
        <f t="shared" si="762"/>
        <v/>
      </c>
      <c r="AN465" s="335"/>
      <c r="AO465" s="336">
        <f t="shared" si="772"/>
        <v>0</v>
      </c>
      <c r="AP465" s="452"/>
    </row>
    <row r="466" spans="2:43" ht="17.45" hidden="1" customHeight="1" outlineLevel="1">
      <c r="B466" s="1172"/>
      <c r="C466" s="110" t="s">
        <v>159</v>
      </c>
      <c r="D466" s="111">
        <f t="shared" si="755"/>
        <v>0</v>
      </c>
      <c r="E466" s="111">
        <f t="shared" si="756"/>
        <v>0</v>
      </c>
      <c r="F466" s="111">
        <f t="shared" si="763"/>
        <v>0</v>
      </c>
      <c r="G466" s="112" t="str">
        <f t="shared" si="764"/>
        <v/>
      </c>
      <c r="H466" s="112" t="str">
        <f t="shared" si="765"/>
        <v/>
      </c>
      <c r="I466" s="112" t="str">
        <f t="shared" si="757"/>
        <v/>
      </c>
      <c r="J466" s="111">
        <f t="shared" si="758"/>
        <v>0</v>
      </c>
      <c r="K466" s="111">
        <f t="shared" si="759"/>
        <v>0</v>
      </c>
      <c r="L466" s="111">
        <f t="shared" si="766"/>
        <v>0</v>
      </c>
      <c r="O466" s="125" t="str">
        <f t="shared" si="767"/>
        <v>미쓰이</v>
      </c>
      <c r="P466" s="126">
        <f t="shared" si="760"/>
        <v>0</v>
      </c>
      <c r="Q466" s="111">
        <f t="shared" si="761"/>
        <v>0</v>
      </c>
      <c r="R466" s="126" t="str">
        <f t="shared" si="768"/>
        <v/>
      </c>
      <c r="S466" s="122"/>
      <c r="T466" s="125" t="str">
        <f t="shared" si="769"/>
        <v>미쓰이</v>
      </c>
      <c r="U466" s="126">
        <f t="shared" si="769"/>
        <v>0</v>
      </c>
      <c r="V466" s="111">
        <f t="shared" si="769"/>
        <v>0</v>
      </c>
      <c r="W466" s="127" t="str">
        <f t="shared" si="770"/>
        <v/>
      </c>
      <c r="X466" s="148">
        <f t="shared" si="771"/>
        <v>0</v>
      </c>
      <c r="Y466" s="111"/>
      <c r="Z466" s="155" t="str">
        <f t="shared" si="762"/>
        <v/>
      </c>
      <c r="AN466" s="335"/>
      <c r="AO466" s="336">
        <f t="shared" si="772"/>
        <v>0</v>
      </c>
      <c r="AP466" s="452"/>
    </row>
    <row r="467" spans="2:43" ht="17.45" hidden="1" customHeight="1" outlineLevel="1">
      <c r="B467" s="1172"/>
      <c r="C467" s="110" t="s">
        <v>168</v>
      </c>
      <c r="D467" s="111">
        <f t="shared" si="755"/>
        <v>0</v>
      </c>
      <c r="E467" s="111">
        <f t="shared" si="756"/>
        <v>0</v>
      </c>
      <c r="F467" s="111">
        <f t="shared" si="763"/>
        <v>0</v>
      </c>
      <c r="G467" s="112" t="str">
        <f t="shared" si="764"/>
        <v/>
      </c>
      <c r="H467" s="112" t="str">
        <f t="shared" si="765"/>
        <v/>
      </c>
      <c r="I467" s="112" t="str">
        <f t="shared" si="757"/>
        <v/>
      </c>
      <c r="J467" s="111">
        <f t="shared" si="758"/>
        <v>0</v>
      </c>
      <c r="K467" s="111">
        <f t="shared" si="759"/>
        <v>0</v>
      </c>
      <c r="L467" s="111">
        <f t="shared" si="766"/>
        <v>0</v>
      </c>
      <c r="O467" s="125" t="str">
        <f t="shared" si="767"/>
        <v>포스코인터</v>
      </c>
      <c r="P467" s="126">
        <f t="shared" si="760"/>
        <v>0</v>
      </c>
      <c r="Q467" s="111">
        <f t="shared" si="761"/>
        <v>0</v>
      </c>
      <c r="R467" s="126" t="str">
        <f t="shared" si="768"/>
        <v/>
      </c>
      <c r="S467" s="122"/>
      <c r="T467" s="125" t="str">
        <f t="shared" si="769"/>
        <v>포스코인터</v>
      </c>
      <c r="U467" s="126">
        <f t="shared" si="769"/>
        <v>0</v>
      </c>
      <c r="V467" s="111">
        <f t="shared" si="769"/>
        <v>0</v>
      </c>
      <c r="W467" s="127" t="str">
        <f t="shared" si="770"/>
        <v/>
      </c>
      <c r="X467" s="148">
        <f t="shared" si="771"/>
        <v>0</v>
      </c>
      <c r="Y467" s="111"/>
      <c r="Z467" s="155" t="str">
        <f t="shared" si="762"/>
        <v/>
      </c>
      <c r="AN467" s="335"/>
      <c r="AO467" s="336">
        <f t="shared" si="772"/>
        <v>0</v>
      </c>
      <c r="AP467" s="452"/>
    </row>
    <row r="468" spans="2:43" ht="17.45" hidden="1" customHeight="1" outlineLevel="1">
      <c r="B468" s="1172"/>
      <c r="C468" s="110" t="s">
        <v>154</v>
      </c>
      <c r="D468" s="111">
        <f t="shared" si="755"/>
        <v>0</v>
      </c>
      <c r="E468" s="111">
        <f t="shared" si="756"/>
        <v>0</v>
      </c>
      <c r="F468" s="111">
        <f t="shared" si="763"/>
        <v>0</v>
      </c>
      <c r="G468" s="112" t="str">
        <f t="shared" si="764"/>
        <v/>
      </c>
      <c r="H468" s="112" t="str">
        <f>IFERROR(E468/F468,"")</f>
        <v/>
      </c>
      <c r="I468" s="112" t="str">
        <f>IFERROR(G468+H468,"")</f>
        <v/>
      </c>
      <c r="J468" s="111">
        <f t="shared" si="758"/>
        <v>0</v>
      </c>
      <c r="K468" s="111">
        <f t="shared" si="759"/>
        <v>0</v>
      </c>
      <c r="L468" s="111">
        <f>J468+K468</f>
        <v>0</v>
      </c>
      <c r="O468" s="125" t="str">
        <f t="shared" si="767"/>
        <v>이노샌드</v>
      </c>
      <c r="P468" s="126">
        <f t="shared" si="760"/>
        <v>0</v>
      </c>
      <c r="Q468" s="111">
        <f t="shared" si="761"/>
        <v>0</v>
      </c>
      <c r="R468" s="126" t="str">
        <f t="shared" si="768"/>
        <v/>
      </c>
      <c r="S468" s="122"/>
      <c r="T468" s="125" t="str">
        <f t="shared" si="769"/>
        <v>이노샌드</v>
      </c>
      <c r="U468" s="126">
        <f t="shared" si="769"/>
        <v>0</v>
      </c>
      <c r="V468" s="111">
        <f t="shared" si="769"/>
        <v>0</v>
      </c>
      <c r="W468" s="127" t="str">
        <f t="shared" si="770"/>
        <v/>
      </c>
      <c r="X468" s="148">
        <f t="shared" si="771"/>
        <v>0</v>
      </c>
      <c r="Y468" s="111"/>
      <c r="Z468" s="155" t="str">
        <f t="shared" si="762"/>
        <v/>
      </c>
      <c r="AN468" s="335"/>
      <c r="AO468" s="336">
        <f t="shared" si="772"/>
        <v>0</v>
      </c>
      <c r="AP468" s="452"/>
      <c r="AQ468" s="337"/>
    </row>
    <row r="469" spans="2:43" ht="17.45" hidden="1" customHeight="1" outlineLevel="1">
      <c r="B469" s="1172"/>
      <c r="C469" s="113" t="s">
        <v>61</v>
      </c>
      <c r="D469" s="114">
        <f>SUM(D463:D468)</f>
        <v>0</v>
      </c>
      <c r="E469" s="114">
        <f>SUM(E463:E468)</f>
        <v>216611</v>
      </c>
      <c r="F469" s="114">
        <f>SUM(F463:F468)</f>
        <v>216611</v>
      </c>
      <c r="G469" s="115">
        <f t="shared" si="764"/>
        <v>0</v>
      </c>
      <c r="H469" s="115">
        <f>IFERROR(E469/F469,"")</f>
        <v>1</v>
      </c>
      <c r="I469" s="115">
        <f>IFERROR(G469+H469,"")</f>
        <v>1</v>
      </c>
      <c r="J469" s="114">
        <f t="shared" ref="J469:L469" si="773">SUM(J463:J468)</f>
        <v>0</v>
      </c>
      <c r="K469" s="114">
        <f t="shared" si="773"/>
        <v>0</v>
      </c>
      <c r="L469" s="114">
        <f t="shared" si="773"/>
        <v>0</v>
      </c>
      <c r="O469" s="128" t="s">
        <v>61</v>
      </c>
      <c r="P469" s="129">
        <f>SUM(P463:P468)</f>
        <v>11.021527777775191</v>
      </c>
      <c r="Q469" s="114">
        <f>SUM(Q463:Q468)</f>
        <v>4</v>
      </c>
      <c r="R469" s="129">
        <f t="shared" si="768"/>
        <v>2.7553819444437977</v>
      </c>
      <c r="S469" s="122"/>
      <c r="T469" s="128" t="s">
        <v>61</v>
      </c>
      <c r="U469" s="129">
        <f>SUM(U463:U468)</f>
        <v>11.021527777775191</v>
      </c>
      <c r="V469" s="114">
        <f>SUM(V463:V468)</f>
        <v>4</v>
      </c>
      <c r="W469" s="129">
        <f t="shared" si="770"/>
        <v>2.7553819444437977</v>
      </c>
      <c r="X469" s="114">
        <f>SUM(X463:X468)</f>
        <v>216.61099999999999</v>
      </c>
      <c r="Y469" s="114">
        <f>SUM(Y463:Y468)</f>
        <v>0</v>
      </c>
      <c r="Z469" s="156" t="str">
        <f t="shared" si="762"/>
        <v/>
      </c>
      <c r="AN469" s="338">
        <f>SUM(AN463:AN468)</f>
        <v>0</v>
      </c>
      <c r="AO469" s="338">
        <f>SUM(AO463:AO468)</f>
        <v>216.61099999999999</v>
      </c>
      <c r="AP469" s="453"/>
    </row>
    <row r="470" spans="2:43" ht="17.25" hidden="1" customHeight="1" outlineLevel="1">
      <c r="B470" s="1103" t="s">
        <v>62</v>
      </c>
      <c r="C470" s="110" t="s">
        <v>367</v>
      </c>
      <c r="D470" s="111">
        <f t="shared" ref="D470:D484" si="774">SUMIF($B$27:$B$48,C470,$L$27:$L$48)</f>
        <v>18000</v>
      </c>
      <c r="E470" s="111">
        <f t="shared" ref="E470:E485" si="775">SUMIF($B$27:$B$48,C470,$M$27:$M$48)</f>
        <v>0</v>
      </c>
      <c r="F470" s="111">
        <f t="shared" ref="F470:F485" si="776">D470+E470</f>
        <v>18000</v>
      </c>
      <c r="G470" s="112">
        <f t="shared" si="764"/>
        <v>1</v>
      </c>
      <c r="H470" s="112">
        <f t="shared" ref="H470:H480" si="777">IFERROR(E470/F470,"")</f>
        <v>0</v>
      </c>
      <c r="I470" s="112">
        <f t="shared" ref="I470:I480" si="778">IFERROR(G470+H470,"")</f>
        <v>1</v>
      </c>
      <c r="J470" s="111">
        <f t="shared" ref="J470:J485" si="779">SUMIF($B$48:$B$48,C470,$AX$48:$AX$48)</f>
        <v>0</v>
      </c>
      <c r="K470" s="111">
        <f t="shared" ref="K470:K485" si="780">SUMIF($B$48:$B$48,C470,$AY$48:$AY$48)</f>
        <v>0</v>
      </c>
      <c r="L470" s="111">
        <f t="shared" ref="L470:L485" si="781">J470+K470</f>
        <v>0</v>
      </c>
      <c r="O470" s="125" t="str">
        <f>C470</f>
        <v>보임코퍼레이션</v>
      </c>
      <c r="P470" s="126">
        <f t="shared" ref="P470:P485" si="782">SUMIF($B$27:$B$48,O470,$AA$27:$AA$48)</f>
        <v>3.2333333333299379</v>
      </c>
      <c r="Q470" s="111">
        <f t="shared" ref="Q470:Q485" si="783">SUMIF($B$27:$B$48,O470,$AZ$27:$AZ$48)</f>
        <v>1</v>
      </c>
      <c r="R470" s="126">
        <f t="shared" si="768"/>
        <v>3.2333333333299379</v>
      </c>
      <c r="S470" s="122"/>
      <c r="T470" s="125" t="str">
        <f t="shared" ref="T470:V485" si="784">O470</f>
        <v>보임코퍼레이션</v>
      </c>
      <c r="U470" s="126">
        <f t="shared" si="784"/>
        <v>3.2333333333299379</v>
      </c>
      <c r="V470" s="111">
        <f t="shared" si="784"/>
        <v>1</v>
      </c>
      <c r="W470" s="127">
        <f t="shared" si="770"/>
        <v>3.2333333333299379</v>
      </c>
      <c r="X470" s="148">
        <f t="shared" ref="X470:X485" si="785">F470/1000</f>
        <v>18</v>
      </c>
      <c r="Y470" s="111"/>
      <c r="Z470" s="155" t="str">
        <f t="shared" si="762"/>
        <v/>
      </c>
      <c r="AN470" s="335"/>
      <c r="AO470" s="336">
        <f>X470-Y470</f>
        <v>18</v>
      </c>
      <c r="AP470" s="452"/>
    </row>
    <row r="471" spans="2:43" ht="17.25" hidden="1" customHeight="1" outlineLevel="1">
      <c r="B471" s="1104"/>
      <c r="C471" s="110" t="s">
        <v>222</v>
      </c>
      <c r="D471" s="111">
        <f t="shared" si="774"/>
        <v>0</v>
      </c>
      <c r="E471" s="111">
        <f t="shared" si="775"/>
        <v>52591</v>
      </c>
      <c r="F471" s="111">
        <f t="shared" si="776"/>
        <v>52591</v>
      </c>
      <c r="G471" s="112">
        <f t="shared" si="764"/>
        <v>0</v>
      </c>
      <c r="H471" s="112">
        <f t="shared" si="777"/>
        <v>1</v>
      </c>
      <c r="I471" s="112">
        <f t="shared" si="778"/>
        <v>1</v>
      </c>
      <c r="J471" s="111">
        <f t="shared" si="779"/>
        <v>0</v>
      </c>
      <c r="K471" s="111">
        <f t="shared" si="780"/>
        <v>0</v>
      </c>
      <c r="L471" s="111">
        <f t="shared" si="781"/>
        <v>0</v>
      </c>
      <c r="O471" s="125" t="str">
        <f>C471</f>
        <v>태경비케이</v>
      </c>
      <c r="P471" s="126">
        <f t="shared" si="782"/>
        <v>6.25E-2</v>
      </c>
      <c r="Q471" s="111">
        <f t="shared" si="783"/>
        <v>1</v>
      </c>
      <c r="R471" s="126">
        <f t="shared" si="768"/>
        <v>6.25E-2</v>
      </c>
      <c r="S471" s="122"/>
      <c r="T471" s="125" t="str">
        <f t="shared" si="784"/>
        <v>태경비케이</v>
      </c>
      <c r="U471" s="126">
        <f t="shared" si="784"/>
        <v>6.25E-2</v>
      </c>
      <c r="V471" s="111">
        <f t="shared" si="784"/>
        <v>1</v>
      </c>
      <c r="W471" s="127">
        <f t="shared" si="770"/>
        <v>6.25E-2</v>
      </c>
      <c r="X471" s="148">
        <f t="shared" si="785"/>
        <v>52.591000000000001</v>
      </c>
      <c r="Y471" s="111"/>
      <c r="Z471" s="155" t="str">
        <f t="shared" si="762"/>
        <v/>
      </c>
      <c r="AN471" s="335"/>
      <c r="AO471" s="336">
        <f>X471-Y471</f>
        <v>52.591000000000001</v>
      </c>
      <c r="AP471" s="452"/>
    </row>
    <row r="472" spans="2:43" ht="17.45" hidden="1" customHeight="1" outlineLevel="1">
      <c r="B472" s="1104"/>
      <c r="C472" s="110" t="s">
        <v>78</v>
      </c>
      <c r="D472" s="111">
        <f t="shared" si="774"/>
        <v>0</v>
      </c>
      <c r="E472" s="111">
        <f t="shared" si="775"/>
        <v>16656</v>
      </c>
      <c r="F472" s="111">
        <f t="shared" si="776"/>
        <v>16656</v>
      </c>
      <c r="G472" s="112">
        <f t="shared" si="764"/>
        <v>0</v>
      </c>
      <c r="H472" s="112">
        <f t="shared" si="777"/>
        <v>1</v>
      </c>
      <c r="I472" s="112">
        <f t="shared" si="778"/>
        <v>1</v>
      </c>
      <c r="J472" s="111">
        <f t="shared" si="779"/>
        <v>0</v>
      </c>
      <c r="K472" s="111">
        <f t="shared" si="780"/>
        <v>0</v>
      </c>
      <c r="L472" s="111">
        <f t="shared" si="781"/>
        <v>0</v>
      </c>
      <c r="O472" s="125" t="str">
        <f t="shared" ref="O472:O485" si="786">C472</f>
        <v>삼영산업</v>
      </c>
      <c r="P472" s="126">
        <f t="shared" si="782"/>
        <v>0.55416666666133096</v>
      </c>
      <c r="Q472" s="111">
        <f t="shared" si="783"/>
        <v>1</v>
      </c>
      <c r="R472" s="126">
        <f t="shared" si="768"/>
        <v>0.55416666666133096</v>
      </c>
      <c r="S472" s="122"/>
      <c r="T472" s="125" t="str">
        <f t="shared" si="784"/>
        <v>삼영산업</v>
      </c>
      <c r="U472" s="126">
        <f t="shared" si="784"/>
        <v>0.55416666666133096</v>
      </c>
      <c r="V472" s="111">
        <f t="shared" si="784"/>
        <v>1</v>
      </c>
      <c r="W472" s="127">
        <f t="shared" si="770"/>
        <v>0.55416666666133096</v>
      </c>
      <c r="X472" s="148">
        <f t="shared" si="785"/>
        <v>16.655999999999999</v>
      </c>
      <c r="Y472" s="111"/>
      <c r="Z472" s="155" t="str">
        <f t="shared" si="762"/>
        <v/>
      </c>
      <c r="AN472" s="335"/>
      <c r="AO472" s="336">
        <f t="shared" ref="AO472:AO473" si="787">X472-Y472</f>
        <v>16.655999999999999</v>
      </c>
      <c r="AP472" s="452"/>
    </row>
    <row r="473" spans="2:43" ht="17.45" hidden="1" customHeight="1" outlineLevel="1">
      <c r="B473" s="1104"/>
      <c r="C473" s="110" t="s">
        <v>176</v>
      </c>
      <c r="D473" s="111">
        <f t="shared" si="774"/>
        <v>0</v>
      </c>
      <c r="E473" s="111">
        <f>SUMIF($B$27:$B$48,C473,$M$27:$M$48)</f>
        <v>0</v>
      </c>
      <c r="F473" s="111">
        <f t="shared" si="776"/>
        <v>0</v>
      </c>
      <c r="G473" s="112" t="str">
        <f t="shared" si="764"/>
        <v/>
      </c>
      <c r="H473" s="112" t="str">
        <f t="shared" si="777"/>
        <v/>
      </c>
      <c r="I473" s="112" t="str">
        <f t="shared" si="778"/>
        <v/>
      </c>
      <c r="J473" s="111">
        <f t="shared" si="779"/>
        <v>0</v>
      </c>
      <c r="K473" s="111">
        <f t="shared" si="780"/>
        <v>0</v>
      </c>
      <c r="L473" s="111">
        <f t="shared" si="781"/>
        <v>0</v>
      </c>
      <c r="O473" s="125" t="str">
        <f t="shared" si="786"/>
        <v>고려시멘트</v>
      </c>
      <c r="P473" s="126">
        <f t="shared" si="782"/>
        <v>0</v>
      </c>
      <c r="Q473" s="111">
        <f t="shared" si="783"/>
        <v>0</v>
      </c>
      <c r="R473" s="126" t="str">
        <f t="shared" si="768"/>
        <v/>
      </c>
      <c r="S473" s="122"/>
      <c r="T473" s="125" t="str">
        <f t="shared" si="784"/>
        <v>고려시멘트</v>
      </c>
      <c r="U473" s="126">
        <f t="shared" si="784"/>
        <v>0</v>
      </c>
      <c r="V473" s="111">
        <f t="shared" si="784"/>
        <v>0</v>
      </c>
      <c r="W473" s="127" t="str">
        <f t="shared" si="770"/>
        <v/>
      </c>
      <c r="X473" s="148">
        <f t="shared" si="785"/>
        <v>0</v>
      </c>
      <c r="Y473" s="111"/>
      <c r="Z473" s="155" t="str">
        <f t="shared" si="762"/>
        <v/>
      </c>
      <c r="AN473" s="335"/>
      <c r="AO473" s="336">
        <f t="shared" si="787"/>
        <v>0</v>
      </c>
      <c r="AP473" s="452"/>
    </row>
    <row r="474" spans="2:43" ht="17.45" hidden="1" customHeight="1" outlineLevel="1">
      <c r="B474" s="1104"/>
      <c r="C474" s="110" t="s">
        <v>63</v>
      </c>
      <c r="D474" s="111">
        <f t="shared" si="774"/>
        <v>30505</v>
      </c>
      <c r="E474" s="111">
        <f t="shared" si="775"/>
        <v>0</v>
      </c>
      <c r="F474" s="111">
        <f t="shared" si="776"/>
        <v>30505</v>
      </c>
      <c r="G474" s="112">
        <f t="shared" si="764"/>
        <v>1</v>
      </c>
      <c r="H474" s="112">
        <f t="shared" si="777"/>
        <v>0</v>
      </c>
      <c r="I474" s="112">
        <f t="shared" si="778"/>
        <v>1</v>
      </c>
      <c r="J474" s="111">
        <f t="shared" si="779"/>
        <v>0</v>
      </c>
      <c r="K474" s="111">
        <f t="shared" si="780"/>
        <v>0</v>
      </c>
      <c r="L474" s="111">
        <f t="shared" si="781"/>
        <v>0</v>
      </c>
      <c r="O474" s="125" t="str">
        <f t="shared" si="786"/>
        <v>청해실업</v>
      </c>
      <c r="P474" s="126">
        <f t="shared" si="782"/>
        <v>7.3055555555547471</v>
      </c>
      <c r="Q474" s="111">
        <f t="shared" si="783"/>
        <v>1</v>
      </c>
      <c r="R474" s="126">
        <f t="shared" si="768"/>
        <v>7.3055555555547471</v>
      </c>
      <c r="S474" s="122"/>
      <c r="T474" s="125" t="str">
        <f t="shared" si="784"/>
        <v>청해실업</v>
      </c>
      <c r="U474" s="126">
        <f t="shared" si="784"/>
        <v>7.3055555555547471</v>
      </c>
      <c r="V474" s="111">
        <f t="shared" si="784"/>
        <v>1</v>
      </c>
      <c r="W474" s="127">
        <f t="shared" si="770"/>
        <v>7.3055555555547471</v>
      </c>
      <c r="X474" s="148">
        <f t="shared" si="785"/>
        <v>30.504999999999999</v>
      </c>
      <c r="Y474" s="111"/>
      <c r="Z474" s="155" t="str">
        <f t="shared" si="762"/>
        <v/>
      </c>
      <c r="AN474" s="339"/>
      <c r="AO474" s="340">
        <f t="shared" ref="AO474" si="788">X474-AN474</f>
        <v>30.504999999999999</v>
      </c>
      <c r="AP474" s="454"/>
      <c r="AQ474" s="240" t="s">
        <v>30</v>
      </c>
    </row>
    <row r="475" spans="2:43" ht="17.45" hidden="1" customHeight="1" outlineLevel="1">
      <c r="B475" s="1104"/>
      <c r="C475" s="110" t="s">
        <v>64</v>
      </c>
      <c r="D475" s="111">
        <f t="shared" si="774"/>
        <v>154000</v>
      </c>
      <c r="E475" s="111">
        <f t="shared" si="775"/>
        <v>0</v>
      </c>
      <c r="F475" s="111">
        <f t="shared" si="776"/>
        <v>154000</v>
      </c>
      <c r="G475" s="112">
        <f t="shared" si="764"/>
        <v>1</v>
      </c>
      <c r="H475" s="112">
        <f t="shared" si="777"/>
        <v>0</v>
      </c>
      <c r="I475" s="112">
        <f t="shared" si="778"/>
        <v>1</v>
      </c>
      <c r="J475" s="111">
        <f t="shared" si="779"/>
        <v>0</v>
      </c>
      <c r="K475" s="111">
        <f t="shared" si="780"/>
        <v>0</v>
      </c>
      <c r="L475" s="111">
        <f t="shared" si="781"/>
        <v>0</v>
      </c>
      <c r="O475" s="125" t="str">
        <f t="shared" si="786"/>
        <v>한화에너지</v>
      </c>
      <c r="P475" s="126">
        <f t="shared" si="782"/>
        <v>3.9201388888905058</v>
      </c>
      <c r="Q475" s="111">
        <f t="shared" si="783"/>
        <v>1</v>
      </c>
      <c r="R475" s="126">
        <f t="shared" si="768"/>
        <v>3.9201388888905058</v>
      </c>
      <c r="S475" s="122"/>
      <c r="T475" s="125" t="str">
        <f t="shared" si="784"/>
        <v>한화에너지</v>
      </c>
      <c r="U475" s="126">
        <f t="shared" si="784"/>
        <v>3.9201388888905058</v>
      </c>
      <c r="V475" s="111">
        <f t="shared" si="784"/>
        <v>1</v>
      </c>
      <c r="W475" s="127">
        <f t="shared" si="770"/>
        <v>3.9201388888905058</v>
      </c>
      <c r="X475" s="148">
        <f t="shared" si="785"/>
        <v>154</v>
      </c>
      <c r="Y475" s="111"/>
      <c r="Z475" s="155" t="str">
        <f t="shared" si="762"/>
        <v/>
      </c>
      <c r="AN475" s="335"/>
      <c r="AO475" s="336">
        <f t="shared" ref="AO475:AO485" si="789">X475-Y475</f>
        <v>154</v>
      </c>
      <c r="AP475" s="452"/>
    </row>
    <row r="476" spans="2:43" ht="17.45" hidden="1" customHeight="1" outlineLevel="1">
      <c r="B476" s="1104"/>
      <c r="C476" s="110" t="s">
        <v>178</v>
      </c>
      <c r="D476" s="111">
        <f t="shared" si="774"/>
        <v>0</v>
      </c>
      <c r="E476" s="111">
        <f t="shared" si="775"/>
        <v>0</v>
      </c>
      <c r="F476" s="111">
        <f t="shared" si="776"/>
        <v>0</v>
      </c>
      <c r="G476" s="112" t="str">
        <f t="shared" si="764"/>
        <v/>
      </c>
      <c r="H476" s="112" t="str">
        <f t="shared" si="777"/>
        <v/>
      </c>
      <c r="I476" s="112" t="str">
        <f t="shared" si="778"/>
        <v/>
      </c>
      <c r="J476" s="111">
        <f t="shared" si="779"/>
        <v>0</v>
      </c>
      <c r="K476" s="111">
        <f t="shared" si="780"/>
        <v>0</v>
      </c>
      <c r="L476" s="111">
        <f t="shared" si="781"/>
        <v>0</v>
      </c>
      <c r="O476" s="125" t="str">
        <f t="shared" si="786"/>
        <v>금호석유화학</v>
      </c>
      <c r="P476" s="126">
        <f t="shared" si="782"/>
        <v>0</v>
      </c>
      <c r="Q476" s="111">
        <f t="shared" si="783"/>
        <v>0</v>
      </c>
      <c r="R476" s="126" t="str">
        <f t="shared" si="768"/>
        <v/>
      </c>
      <c r="S476" s="122"/>
      <c r="T476" s="125" t="str">
        <f t="shared" si="784"/>
        <v>금호석유화학</v>
      </c>
      <c r="U476" s="126">
        <f t="shared" si="784"/>
        <v>0</v>
      </c>
      <c r="V476" s="111">
        <f t="shared" si="784"/>
        <v>0</v>
      </c>
      <c r="W476" s="127" t="str">
        <f t="shared" si="770"/>
        <v/>
      </c>
      <c r="X476" s="148">
        <f t="shared" si="785"/>
        <v>0</v>
      </c>
      <c r="Y476" s="111"/>
      <c r="Z476" s="155" t="str">
        <f t="shared" si="762"/>
        <v/>
      </c>
      <c r="AN476" s="335"/>
      <c r="AO476" s="336">
        <f t="shared" si="789"/>
        <v>0</v>
      </c>
      <c r="AP476" s="452"/>
    </row>
    <row r="477" spans="2:43" ht="17.45" hidden="1" customHeight="1" outlineLevel="1">
      <c r="B477" s="1104"/>
      <c r="C477" s="110" t="s">
        <v>65</v>
      </c>
      <c r="D477" s="111">
        <f t="shared" si="774"/>
        <v>0</v>
      </c>
      <c r="E477" s="111">
        <f t="shared" si="775"/>
        <v>0</v>
      </c>
      <c r="F477" s="111">
        <f t="shared" si="776"/>
        <v>0</v>
      </c>
      <c r="G477" s="112" t="str">
        <f t="shared" si="764"/>
        <v/>
      </c>
      <c r="H477" s="112" t="str">
        <f t="shared" si="777"/>
        <v/>
      </c>
      <c r="I477" s="112" t="str">
        <f t="shared" si="778"/>
        <v/>
      </c>
      <c r="J477" s="111">
        <f t="shared" si="779"/>
        <v>0</v>
      </c>
      <c r="K477" s="111">
        <f t="shared" si="780"/>
        <v>0</v>
      </c>
      <c r="L477" s="111">
        <f t="shared" si="781"/>
        <v>0</v>
      </c>
      <c r="O477" s="125" t="str">
        <f t="shared" si="786"/>
        <v>LG상사</v>
      </c>
      <c r="P477" s="126">
        <f t="shared" si="782"/>
        <v>0</v>
      </c>
      <c r="Q477" s="111">
        <f t="shared" si="783"/>
        <v>0</v>
      </c>
      <c r="R477" s="126" t="str">
        <f t="shared" si="768"/>
        <v/>
      </c>
      <c r="S477" s="122"/>
      <c r="T477" s="125" t="str">
        <f t="shared" si="784"/>
        <v>LG상사</v>
      </c>
      <c r="U477" s="126">
        <f t="shared" si="784"/>
        <v>0</v>
      </c>
      <c r="V477" s="111">
        <f t="shared" si="784"/>
        <v>0</v>
      </c>
      <c r="W477" s="127" t="str">
        <f t="shared" si="770"/>
        <v/>
      </c>
      <c r="X477" s="148">
        <f t="shared" si="785"/>
        <v>0</v>
      </c>
      <c r="Y477" s="111"/>
      <c r="Z477" s="155" t="str">
        <f t="shared" si="762"/>
        <v/>
      </c>
      <c r="AN477" s="335"/>
      <c r="AO477" s="336">
        <f t="shared" si="789"/>
        <v>0</v>
      </c>
      <c r="AP477" s="452"/>
    </row>
    <row r="478" spans="2:43" ht="17.45" hidden="1" customHeight="1" outlineLevel="1">
      <c r="B478" s="1104"/>
      <c r="C478" s="110" t="s">
        <v>66</v>
      </c>
      <c r="D478" s="111">
        <f t="shared" si="774"/>
        <v>0</v>
      </c>
      <c r="E478" s="111">
        <f t="shared" si="775"/>
        <v>0</v>
      </c>
      <c r="F478" s="111">
        <f t="shared" si="776"/>
        <v>0</v>
      </c>
      <c r="G478" s="112" t="str">
        <f>IFERROR(D478/F478,"")</f>
        <v/>
      </c>
      <c r="H478" s="112" t="str">
        <f t="shared" si="777"/>
        <v/>
      </c>
      <c r="I478" s="112" t="str">
        <f t="shared" si="778"/>
        <v/>
      </c>
      <c r="J478" s="111">
        <f t="shared" si="779"/>
        <v>0</v>
      </c>
      <c r="K478" s="111">
        <f t="shared" si="780"/>
        <v>0</v>
      </c>
      <c r="L478" s="111">
        <f t="shared" si="781"/>
        <v>0</v>
      </c>
      <c r="O478" s="125" t="str">
        <f t="shared" si="786"/>
        <v>LG화학</v>
      </c>
      <c r="P478" s="126">
        <f t="shared" si="782"/>
        <v>0</v>
      </c>
      <c r="Q478" s="111">
        <f t="shared" si="783"/>
        <v>0</v>
      </c>
      <c r="R478" s="126" t="str">
        <f t="shared" si="768"/>
        <v/>
      </c>
      <c r="S478" s="122"/>
      <c r="T478" s="125" t="str">
        <f t="shared" si="784"/>
        <v>LG화학</v>
      </c>
      <c r="U478" s="126">
        <f t="shared" si="784"/>
        <v>0</v>
      </c>
      <c r="V478" s="111">
        <f t="shared" si="784"/>
        <v>0</v>
      </c>
      <c r="W478" s="127" t="str">
        <f t="shared" si="770"/>
        <v/>
      </c>
      <c r="X478" s="148">
        <f t="shared" si="785"/>
        <v>0</v>
      </c>
      <c r="Y478" s="111"/>
      <c r="Z478" s="155" t="str">
        <f t="shared" si="762"/>
        <v/>
      </c>
      <c r="AN478" s="335"/>
      <c r="AO478" s="336">
        <f t="shared" si="789"/>
        <v>0</v>
      </c>
      <c r="AP478" s="452"/>
    </row>
    <row r="479" spans="2:43" ht="17.45" hidden="1" customHeight="1" outlineLevel="1">
      <c r="B479" s="1104"/>
      <c r="C479" s="110" t="s">
        <v>67</v>
      </c>
      <c r="D479" s="111">
        <f t="shared" si="774"/>
        <v>0</v>
      </c>
      <c r="E479" s="111">
        <f t="shared" si="775"/>
        <v>0</v>
      </c>
      <c r="F479" s="111">
        <f t="shared" si="776"/>
        <v>0</v>
      </c>
      <c r="G479" s="112" t="str">
        <f t="shared" ref="G479:G487" si="790">IFERROR(D479/F479,"")</f>
        <v/>
      </c>
      <c r="H479" s="112" t="str">
        <f t="shared" si="777"/>
        <v/>
      </c>
      <c r="I479" s="112" t="str">
        <f t="shared" si="778"/>
        <v/>
      </c>
      <c r="J479" s="111">
        <f t="shared" si="779"/>
        <v>0</v>
      </c>
      <c r="K479" s="111">
        <f t="shared" si="780"/>
        <v>0</v>
      </c>
      <c r="L479" s="111">
        <f t="shared" si="781"/>
        <v>0</v>
      </c>
      <c r="O479" s="125" t="str">
        <f t="shared" si="786"/>
        <v>OCI SE</v>
      </c>
      <c r="P479" s="126">
        <f t="shared" si="782"/>
        <v>0</v>
      </c>
      <c r="Q479" s="111">
        <f t="shared" si="783"/>
        <v>0</v>
      </c>
      <c r="R479" s="126" t="str">
        <f t="shared" si="768"/>
        <v/>
      </c>
      <c r="S479" s="122"/>
      <c r="T479" s="125" t="str">
        <f t="shared" si="784"/>
        <v>OCI SE</v>
      </c>
      <c r="U479" s="126">
        <f t="shared" si="784"/>
        <v>0</v>
      </c>
      <c r="V479" s="111">
        <f t="shared" si="784"/>
        <v>0</v>
      </c>
      <c r="W479" s="127" t="str">
        <f t="shared" si="770"/>
        <v/>
      </c>
      <c r="X479" s="148">
        <f t="shared" si="785"/>
        <v>0</v>
      </c>
      <c r="Y479" s="111"/>
      <c r="Z479" s="155" t="str">
        <f t="shared" si="762"/>
        <v/>
      </c>
      <c r="AN479" s="335"/>
      <c r="AO479" s="336">
        <f t="shared" si="789"/>
        <v>0</v>
      </c>
      <c r="AP479" s="452"/>
    </row>
    <row r="480" spans="2:43" ht="17.45" hidden="1" customHeight="1" outlineLevel="1">
      <c r="B480" s="1104"/>
      <c r="C480" s="110" t="s">
        <v>37</v>
      </c>
      <c r="D480" s="111">
        <f t="shared" si="774"/>
        <v>0</v>
      </c>
      <c r="E480" s="111">
        <f t="shared" si="775"/>
        <v>0</v>
      </c>
      <c r="F480" s="111">
        <f t="shared" si="776"/>
        <v>0</v>
      </c>
      <c r="G480" s="112" t="str">
        <f t="shared" si="790"/>
        <v/>
      </c>
      <c r="H480" s="112" t="str">
        <f t="shared" si="777"/>
        <v/>
      </c>
      <c r="I480" s="112" t="str">
        <f t="shared" si="778"/>
        <v/>
      </c>
      <c r="J480" s="111">
        <f t="shared" si="779"/>
        <v>0</v>
      </c>
      <c r="K480" s="111">
        <f t="shared" si="780"/>
        <v>0</v>
      </c>
      <c r="L480" s="111">
        <f t="shared" si="781"/>
        <v>0</v>
      </c>
      <c r="O480" s="125" t="str">
        <f t="shared" si="786"/>
        <v>청해소재</v>
      </c>
      <c r="P480" s="126">
        <f t="shared" si="782"/>
        <v>0</v>
      </c>
      <c r="Q480" s="111">
        <f t="shared" si="783"/>
        <v>0</v>
      </c>
      <c r="R480" s="126" t="str">
        <f t="shared" si="768"/>
        <v/>
      </c>
      <c r="S480" s="122"/>
      <c r="T480" s="125" t="str">
        <f t="shared" si="784"/>
        <v>청해소재</v>
      </c>
      <c r="U480" s="126">
        <f t="shared" si="784"/>
        <v>0</v>
      </c>
      <c r="V480" s="111">
        <f t="shared" si="784"/>
        <v>0</v>
      </c>
      <c r="W480" s="127" t="str">
        <f t="shared" si="770"/>
        <v/>
      </c>
      <c r="X480" s="148">
        <f t="shared" si="785"/>
        <v>0</v>
      </c>
      <c r="Y480" s="111"/>
      <c r="Z480" s="155" t="str">
        <f>IFERROR(IF(X480=0,"",X480/Y480),"")</f>
        <v/>
      </c>
      <c r="AN480" s="335"/>
      <c r="AO480" s="336">
        <f t="shared" si="789"/>
        <v>0</v>
      </c>
      <c r="AP480" s="452"/>
      <c r="AQ480" s="240" t="s">
        <v>157</v>
      </c>
    </row>
    <row r="481" spans="2:43" ht="17.45" hidden="1" customHeight="1" outlineLevel="1">
      <c r="B481" s="1104"/>
      <c r="C481" s="110" t="s">
        <v>366</v>
      </c>
      <c r="D481" s="111">
        <v>43611</v>
      </c>
      <c r="E481" s="111">
        <f t="shared" si="775"/>
        <v>0</v>
      </c>
      <c r="F481" s="111">
        <f t="shared" si="776"/>
        <v>43611</v>
      </c>
      <c r="G481" s="112">
        <f t="shared" si="790"/>
        <v>1</v>
      </c>
      <c r="H481" s="112">
        <f>IFERROR(E481/F481,"")</f>
        <v>0</v>
      </c>
      <c r="I481" s="112">
        <f>IFERROR(G481+H481,"")</f>
        <v>1</v>
      </c>
      <c r="J481" s="111">
        <f t="shared" si="779"/>
        <v>0</v>
      </c>
      <c r="K481" s="111">
        <f t="shared" si="780"/>
        <v>0</v>
      </c>
      <c r="L481" s="111">
        <f t="shared" si="781"/>
        <v>0</v>
      </c>
      <c r="O481" s="125" t="str">
        <f t="shared" si="786"/>
        <v>김천에너지</v>
      </c>
      <c r="P481" s="126">
        <f t="shared" si="782"/>
        <v>0</v>
      </c>
      <c r="Q481" s="111">
        <f t="shared" si="783"/>
        <v>0</v>
      </c>
      <c r="R481" s="126" t="str">
        <f t="shared" si="768"/>
        <v/>
      </c>
      <c r="S481" s="122"/>
      <c r="T481" s="125" t="str">
        <f t="shared" si="784"/>
        <v>김천에너지</v>
      </c>
      <c r="U481" s="126">
        <f t="shared" si="784"/>
        <v>0</v>
      </c>
      <c r="V481" s="111">
        <f t="shared" si="784"/>
        <v>0</v>
      </c>
      <c r="W481" s="127" t="str">
        <f t="shared" si="770"/>
        <v/>
      </c>
      <c r="X481" s="148">
        <f t="shared" si="785"/>
        <v>43.610999999999997</v>
      </c>
      <c r="Y481" s="111"/>
      <c r="Z481" s="155" t="str">
        <f t="shared" ref="Z481:Z490" si="791">IFERROR(IF(X481=0,"",X481/Y481),"")</f>
        <v/>
      </c>
      <c r="AN481" s="335"/>
      <c r="AO481" s="336">
        <f t="shared" si="789"/>
        <v>43.610999999999997</v>
      </c>
      <c r="AP481" s="452"/>
    </row>
    <row r="482" spans="2:43" ht="17.45" hidden="1" customHeight="1" outlineLevel="1">
      <c r="B482" s="1104"/>
      <c r="C482" s="110" t="s">
        <v>107</v>
      </c>
      <c r="D482" s="111">
        <f t="shared" si="774"/>
        <v>0</v>
      </c>
      <c r="E482" s="111">
        <f t="shared" si="775"/>
        <v>0</v>
      </c>
      <c r="F482" s="111">
        <f t="shared" si="776"/>
        <v>0</v>
      </c>
      <c r="G482" s="112" t="str">
        <f t="shared" si="790"/>
        <v/>
      </c>
      <c r="H482" s="112" t="str">
        <f t="shared" ref="H482:H485" si="792">IFERROR(E482/F482,"")</f>
        <v/>
      </c>
      <c r="I482" s="112" t="str">
        <f t="shared" ref="I482:I485" si="793">IFERROR(G482+H482,"")</f>
        <v/>
      </c>
      <c r="J482" s="111">
        <f t="shared" si="779"/>
        <v>0</v>
      </c>
      <c r="K482" s="111">
        <f t="shared" si="780"/>
        <v>0</v>
      </c>
      <c r="L482" s="111">
        <f t="shared" si="781"/>
        <v>0</v>
      </c>
      <c r="O482" s="125" t="str">
        <f t="shared" si="786"/>
        <v>대구염색공단</v>
      </c>
      <c r="P482" s="126">
        <f t="shared" si="782"/>
        <v>0</v>
      </c>
      <c r="Q482" s="111">
        <f t="shared" si="783"/>
        <v>0</v>
      </c>
      <c r="R482" s="126" t="str">
        <f t="shared" si="768"/>
        <v/>
      </c>
      <c r="S482" s="122"/>
      <c r="T482" s="125" t="str">
        <f t="shared" si="784"/>
        <v>대구염색공단</v>
      </c>
      <c r="U482" s="126">
        <f t="shared" si="784"/>
        <v>0</v>
      </c>
      <c r="V482" s="111">
        <f t="shared" si="784"/>
        <v>0</v>
      </c>
      <c r="W482" s="127" t="str">
        <f t="shared" si="770"/>
        <v/>
      </c>
      <c r="X482" s="148"/>
      <c r="Y482" s="111"/>
      <c r="Z482" s="155" t="str">
        <f t="shared" si="791"/>
        <v/>
      </c>
      <c r="AN482" s="335"/>
      <c r="AO482" s="336">
        <f t="shared" si="789"/>
        <v>0</v>
      </c>
      <c r="AP482" s="452"/>
    </row>
    <row r="483" spans="2:43" ht="17.45" hidden="1" customHeight="1" outlineLevel="1">
      <c r="B483" s="1104"/>
      <c r="C483" s="110" t="s">
        <v>108</v>
      </c>
      <c r="D483" s="111">
        <f t="shared" si="774"/>
        <v>0</v>
      </c>
      <c r="E483" s="111">
        <f t="shared" si="775"/>
        <v>0</v>
      </c>
      <c r="F483" s="111">
        <f t="shared" si="776"/>
        <v>0</v>
      </c>
      <c r="G483" s="112" t="str">
        <f t="shared" si="790"/>
        <v/>
      </c>
      <c r="H483" s="112" t="str">
        <f t="shared" si="792"/>
        <v/>
      </c>
      <c r="I483" s="112" t="str">
        <f t="shared" si="793"/>
        <v/>
      </c>
      <c r="J483" s="111">
        <f t="shared" si="779"/>
        <v>0</v>
      </c>
      <c r="K483" s="111">
        <f t="shared" si="780"/>
        <v>0</v>
      </c>
      <c r="L483" s="111">
        <f t="shared" si="781"/>
        <v>0</v>
      </c>
      <c r="O483" s="125" t="str">
        <f t="shared" si="786"/>
        <v>SNNC(니켈)</v>
      </c>
      <c r="P483" s="126">
        <f t="shared" si="782"/>
        <v>0</v>
      </c>
      <c r="Q483" s="111">
        <f t="shared" si="783"/>
        <v>0</v>
      </c>
      <c r="R483" s="126" t="str">
        <f t="shared" si="768"/>
        <v/>
      </c>
      <c r="S483" s="122"/>
      <c r="T483" s="125" t="str">
        <f t="shared" si="784"/>
        <v>SNNC(니켈)</v>
      </c>
      <c r="U483" s="126">
        <f t="shared" si="784"/>
        <v>0</v>
      </c>
      <c r="V483" s="111">
        <f t="shared" si="784"/>
        <v>0</v>
      </c>
      <c r="W483" s="127" t="str">
        <f t="shared" si="770"/>
        <v/>
      </c>
      <c r="X483" s="148"/>
      <c r="Y483" s="111"/>
      <c r="Z483" s="155" t="str">
        <f t="shared" si="791"/>
        <v/>
      </c>
      <c r="AN483" s="335"/>
      <c r="AO483" s="336">
        <f t="shared" si="789"/>
        <v>0</v>
      </c>
      <c r="AP483" s="452"/>
    </row>
    <row r="484" spans="2:43" ht="17.45" hidden="1" customHeight="1" outlineLevel="1">
      <c r="B484" s="1104"/>
      <c r="C484" s="110" t="s">
        <v>130</v>
      </c>
      <c r="D484" s="111">
        <f t="shared" si="774"/>
        <v>0</v>
      </c>
      <c r="E484" s="111">
        <f t="shared" si="775"/>
        <v>0</v>
      </c>
      <c r="F484" s="111">
        <f t="shared" si="776"/>
        <v>0</v>
      </c>
      <c r="G484" s="112" t="str">
        <f t="shared" si="790"/>
        <v/>
      </c>
      <c r="H484" s="112" t="str">
        <f t="shared" si="792"/>
        <v/>
      </c>
      <c r="I484" s="112" t="str">
        <f t="shared" si="793"/>
        <v/>
      </c>
      <c r="J484" s="111">
        <f t="shared" si="779"/>
        <v>0</v>
      </c>
      <c r="K484" s="111">
        <f t="shared" si="780"/>
        <v>0</v>
      </c>
      <c r="L484" s="111">
        <f t="shared" si="781"/>
        <v>0</v>
      </c>
      <c r="O484" s="125" t="str">
        <f t="shared" si="786"/>
        <v>SK-N(고려시멘트)</v>
      </c>
      <c r="P484" s="126">
        <f t="shared" si="782"/>
        <v>0</v>
      </c>
      <c r="Q484" s="111">
        <f t="shared" si="783"/>
        <v>0</v>
      </c>
      <c r="R484" s="126" t="str">
        <f t="shared" si="768"/>
        <v/>
      </c>
      <c r="S484" s="122"/>
      <c r="T484" s="125" t="str">
        <f t="shared" si="784"/>
        <v>SK-N(고려시멘트)</v>
      </c>
      <c r="U484" s="126">
        <f t="shared" si="784"/>
        <v>0</v>
      </c>
      <c r="V484" s="111">
        <f t="shared" si="784"/>
        <v>0</v>
      </c>
      <c r="W484" s="127" t="str">
        <f t="shared" si="770"/>
        <v/>
      </c>
      <c r="X484" s="148"/>
      <c r="Y484" s="111"/>
      <c r="Z484" s="155" t="str">
        <f t="shared" si="791"/>
        <v/>
      </c>
      <c r="AN484" s="335"/>
      <c r="AO484" s="336">
        <f t="shared" si="789"/>
        <v>0</v>
      </c>
      <c r="AP484" s="452"/>
    </row>
    <row r="485" spans="2:43" ht="17.45" hidden="1" customHeight="1" outlineLevel="1">
      <c r="B485" s="1104"/>
      <c r="C485" s="110" t="s">
        <v>68</v>
      </c>
      <c r="D485" s="111">
        <f>SUMIF($B$27:$B$48,C485,$L$27:$L$48)-43611</f>
        <v>56587</v>
      </c>
      <c r="E485" s="111">
        <f t="shared" si="775"/>
        <v>0</v>
      </c>
      <c r="F485" s="111">
        <f t="shared" si="776"/>
        <v>56587</v>
      </c>
      <c r="G485" s="112">
        <f>IFERROR(D485/F485,"")</f>
        <v>1</v>
      </c>
      <c r="H485" s="112">
        <f t="shared" si="792"/>
        <v>0</v>
      </c>
      <c r="I485" s="112">
        <f t="shared" si="793"/>
        <v>1</v>
      </c>
      <c r="J485" s="111">
        <f t="shared" si="779"/>
        <v>0</v>
      </c>
      <c r="K485" s="111">
        <f t="shared" si="780"/>
        <v>0</v>
      </c>
      <c r="L485" s="111">
        <f t="shared" si="781"/>
        <v>0</v>
      </c>
      <c r="O485" s="125" t="str">
        <f t="shared" si="786"/>
        <v>SNNC</v>
      </c>
      <c r="P485" s="126">
        <f t="shared" si="782"/>
        <v>6.1319444444452529</v>
      </c>
      <c r="Q485" s="111">
        <f t="shared" si="783"/>
        <v>1</v>
      </c>
      <c r="R485" s="126">
        <f t="shared" si="768"/>
        <v>6.1319444444452529</v>
      </c>
      <c r="S485" s="122"/>
      <c r="T485" s="125" t="str">
        <f t="shared" si="784"/>
        <v>SNNC</v>
      </c>
      <c r="U485" s="126">
        <f t="shared" si="784"/>
        <v>6.1319444444452529</v>
      </c>
      <c r="V485" s="111">
        <f t="shared" si="784"/>
        <v>1</v>
      </c>
      <c r="W485" s="127">
        <f t="shared" si="770"/>
        <v>6.1319444444452529</v>
      </c>
      <c r="X485" s="148">
        <f t="shared" si="785"/>
        <v>56.587000000000003</v>
      </c>
      <c r="Y485" s="111"/>
      <c r="Z485" s="155" t="str">
        <f t="shared" si="791"/>
        <v/>
      </c>
      <c r="AN485" s="335"/>
      <c r="AO485" s="336">
        <f t="shared" si="789"/>
        <v>56.587000000000003</v>
      </c>
      <c r="AP485" s="452"/>
    </row>
    <row r="486" spans="2:43" ht="17.45" hidden="1" customHeight="1" outlineLevel="1" thickBot="1">
      <c r="B486" s="1105"/>
      <c r="C486" s="113" t="s">
        <v>61</v>
      </c>
      <c r="D486" s="114">
        <f>SUM(D470:D485)</f>
        <v>302703</v>
      </c>
      <c r="E486" s="179">
        <f>SUM(E470:E485)</f>
        <v>69247</v>
      </c>
      <c r="F486" s="114">
        <f>SUM(F471:F485)</f>
        <v>353950</v>
      </c>
      <c r="G486" s="115">
        <f t="shared" si="790"/>
        <v>0.85521401327871172</v>
      </c>
      <c r="H486" s="185">
        <f>IFERROR(E486/F486,"")</f>
        <v>0.19564062720723266</v>
      </c>
      <c r="I486" s="115">
        <f>IFERROR(G486+H486,"")</f>
        <v>1.0508546404859445</v>
      </c>
      <c r="J486" s="114">
        <f t="shared" ref="J486:L486" si="794">SUM(J471:J485)</f>
        <v>0</v>
      </c>
      <c r="K486" s="114">
        <f t="shared" si="794"/>
        <v>0</v>
      </c>
      <c r="L486" s="114">
        <f t="shared" si="794"/>
        <v>0</v>
      </c>
      <c r="O486" s="128" t="s">
        <v>61</v>
      </c>
      <c r="P486" s="129">
        <f>SUM(P470:P485)</f>
        <v>21.207638888881775</v>
      </c>
      <c r="Q486" s="114">
        <f>SUM(Q470:Q485)</f>
        <v>6</v>
      </c>
      <c r="R486" s="129">
        <f t="shared" si="768"/>
        <v>3.5346064814802958</v>
      </c>
      <c r="S486" s="122"/>
      <c r="T486" s="128" t="s">
        <v>61</v>
      </c>
      <c r="U486" s="129">
        <f>SUM(U470:U485)</f>
        <v>21.207638888881775</v>
      </c>
      <c r="V486" s="114">
        <f>SUM(V470:V485)</f>
        <v>6</v>
      </c>
      <c r="W486" s="130">
        <f>IFERROR(U486/V486,"")</f>
        <v>3.5346064814802958</v>
      </c>
      <c r="X486" s="179">
        <f>SUM(X470:X485)</f>
        <v>371.95</v>
      </c>
      <c r="Y486" s="114">
        <f>SUM(Y471:Y485)</f>
        <v>0</v>
      </c>
      <c r="Z486" s="176" t="str">
        <f t="shared" si="791"/>
        <v/>
      </c>
      <c r="AN486" s="341">
        <f>SUM(AN470:AN485)</f>
        <v>0</v>
      </c>
      <c r="AO486" s="341">
        <f>SUM(AO470:AO485)</f>
        <v>371.95</v>
      </c>
      <c r="AP486" s="455"/>
    </row>
    <row r="487" spans="2:43" ht="17.45" hidden="1" customHeight="1" outlineLevel="1" thickBot="1">
      <c r="B487" s="1106" t="s">
        <v>57</v>
      </c>
      <c r="C487" s="1106"/>
      <c r="D487" s="147">
        <f>SUM(D486,D469)</f>
        <v>302703</v>
      </c>
      <c r="E487" s="182">
        <f>SUM(E486,E469)</f>
        <v>285858</v>
      </c>
      <c r="F487" s="149">
        <f>SUM(F486,F469)</f>
        <v>570561</v>
      </c>
      <c r="G487" s="183">
        <f t="shared" si="790"/>
        <v>0.53053573588100134</v>
      </c>
      <c r="H487" s="186">
        <f>IFERROR(E487/F487,"")</f>
        <v>0.50101216171452312</v>
      </c>
      <c r="I487" s="184">
        <f>IFERROR(G487+H487,"")</f>
        <v>1.0315478975955243</v>
      </c>
      <c r="J487" s="116">
        <f t="shared" ref="J487:L487" si="795">SUM(J486,J469)</f>
        <v>0</v>
      </c>
      <c r="K487" s="116">
        <f t="shared" si="795"/>
        <v>0</v>
      </c>
      <c r="L487" s="116">
        <f t="shared" si="795"/>
        <v>0</v>
      </c>
      <c r="O487" s="131" t="s">
        <v>79</v>
      </c>
      <c r="P487" s="132">
        <f>SUM(P486,P469)</f>
        <v>32.229166666656965</v>
      </c>
      <c r="Q487" s="116">
        <f>SUM(Q486,Q469)</f>
        <v>10</v>
      </c>
      <c r="R487" s="132">
        <f>IFERROR(P487/Q487,"")</f>
        <v>3.2229166666656965</v>
      </c>
      <c r="S487" s="122"/>
      <c r="T487" s="131" t="s">
        <v>76</v>
      </c>
      <c r="U487" s="132">
        <f>SUM(U486,U469)</f>
        <v>32.229166666656965</v>
      </c>
      <c r="V487" s="147">
        <f>SUM(V486,V469)</f>
        <v>10</v>
      </c>
      <c r="W487" s="173">
        <f t="shared" ref="W487:W488" si="796">IFERROR(U487/V487,"")</f>
        <v>3.2229166666656965</v>
      </c>
      <c r="X487" s="182">
        <f>SUM(X469,X486)</f>
        <v>588.56099999999992</v>
      </c>
      <c r="Y487" s="175">
        <f>SUM(Y469,Y486)</f>
        <v>0</v>
      </c>
      <c r="Z487" s="178" t="str">
        <f t="shared" si="791"/>
        <v/>
      </c>
      <c r="AN487" s="342">
        <f>SUM(AN469,AN486)</f>
        <v>0</v>
      </c>
      <c r="AO487" s="342">
        <f>SUM(AO469,AO486)</f>
        <v>588.56099999999992</v>
      </c>
      <c r="AP487" s="456"/>
      <c r="AQ487" s="57"/>
    </row>
    <row r="488" spans="2:43" ht="17.45" hidden="1" customHeight="1" outlineLevel="1">
      <c r="D488" s="343" t="str">
        <f>IF(D487=L48,"","CHECK")</f>
        <v/>
      </c>
      <c r="E488" s="343" t="str">
        <f>IF(E487=M48,"","CHECK")</f>
        <v/>
      </c>
      <c r="F488" s="343" t="str">
        <f>IF(F487=N48,"","CHECK")</f>
        <v>CHECK</v>
      </c>
      <c r="O488" s="134" t="s">
        <v>77</v>
      </c>
      <c r="P488" s="126"/>
      <c r="Q488" s="126"/>
      <c r="R488" s="126" t="str">
        <f>IFERROR(P488/Q488,"")</f>
        <v/>
      </c>
      <c r="S488" s="122"/>
      <c r="T488" s="134" t="s">
        <v>77</v>
      </c>
      <c r="U488" s="126"/>
      <c r="V488" s="111"/>
      <c r="W488" s="135" t="str">
        <f t="shared" si="796"/>
        <v/>
      </c>
      <c r="X488" s="180"/>
      <c r="Y488" s="126"/>
      <c r="Z488" s="181" t="str">
        <f t="shared" si="791"/>
        <v/>
      </c>
      <c r="AN488" s="335"/>
      <c r="AO488" s="336">
        <f t="shared" ref="AO488:AO489" si="797">X488-Y488</f>
        <v>0</v>
      </c>
      <c r="AP488" s="452"/>
      <c r="AQ488" s="57"/>
    </row>
    <row r="489" spans="2:43" ht="17.45" hidden="1" customHeight="1" outlineLevel="1">
      <c r="T489" s="345" t="s">
        <v>109</v>
      </c>
      <c r="U489" s="345"/>
      <c r="V489" s="328"/>
      <c r="W489" s="355"/>
      <c r="X489" s="355">
        <f>G504</f>
        <v>28.781719999999996</v>
      </c>
      <c r="Y489" s="347"/>
      <c r="Z489" s="155" t="str">
        <f t="shared" si="791"/>
        <v/>
      </c>
      <c r="AN489" s="335"/>
      <c r="AO489" s="336">
        <f t="shared" si="797"/>
        <v>28.781719999999996</v>
      </c>
      <c r="AP489" s="452"/>
      <c r="AQ489" s="57"/>
    </row>
    <row r="490" spans="2:43" ht="17.45" hidden="1" customHeight="1" outlineLevel="1">
      <c r="B490" s="1173" t="s">
        <v>80</v>
      </c>
      <c r="C490" s="1177" t="s">
        <v>52</v>
      </c>
      <c r="D490" s="1177"/>
      <c r="E490" s="1177"/>
      <c r="F490" s="1177" t="s">
        <v>73</v>
      </c>
      <c r="G490" s="1177" t="s">
        <v>75</v>
      </c>
      <c r="H490" s="1177" t="s">
        <v>95</v>
      </c>
      <c r="I490" s="119"/>
      <c r="J490" s="1173" t="s">
        <v>132</v>
      </c>
      <c r="K490" s="1174" t="s">
        <v>124</v>
      </c>
      <c r="L490" s="1174"/>
      <c r="M490" s="1174"/>
      <c r="N490" s="1174" t="s">
        <v>75</v>
      </c>
      <c r="O490" s="1174"/>
      <c r="P490" s="1174"/>
      <c r="Q490" s="1175" t="s">
        <v>72</v>
      </c>
      <c r="R490" s="1175" t="s">
        <v>73</v>
      </c>
      <c r="S490" s="1175" t="s">
        <v>74</v>
      </c>
      <c r="T490" s="262" t="s">
        <v>110</v>
      </c>
      <c r="U490" s="262"/>
      <c r="V490" s="334"/>
      <c r="W490" s="356"/>
      <c r="X490" s="356">
        <f>SUM(X487,X488,X489)</f>
        <v>617.34271999999987</v>
      </c>
      <c r="Y490" s="354">
        <f>SUM(Y487,Y489)</f>
        <v>0</v>
      </c>
      <c r="Z490" s="158" t="str">
        <f t="shared" si="791"/>
        <v/>
      </c>
      <c r="AN490" s="342">
        <f>SUM(AN487,AN489)</f>
        <v>0</v>
      </c>
      <c r="AO490" s="342">
        <f>SUM(AO487,AO489)</f>
        <v>617.34271999999987</v>
      </c>
      <c r="AP490" s="456"/>
      <c r="AQ490" s="57"/>
    </row>
    <row r="491" spans="2:43" ht="17.45" hidden="1" customHeight="1" outlineLevel="1">
      <c r="B491" s="1173"/>
      <c r="C491" s="628" t="s">
        <v>55</v>
      </c>
      <c r="D491" s="628" t="s">
        <v>56</v>
      </c>
      <c r="E491" s="628" t="s">
        <v>57</v>
      </c>
      <c r="F491" s="1177"/>
      <c r="G491" s="1177"/>
      <c r="H491" s="1177"/>
      <c r="I491" s="119"/>
      <c r="J491" s="1173"/>
      <c r="K491" s="627" t="s">
        <v>125</v>
      </c>
      <c r="L491" s="627" t="s">
        <v>126</v>
      </c>
      <c r="M491" s="627" t="s">
        <v>123</v>
      </c>
      <c r="N491" s="627" t="s">
        <v>125</v>
      </c>
      <c r="O491" s="627" t="s">
        <v>126</v>
      </c>
      <c r="P491" s="627" t="s">
        <v>123</v>
      </c>
      <c r="Q491" s="1176"/>
      <c r="R491" s="1176"/>
      <c r="S491" s="1176"/>
      <c r="AQ491" s="57"/>
    </row>
    <row r="492" spans="2:43" ht="17.45" hidden="1" customHeight="1" outlineLevel="1">
      <c r="B492" s="139" t="s">
        <v>81</v>
      </c>
      <c r="C492" s="111">
        <f t="shared" ref="C492:C502" si="798">SUMIF($R$27:$R$48,B492,$L$27:$L$48)</f>
        <v>0</v>
      </c>
      <c r="D492" s="111">
        <f t="shared" ref="D492:D502" si="799">SUMIF($R$27:$R$48,B492,$M$27:$M$48)</f>
        <v>164811</v>
      </c>
      <c r="E492" s="111">
        <f>C492+D492</f>
        <v>164811</v>
      </c>
      <c r="F492" s="111">
        <f t="shared" ref="F492:F502" si="800">SUMIF($R$48:$R$48,B492,$AZ$48:$AZ$48)</f>
        <v>0</v>
      </c>
      <c r="G492" s="111">
        <f>E492/1000</f>
        <v>164.81100000000001</v>
      </c>
      <c r="H492" s="111"/>
      <c r="I492" s="119"/>
      <c r="J492" s="139" t="s">
        <v>117</v>
      </c>
      <c r="K492" s="111">
        <f t="shared" ref="K492:K499" si="801">SUMIF($Q$27:$Q$48,J492,$L$27:$L$48)</f>
        <v>30505</v>
      </c>
      <c r="L492" s="111">
        <f t="shared" ref="L492:L499" si="802">SUMIF($Q$27:$Q$48,J492,$M$27:$M$48)</f>
        <v>0</v>
      </c>
      <c r="M492" s="202">
        <f>K492+L492</f>
        <v>30505</v>
      </c>
      <c r="N492" s="202">
        <f>K492/1000</f>
        <v>30.504999999999999</v>
      </c>
      <c r="O492" s="202">
        <f>L492/1000</f>
        <v>0</v>
      </c>
      <c r="P492" s="202">
        <f>N492+O492</f>
        <v>30.504999999999999</v>
      </c>
      <c r="Q492" s="358">
        <f t="shared" ref="Q492:Q499" si="803">SUMIF($Q$27:$Q$48,J492,$I$27:$I$48)</f>
        <v>7.3055555555547471</v>
      </c>
      <c r="R492" s="111">
        <f t="shared" ref="R492:R499" si="804">SUMIF($Q$27:$Q$48,J492,$AZ$27:$AZ$48)</f>
        <v>1</v>
      </c>
      <c r="S492" s="126">
        <f>IFERROR(Q492/R492,"")</f>
        <v>7.3055555555547471</v>
      </c>
      <c r="AQ492" s="57"/>
    </row>
    <row r="493" spans="2:43" ht="17.45" hidden="1" customHeight="1" outlineLevel="1">
      <c r="B493" s="139" t="s">
        <v>82</v>
      </c>
      <c r="C493" s="111">
        <f t="shared" si="798"/>
        <v>272198</v>
      </c>
      <c r="D493" s="111">
        <f t="shared" si="799"/>
        <v>0</v>
      </c>
      <c r="E493" s="111">
        <f t="shared" ref="E493:E502" si="805">C493+D493</f>
        <v>272198</v>
      </c>
      <c r="F493" s="111">
        <f t="shared" si="800"/>
        <v>0</v>
      </c>
      <c r="G493" s="111">
        <f t="shared" ref="G493:G502" si="806">E493/1000</f>
        <v>272.19799999999998</v>
      </c>
      <c r="H493" s="111"/>
      <c r="I493" s="119"/>
      <c r="J493" s="139" t="s">
        <v>118</v>
      </c>
      <c r="K493" s="111">
        <f t="shared" si="801"/>
        <v>0</v>
      </c>
      <c r="L493" s="111">
        <f t="shared" si="802"/>
        <v>0</v>
      </c>
      <c r="M493" s="202">
        <f t="shared" ref="M493:M499" si="807">K493+L493</f>
        <v>0</v>
      </c>
      <c r="N493" s="202">
        <f t="shared" ref="N493:O499" si="808">K493/1000</f>
        <v>0</v>
      </c>
      <c r="O493" s="202">
        <f t="shared" si="808"/>
        <v>0</v>
      </c>
      <c r="P493" s="202">
        <f t="shared" ref="P493:P499" si="809">N493+O493</f>
        <v>0</v>
      </c>
      <c r="Q493" s="358">
        <f t="shared" si="803"/>
        <v>0</v>
      </c>
      <c r="R493" s="111">
        <f t="shared" si="804"/>
        <v>0</v>
      </c>
      <c r="S493" s="126" t="str">
        <f t="shared" ref="S493:S499" si="810">IFERROR(Q493/R493,"")</f>
        <v/>
      </c>
      <c r="AQ493" s="57"/>
    </row>
    <row r="494" spans="2:43" ht="17.45" hidden="1" customHeight="1" outlineLevel="1">
      <c r="B494" s="139" t="s">
        <v>83</v>
      </c>
      <c r="C494" s="111">
        <f t="shared" si="798"/>
        <v>0</v>
      </c>
      <c r="D494" s="111">
        <f t="shared" si="799"/>
        <v>68456</v>
      </c>
      <c r="E494" s="111">
        <f t="shared" si="805"/>
        <v>68456</v>
      </c>
      <c r="F494" s="111">
        <f t="shared" si="800"/>
        <v>0</v>
      </c>
      <c r="G494" s="111">
        <f t="shared" si="806"/>
        <v>68.456000000000003</v>
      </c>
      <c r="H494" s="111"/>
      <c r="I494" s="119"/>
      <c r="J494" s="139" t="s">
        <v>119</v>
      </c>
      <c r="K494" s="111">
        <f t="shared" si="801"/>
        <v>0</v>
      </c>
      <c r="L494" s="111">
        <f t="shared" si="802"/>
        <v>0</v>
      </c>
      <c r="M494" s="202">
        <f t="shared" si="807"/>
        <v>0</v>
      </c>
      <c r="N494" s="202">
        <f t="shared" si="808"/>
        <v>0</v>
      </c>
      <c r="O494" s="202">
        <f t="shared" si="808"/>
        <v>0</v>
      </c>
      <c r="P494" s="202">
        <f t="shared" si="809"/>
        <v>0</v>
      </c>
      <c r="Q494" s="358">
        <f t="shared" si="803"/>
        <v>0</v>
      </c>
      <c r="R494" s="111">
        <f t="shared" si="804"/>
        <v>0</v>
      </c>
      <c r="S494" s="126" t="str">
        <f t="shared" si="810"/>
        <v/>
      </c>
      <c r="AQ494" s="57"/>
    </row>
    <row r="495" spans="2:43" ht="17.45" hidden="1" customHeight="1" outlineLevel="1">
      <c r="B495" s="139" t="s">
        <v>84</v>
      </c>
      <c r="C495" s="111">
        <f t="shared" si="798"/>
        <v>0</v>
      </c>
      <c r="D495" s="111">
        <f t="shared" si="799"/>
        <v>52591</v>
      </c>
      <c r="E495" s="111">
        <f t="shared" si="805"/>
        <v>52591</v>
      </c>
      <c r="F495" s="111">
        <f t="shared" si="800"/>
        <v>0</v>
      </c>
      <c r="G495" s="111">
        <f t="shared" si="806"/>
        <v>52.591000000000001</v>
      </c>
      <c r="H495" s="111"/>
      <c r="I495" s="119"/>
      <c r="J495" s="139" t="s">
        <v>113</v>
      </c>
      <c r="K495" s="111">
        <f t="shared" si="801"/>
        <v>154000</v>
      </c>
      <c r="L495" s="111">
        <f t="shared" si="802"/>
        <v>0</v>
      </c>
      <c r="M495" s="202">
        <f t="shared" si="807"/>
        <v>154000</v>
      </c>
      <c r="N495" s="202">
        <f t="shared" si="808"/>
        <v>154</v>
      </c>
      <c r="O495" s="202">
        <f t="shared" si="808"/>
        <v>0</v>
      </c>
      <c r="P495" s="202">
        <f t="shared" si="809"/>
        <v>154</v>
      </c>
      <c r="Q495" s="358">
        <f t="shared" si="803"/>
        <v>3.9201388888905058</v>
      </c>
      <c r="R495" s="111">
        <f t="shared" si="804"/>
        <v>1</v>
      </c>
      <c r="S495" s="126">
        <f t="shared" si="810"/>
        <v>3.9201388888905058</v>
      </c>
      <c r="AQ495" s="57"/>
    </row>
    <row r="496" spans="2:43" ht="17.45" hidden="1" customHeight="1" outlineLevel="1">
      <c r="B496" s="139" t="s">
        <v>223</v>
      </c>
      <c r="C496" s="111">
        <f t="shared" si="798"/>
        <v>0</v>
      </c>
      <c r="D496" s="111">
        <f t="shared" si="799"/>
        <v>0</v>
      </c>
      <c r="E496" s="111">
        <f t="shared" si="805"/>
        <v>0</v>
      </c>
      <c r="F496" s="111">
        <f t="shared" si="800"/>
        <v>0</v>
      </c>
      <c r="G496" s="111">
        <f t="shared" si="806"/>
        <v>0</v>
      </c>
      <c r="H496" s="111"/>
      <c r="I496" s="119"/>
      <c r="J496" s="139" t="s">
        <v>120</v>
      </c>
      <c r="K496" s="111">
        <f t="shared" si="801"/>
        <v>18000</v>
      </c>
      <c r="L496" s="111">
        <f t="shared" si="802"/>
        <v>0</v>
      </c>
      <c r="M496" s="202">
        <f t="shared" si="807"/>
        <v>18000</v>
      </c>
      <c r="N496" s="202">
        <f t="shared" si="808"/>
        <v>18</v>
      </c>
      <c r="O496" s="202">
        <f t="shared" si="808"/>
        <v>0</v>
      </c>
      <c r="P496" s="202">
        <f t="shared" si="809"/>
        <v>18</v>
      </c>
      <c r="Q496" s="358">
        <f t="shared" si="803"/>
        <v>3.2333333333299379</v>
      </c>
      <c r="R496" s="111">
        <f t="shared" si="804"/>
        <v>1</v>
      </c>
      <c r="S496" s="126">
        <f t="shared" si="810"/>
        <v>3.2333333333299379</v>
      </c>
      <c r="AQ496" s="57"/>
    </row>
    <row r="497" spans="2:43" ht="17.45" hidden="1" customHeight="1" outlineLevel="1">
      <c r="B497" s="139" t="s">
        <v>158</v>
      </c>
      <c r="C497" s="111">
        <f t="shared" si="798"/>
        <v>0</v>
      </c>
      <c r="D497" s="111">
        <f t="shared" si="799"/>
        <v>0</v>
      </c>
      <c r="E497" s="111">
        <f t="shared" si="805"/>
        <v>0</v>
      </c>
      <c r="F497" s="111">
        <f t="shared" si="800"/>
        <v>0</v>
      </c>
      <c r="G497" s="111">
        <f t="shared" si="806"/>
        <v>0</v>
      </c>
      <c r="H497" s="111"/>
      <c r="I497" s="119"/>
      <c r="J497" s="139" t="s">
        <v>121</v>
      </c>
      <c r="K497" s="111">
        <f t="shared" si="801"/>
        <v>100198</v>
      </c>
      <c r="L497" s="111">
        <f t="shared" si="802"/>
        <v>0</v>
      </c>
      <c r="M497" s="202">
        <f t="shared" si="807"/>
        <v>100198</v>
      </c>
      <c r="N497" s="202">
        <f t="shared" si="808"/>
        <v>100.19799999999999</v>
      </c>
      <c r="O497" s="202">
        <f t="shared" si="808"/>
        <v>0</v>
      </c>
      <c r="P497" s="202">
        <f t="shared" si="809"/>
        <v>100.19799999999999</v>
      </c>
      <c r="Q497" s="358">
        <f t="shared" si="803"/>
        <v>6.1319444444452529</v>
      </c>
      <c r="R497" s="111">
        <f t="shared" si="804"/>
        <v>1</v>
      </c>
      <c r="S497" s="126">
        <f t="shared" si="810"/>
        <v>6.1319444444452529</v>
      </c>
      <c r="AQ497" s="57"/>
    </row>
    <row r="498" spans="2:43" ht="17.45" hidden="1" customHeight="1" outlineLevel="1">
      <c r="B498" s="139" t="s">
        <v>85</v>
      </c>
      <c r="C498" s="111">
        <f t="shared" si="798"/>
        <v>0</v>
      </c>
      <c r="D498" s="111">
        <f t="shared" si="799"/>
        <v>0</v>
      </c>
      <c r="E498" s="111">
        <f t="shared" si="805"/>
        <v>0</v>
      </c>
      <c r="F498" s="111">
        <f t="shared" si="800"/>
        <v>0</v>
      </c>
      <c r="G498" s="111">
        <f t="shared" si="806"/>
        <v>0</v>
      </c>
      <c r="H498" s="111"/>
      <c r="I498" s="119"/>
      <c r="J498" s="139" t="s">
        <v>122</v>
      </c>
      <c r="K498" s="111">
        <f t="shared" si="801"/>
        <v>0</v>
      </c>
      <c r="L498" s="111">
        <f t="shared" si="802"/>
        <v>285858</v>
      </c>
      <c r="M498" s="202">
        <f t="shared" si="807"/>
        <v>285858</v>
      </c>
      <c r="N498" s="202">
        <f t="shared" si="808"/>
        <v>0</v>
      </c>
      <c r="O498" s="202">
        <f t="shared" si="808"/>
        <v>285.858</v>
      </c>
      <c r="P498" s="202">
        <f t="shared" si="809"/>
        <v>285.858</v>
      </c>
      <c r="Q498" s="358">
        <f t="shared" si="803"/>
        <v>11.638194444436522</v>
      </c>
      <c r="R498" s="111">
        <f t="shared" si="804"/>
        <v>6</v>
      </c>
      <c r="S498" s="126">
        <f t="shared" si="810"/>
        <v>1.9396990740727535</v>
      </c>
      <c r="AQ498" s="57"/>
    </row>
    <row r="499" spans="2:43" ht="17.45" hidden="1" customHeight="1" outlineLevel="1">
      <c r="B499" s="139" t="s">
        <v>96</v>
      </c>
      <c r="C499" s="111">
        <f t="shared" si="798"/>
        <v>30505</v>
      </c>
      <c r="D499" s="111">
        <f t="shared" si="799"/>
        <v>0</v>
      </c>
      <c r="E499" s="111">
        <f t="shared" si="805"/>
        <v>30505</v>
      </c>
      <c r="F499" s="111">
        <f t="shared" si="800"/>
        <v>0</v>
      </c>
      <c r="G499" s="111">
        <f t="shared" si="806"/>
        <v>30.504999999999999</v>
      </c>
      <c r="H499" s="142" t="s">
        <v>30</v>
      </c>
      <c r="I499" s="119"/>
      <c r="J499" s="139" t="s">
        <v>162</v>
      </c>
      <c r="K499" s="111">
        <f t="shared" si="801"/>
        <v>0</v>
      </c>
      <c r="L499" s="111">
        <f t="shared" si="802"/>
        <v>0</v>
      </c>
      <c r="M499" s="202">
        <f t="shared" si="807"/>
        <v>0</v>
      </c>
      <c r="N499" s="202">
        <f t="shared" si="808"/>
        <v>0</v>
      </c>
      <c r="O499" s="202">
        <f t="shared" si="808"/>
        <v>0</v>
      </c>
      <c r="P499" s="202">
        <f t="shared" si="809"/>
        <v>0</v>
      </c>
      <c r="Q499" s="358">
        <f t="shared" si="803"/>
        <v>0</v>
      </c>
      <c r="R499" s="111">
        <f t="shared" si="804"/>
        <v>0</v>
      </c>
      <c r="S499" s="126" t="str">
        <f t="shared" si="810"/>
        <v/>
      </c>
      <c r="AQ499" s="57"/>
    </row>
    <row r="500" spans="2:43" ht="17.45" hidden="1" customHeight="1" outlineLevel="1">
      <c r="B500" s="139" t="s">
        <v>86</v>
      </c>
      <c r="C500" s="111">
        <f t="shared" si="798"/>
        <v>0</v>
      </c>
      <c r="D500" s="111">
        <f t="shared" si="799"/>
        <v>0</v>
      </c>
      <c r="E500" s="111">
        <f t="shared" si="805"/>
        <v>0</v>
      </c>
      <c r="F500" s="111">
        <f t="shared" si="800"/>
        <v>0</v>
      </c>
      <c r="G500" s="111">
        <f t="shared" si="806"/>
        <v>0</v>
      </c>
      <c r="H500" s="111"/>
      <c r="I500" s="119"/>
      <c r="J500" s="232" t="s">
        <v>123</v>
      </c>
      <c r="K500" s="203">
        <f>SUM(K492:K499)</f>
        <v>302703</v>
      </c>
      <c r="L500" s="203">
        <f t="shared" ref="L500" si="811">SUM(L492:L499)</f>
        <v>285858</v>
      </c>
      <c r="M500" s="203">
        <f>SUM(M492:M499)</f>
        <v>588561</v>
      </c>
      <c r="N500" s="203">
        <f>SUM(N492:N499)</f>
        <v>302.70299999999997</v>
      </c>
      <c r="O500" s="203">
        <f t="shared" ref="O500" si="812">SUM(O492:O499)</f>
        <v>285.858</v>
      </c>
      <c r="P500" s="203">
        <f>SUM(P492:P499)</f>
        <v>588.56099999999992</v>
      </c>
      <c r="Q500" s="359">
        <f>SUM(Q492:Q499)</f>
        <v>32.229166666656965</v>
      </c>
      <c r="R500" s="359">
        <f>SUM(R492:R499)</f>
        <v>10</v>
      </c>
      <c r="S500" s="359">
        <f>IFERROR(Q500/R500,"")</f>
        <v>3.2229166666656965</v>
      </c>
      <c r="AQ500" s="57"/>
    </row>
    <row r="501" spans="2:43" ht="17.45" hidden="1" customHeight="1" outlineLevel="1">
      <c r="B501" s="139" t="s">
        <v>169</v>
      </c>
      <c r="C501" s="111">
        <f t="shared" si="798"/>
        <v>0</v>
      </c>
      <c r="D501" s="111">
        <f t="shared" si="799"/>
        <v>0</v>
      </c>
      <c r="E501" s="111">
        <f t="shared" si="805"/>
        <v>0</v>
      </c>
      <c r="F501" s="111">
        <f t="shared" si="800"/>
        <v>0</v>
      </c>
      <c r="G501" s="168">
        <f t="shared" si="806"/>
        <v>0</v>
      </c>
      <c r="H501" s="111"/>
      <c r="I501" s="119"/>
      <c r="K501" s="343" t="str">
        <f>IF(K500=D487,"","CHECK")</f>
        <v/>
      </c>
      <c r="L501" s="343" t="str">
        <f>IF(L500=E487,"","CHECK")</f>
        <v/>
      </c>
      <c r="M501" s="343" t="str">
        <f>IF(M500=F487,"","CHECK")</f>
        <v>CHECK</v>
      </c>
      <c r="S501" s="343" t="str">
        <f>IF(S500=I513,"","CHECK")</f>
        <v/>
      </c>
      <c r="AQ501" s="57"/>
    </row>
    <row r="502" spans="2:43" ht="17.45" hidden="1" customHeight="1" outlineLevel="1" thickBot="1">
      <c r="B502" s="139" t="s">
        <v>155</v>
      </c>
      <c r="C502" s="111">
        <f t="shared" si="798"/>
        <v>0</v>
      </c>
      <c r="D502" s="111">
        <f t="shared" si="799"/>
        <v>0</v>
      </c>
      <c r="E502" s="111">
        <f t="shared" si="805"/>
        <v>0</v>
      </c>
      <c r="F502" s="111">
        <f t="shared" si="800"/>
        <v>0</v>
      </c>
      <c r="G502" s="168">
        <f t="shared" si="806"/>
        <v>0</v>
      </c>
      <c r="H502" s="111"/>
      <c r="I502" s="119"/>
      <c r="L502" s="283"/>
      <c r="M502" s="220"/>
      <c r="P502" s="360" t="s">
        <v>161</v>
      </c>
      <c r="Q502" s="359">
        <f>SUM(Q492:Q497)</f>
        <v>20.590972222220444</v>
      </c>
      <c r="R502" s="359">
        <f>SUM(R492:R497)</f>
        <v>4</v>
      </c>
      <c r="S502" s="359">
        <f>IFERROR(Q502/R502,"")</f>
        <v>5.1477430555551109</v>
      </c>
      <c r="AQ502" s="57"/>
    </row>
    <row r="503" spans="2:43" ht="17.45" hidden="1" customHeight="1" outlineLevel="1" thickBot="1">
      <c r="B503" s="113" t="s">
        <v>61</v>
      </c>
      <c r="C503" s="114">
        <f>SUM(C492:C502)</f>
        <v>302703</v>
      </c>
      <c r="D503" s="114">
        <f t="shared" ref="D503:E503" si="813">SUM(D492:D502)</f>
        <v>285858</v>
      </c>
      <c r="E503" s="114">
        <f t="shared" si="813"/>
        <v>588561</v>
      </c>
      <c r="F503" s="166">
        <f>SUM(F492:F502)</f>
        <v>0</v>
      </c>
      <c r="G503" s="170">
        <f>SUM(G492:G502)</f>
        <v>588.56100000000004</v>
      </c>
      <c r="H503" s="167"/>
      <c r="I503" s="119"/>
      <c r="K503" s="57"/>
      <c r="L503" s="57"/>
      <c r="M503" s="57"/>
      <c r="N503" s="57"/>
      <c r="O503" s="57"/>
      <c r="P503" s="57"/>
      <c r="Q503" s="57"/>
      <c r="R503" s="57"/>
      <c r="S503" s="57"/>
      <c r="AQ503" s="57"/>
    </row>
    <row r="504" spans="2:43" ht="17.45" hidden="1" customHeight="1" outlineLevel="1">
      <c r="B504" s="151" t="s">
        <v>87</v>
      </c>
      <c r="C504" s="152"/>
      <c r="D504" s="152"/>
      <c r="E504" s="153">
        <f>$W$244</f>
        <v>28781.719999999998</v>
      </c>
      <c r="F504" s="143"/>
      <c r="G504" s="169">
        <f>E504/1000</f>
        <v>28.781719999999996</v>
      </c>
      <c r="H504" s="145"/>
      <c r="I504" s="119"/>
      <c r="AQ504" s="57"/>
    </row>
    <row r="505" spans="2:43" ht="17.45" hidden="1" customHeight="1" outlineLevel="1">
      <c r="B505" s="151" t="s">
        <v>57</v>
      </c>
      <c r="C505" s="152"/>
      <c r="D505" s="152"/>
      <c r="E505" s="140">
        <f>SUM(E503:E504)</f>
        <v>617342.71999999997</v>
      </c>
      <c r="F505" s="122"/>
      <c r="G505" s="140">
        <f>SUM(G503:G504)</f>
        <v>617.34271999999999</v>
      </c>
      <c r="H505" s="137"/>
      <c r="I505" s="119"/>
      <c r="AQ505" s="57"/>
    </row>
    <row r="506" spans="2:43" ht="17.45" hidden="1" customHeight="1" outlineLevel="1">
      <c r="B506" s="137"/>
      <c r="C506" s="122"/>
      <c r="D506" s="122"/>
      <c r="E506" s="154"/>
      <c r="F506" s="122"/>
      <c r="G506" s="122"/>
      <c r="H506" s="137"/>
      <c r="I506" s="119"/>
      <c r="AQ506" s="57"/>
    </row>
    <row r="507" spans="2:43" ht="17.45" hidden="1" customHeight="1" outlineLevel="1">
      <c r="B507" s="1173" t="s">
        <v>88</v>
      </c>
      <c r="C507" s="1177" t="s">
        <v>52</v>
      </c>
      <c r="D507" s="1177"/>
      <c r="E507" s="1177"/>
      <c r="F507" s="1177" t="s">
        <v>73</v>
      </c>
      <c r="G507" s="1177" t="s">
        <v>75</v>
      </c>
      <c r="H507" s="1168" t="s">
        <v>72</v>
      </c>
      <c r="I507" s="1168"/>
      <c r="AQ507" s="57"/>
    </row>
    <row r="508" spans="2:43" ht="17.45" hidden="1" customHeight="1" outlineLevel="1">
      <c r="B508" s="1173"/>
      <c r="C508" s="628" t="s">
        <v>55</v>
      </c>
      <c r="D508" s="628" t="s">
        <v>56</v>
      </c>
      <c r="E508" s="628" t="s">
        <v>57</v>
      </c>
      <c r="F508" s="1177"/>
      <c r="G508" s="1177"/>
      <c r="H508" s="626" t="s">
        <v>89</v>
      </c>
      <c r="I508" s="626" t="s">
        <v>90</v>
      </c>
      <c r="AQ508" s="57"/>
    </row>
    <row r="509" spans="2:43" ht="17.45" hidden="1" customHeight="1" outlineLevel="1">
      <c r="B509" s="138" t="s">
        <v>91</v>
      </c>
      <c r="C509" s="111">
        <f>SUMIF($V$27:$V$48,B509,$L$27:$L$48)</f>
        <v>254198</v>
      </c>
      <c r="D509" s="111">
        <f>SUMIF($V$27:$V$48,B509,$M$27:$M$48)</f>
        <v>0</v>
      </c>
      <c r="E509" s="111">
        <f>C509+D509</f>
        <v>254198</v>
      </c>
      <c r="F509" s="111">
        <f>SUMIF($V$27:$V$48,B509,$AZ$27:$AZ$48)</f>
        <v>2</v>
      </c>
      <c r="G509" s="111">
        <f>E509/1000</f>
        <v>254.19800000000001</v>
      </c>
      <c r="H509" s="126">
        <f>SUMIF($V$27:$V$48,B509,$I$27:$I$48)</f>
        <v>10.052083333335759</v>
      </c>
      <c r="I509" s="141">
        <f>IFERROR(H509/F509,"")</f>
        <v>5.0260416666678793</v>
      </c>
      <c r="AQ509" s="57"/>
    </row>
    <row r="510" spans="2:43" ht="17.45" hidden="1" customHeight="1" outlineLevel="1">
      <c r="B510" s="138" t="s">
        <v>92</v>
      </c>
      <c r="C510" s="111">
        <f>SUMIF($V$27:$V$48,B510,$L$27:$L$48)</f>
        <v>18000</v>
      </c>
      <c r="D510" s="111">
        <f>SUMIF($V$27:$V$48,B510,$M$27:$M$48)</f>
        <v>269202</v>
      </c>
      <c r="E510" s="111">
        <f t="shared" ref="E510:E512" si="814">C510+D510</f>
        <v>287202</v>
      </c>
      <c r="F510" s="111">
        <f>SUMIF($V$27:$V$48,B510,$AZ$27:$AZ$48)</f>
        <v>6</v>
      </c>
      <c r="G510" s="111">
        <f t="shared" ref="G510:G512" si="815">E510/1000</f>
        <v>287.202</v>
      </c>
      <c r="H510" s="126">
        <f>SUMIF($V$27:$V$48,B510,$I$27:$I$48)</f>
        <v>14.317361111105129</v>
      </c>
      <c r="I510" s="141">
        <f t="shared" ref="I510:I511" si="816">IFERROR(H510/F510,"")</f>
        <v>2.3862268518508549</v>
      </c>
      <c r="AQ510" s="57"/>
    </row>
    <row r="511" spans="2:43" ht="17.45" hidden="1" customHeight="1" outlineLevel="1">
      <c r="B511" s="138" t="s">
        <v>93</v>
      </c>
      <c r="C511" s="111">
        <f>SUMIF($V$27:$V$48,B511,$L$27:$L$48)</f>
        <v>0</v>
      </c>
      <c r="D511" s="111">
        <f>SUMIF($V$27:$V$48,B511,$M$27:$M$48)</f>
        <v>0</v>
      </c>
      <c r="E511" s="111">
        <f t="shared" si="814"/>
        <v>0</v>
      </c>
      <c r="F511" s="111">
        <f>SUMIF($V$27:$V$48,B511,$AZ$27:$AZ$48)</f>
        <v>0</v>
      </c>
      <c r="G511" s="111">
        <f t="shared" si="815"/>
        <v>0</v>
      </c>
      <c r="H511" s="126">
        <f>SUMIF($V$27:$V$48,B511,$I$27:$I$48)</f>
        <v>0</v>
      </c>
      <c r="I511" s="141" t="str">
        <f t="shared" si="816"/>
        <v/>
      </c>
      <c r="AQ511" s="57"/>
    </row>
    <row r="512" spans="2:43" ht="17.45" hidden="1" customHeight="1" outlineLevel="1" thickBot="1">
      <c r="B512" s="138" t="s">
        <v>94</v>
      </c>
      <c r="C512" s="111">
        <f>SUMIF($V$27:$V$48,B512,$L$27:$L$48)</f>
        <v>30505</v>
      </c>
      <c r="D512" s="111">
        <f>SUMIF($V$27:$V$48,B512,$M$27:$M$48)</f>
        <v>16656</v>
      </c>
      <c r="E512" s="111">
        <f t="shared" si="814"/>
        <v>47161</v>
      </c>
      <c r="F512" s="111">
        <f>SUMIF($V$27:$V$48,B512,$AZ$27:$AZ$48)</f>
        <v>2</v>
      </c>
      <c r="G512" s="111">
        <f t="shared" si="815"/>
        <v>47.161000000000001</v>
      </c>
      <c r="H512" s="126">
        <f>SUMIF($V$27:$V$48,B512,$I$27:$I$48)</f>
        <v>7.8597222222160781</v>
      </c>
      <c r="I512" s="190">
        <f>IFERROR(H512/F512,"")</f>
        <v>3.929861111108039</v>
      </c>
      <c r="AQ512" s="57"/>
    </row>
    <row r="513" spans="2:43" ht="17.45" hidden="1" customHeight="1" outlineLevel="1" thickBot="1">
      <c r="B513" s="113" t="s">
        <v>61</v>
      </c>
      <c r="C513" s="114">
        <f>SUM(C509:C512)</f>
        <v>302703</v>
      </c>
      <c r="D513" s="114">
        <f t="shared" ref="D513:F513" si="817">SUM(D509:D512)</f>
        <v>285858</v>
      </c>
      <c r="E513" s="114">
        <f t="shared" si="817"/>
        <v>588561</v>
      </c>
      <c r="F513" s="114">
        <f t="shared" si="817"/>
        <v>10</v>
      </c>
      <c r="G513" s="114">
        <f>SUM(G509:G512)</f>
        <v>588.56099999999992</v>
      </c>
      <c r="H513" s="189">
        <f>SUM(H509:H512)</f>
        <v>32.229166666656965</v>
      </c>
      <c r="I513" s="191">
        <f>IFERROR(H513/F513,"")</f>
        <v>3.2229166666656965</v>
      </c>
      <c r="AQ513" s="57"/>
    </row>
    <row r="514" spans="2:43" ht="17.45" hidden="1" customHeight="1" outlineLevel="1">
      <c r="AQ514" s="57"/>
    </row>
    <row r="515" spans="2:43" ht="17.45" customHeight="1" collapsed="1">
      <c r="B515" s="329" t="s">
        <v>257</v>
      </c>
      <c r="O515" s="122"/>
      <c r="P515" s="122"/>
      <c r="Q515" s="122"/>
      <c r="R515" s="123"/>
      <c r="S515" s="331"/>
      <c r="T515" s="124"/>
      <c r="U515" s="332"/>
      <c r="V515" s="332"/>
      <c r="W515" s="245"/>
      <c r="X515" s="245"/>
      <c r="Y515" s="333"/>
      <c r="AQ515" s="57"/>
    </row>
    <row r="516" spans="2:43" ht="17.45" hidden="1" customHeight="1" outlineLevel="1">
      <c r="B516" s="1173" t="s">
        <v>51</v>
      </c>
      <c r="C516" s="1173"/>
      <c r="D516" s="1168" t="s">
        <v>52</v>
      </c>
      <c r="E516" s="1168"/>
      <c r="F516" s="1168"/>
      <c r="G516" s="1168" t="s">
        <v>53</v>
      </c>
      <c r="H516" s="1168"/>
      <c r="I516" s="1168"/>
      <c r="J516" s="1168" t="s">
        <v>54</v>
      </c>
      <c r="K516" s="1168"/>
      <c r="L516" s="1168"/>
      <c r="O516" s="1168" t="s">
        <v>71</v>
      </c>
      <c r="P516" s="1168" t="s">
        <v>72</v>
      </c>
      <c r="Q516" s="1168" t="s">
        <v>73</v>
      </c>
      <c r="R516" s="1168" t="s">
        <v>74</v>
      </c>
      <c r="S516" s="122"/>
      <c r="T516" s="1168" t="s">
        <v>71</v>
      </c>
      <c r="U516" s="1168" t="s">
        <v>72</v>
      </c>
      <c r="V516" s="1168" t="s">
        <v>73</v>
      </c>
      <c r="W516" s="1168" t="s">
        <v>74</v>
      </c>
      <c r="X516" s="1168" t="s">
        <v>75</v>
      </c>
      <c r="Y516" s="1169" t="str">
        <f>RIGHT(B515,3)&amp;" 목표(ST)"</f>
        <v xml:space="preserve"> 3월 목표(ST)</v>
      </c>
      <c r="Z516" s="1170" t="s">
        <v>111</v>
      </c>
      <c r="AQ516" s="57"/>
    </row>
    <row r="517" spans="2:43" ht="17.45" hidden="1" customHeight="1" outlineLevel="1">
      <c r="B517" s="1173"/>
      <c r="C517" s="1173"/>
      <c r="D517" s="626" t="s">
        <v>55</v>
      </c>
      <c r="E517" s="626" t="s">
        <v>56</v>
      </c>
      <c r="F517" s="626" t="s">
        <v>57</v>
      </c>
      <c r="G517" s="626" t="s">
        <v>55</v>
      </c>
      <c r="H517" s="626" t="s">
        <v>56</v>
      </c>
      <c r="I517" s="626" t="s">
        <v>57</v>
      </c>
      <c r="J517" s="626" t="s">
        <v>55</v>
      </c>
      <c r="K517" s="626" t="s">
        <v>56</v>
      </c>
      <c r="L517" s="626" t="s">
        <v>57</v>
      </c>
      <c r="O517" s="1168"/>
      <c r="P517" s="1168"/>
      <c r="Q517" s="1168"/>
      <c r="R517" s="1168"/>
      <c r="S517" s="122"/>
      <c r="T517" s="1168"/>
      <c r="U517" s="1168"/>
      <c r="V517" s="1168"/>
      <c r="W517" s="1168"/>
      <c r="X517" s="1168"/>
      <c r="Y517" s="1168"/>
      <c r="Z517" s="1168"/>
      <c r="AN517" s="361" t="s">
        <v>163</v>
      </c>
      <c r="AO517" s="362" t="s">
        <v>156</v>
      </c>
      <c r="AP517" s="457"/>
      <c r="AQ517" s="57"/>
    </row>
    <row r="518" spans="2:43" ht="17.45" hidden="1" customHeight="1" outlineLevel="1">
      <c r="B518" s="1171" t="s">
        <v>58</v>
      </c>
      <c r="C518" s="110" t="s">
        <v>179</v>
      </c>
      <c r="D518" s="111">
        <f t="shared" ref="D518:D523" si="818">SUMIF($B$50:$B$59,C518,$L$50:$L$59)</f>
        <v>29735</v>
      </c>
      <c r="E518" s="111">
        <f t="shared" ref="E518:E523" si="819">SUMIF($B$50:$B$59,C518,$M$50:$M$59)</f>
        <v>49665</v>
      </c>
      <c r="F518" s="111">
        <f>D518+E518</f>
        <v>79400</v>
      </c>
      <c r="G518" s="112">
        <f>IFERROR(D518/F518,"")</f>
        <v>0.37449622166246849</v>
      </c>
      <c r="H518" s="112">
        <f>IFERROR(E518/F518,"")</f>
        <v>0.62550377833753146</v>
      </c>
      <c r="I518" s="112">
        <f t="shared" ref="I518:I522" si="820">IFERROR(G518+H518,"")</f>
        <v>1</v>
      </c>
      <c r="J518" s="111">
        <f t="shared" ref="J518:J523" si="821">SUMIF($B$50:$B$59,C518,$AX$50:$AX$59)</f>
        <v>0.5</v>
      </c>
      <c r="K518" s="111">
        <f t="shared" ref="K518:K523" si="822">SUMIF($B$50:$B$59,C518,$AY$50:$AY$59)</f>
        <v>0.5</v>
      </c>
      <c r="L518" s="111">
        <f>J518+K518</f>
        <v>1</v>
      </c>
      <c r="O518" s="125" t="str">
        <f>C518</f>
        <v>SGC에너지</v>
      </c>
      <c r="P518" s="126">
        <f t="shared" ref="P518:P523" si="823">SUMIF($B$50:$B$59,O518,$I$50:$I$59)</f>
        <v>5.4631944444481633</v>
      </c>
      <c r="Q518" s="111">
        <f t="shared" ref="Q518:Q523" si="824">SUMIF($B$50:$B$59,O518,$AZ$50:$AZ$59)</f>
        <v>1</v>
      </c>
      <c r="R518" s="126">
        <f>IFERROR(P518/Q518,"")</f>
        <v>5.4631944444481633</v>
      </c>
      <c r="S518" s="122"/>
      <c r="T518" s="125" t="str">
        <f>O518</f>
        <v>SGC에너지</v>
      </c>
      <c r="U518" s="126">
        <f>P518</f>
        <v>5.4631944444481633</v>
      </c>
      <c r="V518" s="111">
        <f>Q518</f>
        <v>1</v>
      </c>
      <c r="W518" s="127">
        <f>IFERROR(U518/V518,"")</f>
        <v>5.4631944444481633</v>
      </c>
      <c r="X518" s="148">
        <f>F518/1000</f>
        <v>79.400000000000006</v>
      </c>
      <c r="Y518" s="111"/>
      <c r="Z518" s="155" t="str">
        <f t="shared" ref="Z518:Z533" si="825">IFERROR(IF(X518=0,"",X518/Y518),"")</f>
        <v/>
      </c>
      <c r="AN518" s="335">
        <f t="shared" ref="AN518:AN523" si="826">Y408+Y463+Y518</f>
        <v>0</v>
      </c>
      <c r="AO518" s="336">
        <f>X518-Y518</f>
        <v>79.400000000000006</v>
      </c>
      <c r="AP518" s="452"/>
      <c r="AQ518" s="57"/>
    </row>
    <row r="519" spans="2:43" ht="17.45" hidden="1" customHeight="1" outlineLevel="1">
      <c r="B519" s="1172"/>
      <c r="C519" s="110" t="s">
        <v>59</v>
      </c>
      <c r="D519" s="111">
        <f t="shared" si="818"/>
        <v>0</v>
      </c>
      <c r="E519" s="111">
        <f t="shared" si="819"/>
        <v>89130</v>
      </c>
      <c r="F519" s="111">
        <f t="shared" ref="F519:F523" si="827">D519+E519</f>
        <v>89130</v>
      </c>
      <c r="G519" s="112">
        <f t="shared" ref="G519:G531" si="828">IFERROR(D519/F519,"")</f>
        <v>0</v>
      </c>
      <c r="H519" s="112">
        <f t="shared" ref="H519:H522" si="829">IFERROR(E519/F519,"")</f>
        <v>1</v>
      </c>
      <c r="I519" s="112">
        <f t="shared" si="820"/>
        <v>1</v>
      </c>
      <c r="J519" s="111">
        <f t="shared" si="821"/>
        <v>0</v>
      </c>
      <c r="K519" s="111">
        <f t="shared" si="822"/>
        <v>2</v>
      </c>
      <c r="L519" s="111">
        <f t="shared" ref="L519:L522" si="830">J519+K519</f>
        <v>2</v>
      </c>
      <c r="O519" s="125" t="str">
        <f t="shared" ref="O519:O523" si="831">C519</f>
        <v>남동발전</v>
      </c>
      <c r="P519" s="126">
        <f t="shared" si="823"/>
        <v>7.992361111115315</v>
      </c>
      <c r="Q519" s="111">
        <f t="shared" si="824"/>
        <v>2</v>
      </c>
      <c r="R519" s="126">
        <f t="shared" ref="R519:R540" si="832">IFERROR(P519/Q519,"")</f>
        <v>3.9961805555576575</v>
      </c>
      <c r="S519" s="122"/>
      <c r="T519" s="125" t="str">
        <f t="shared" ref="T519:V523" si="833">O519</f>
        <v>남동발전</v>
      </c>
      <c r="U519" s="126">
        <f t="shared" si="833"/>
        <v>7.992361111115315</v>
      </c>
      <c r="V519" s="111">
        <f t="shared" si="833"/>
        <v>2</v>
      </c>
      <c r="W519" s="127">
        <f t="shared" ref="W519:W539" si="834">IFERROR(U519/V519,"")</f>
        <v>3.9961805555576575</v>
      </c>
      <c r="X519" s="148">
        <f t="shared" ref="X519:X523" si="835">F519/1000</f>
        <v>89.13</v>
      </c>
      <c r="Y519" s="111"/>
      <c r="Z519" s="155" t="str">
        <f t="shared" si="825"/>
        <v/>
      </c>
      <c r="AN519" s="335">
        <f t="shared" si="826"/>
        <v>0</v>
      </c>
      <c r="AO519" s="336">
        <f t="shared" ref="AO519:AO523" si="836">X519-Y519</f>
        <v>89.13</v>
      </c>
      <c r="AP519" s="452"/>
      <c r="AQ519" s="57"/>
    </row>
    <row r="520" spans="2:43" ht="17.45" hidden="1" customHeight="1" outlineLevel="1">
      <c r="B520" s="1172"/>
      <c r="C520" s="110" t="s">
        <v>60</v>
      </c>
      <c r="D520" s="111">
        <f t="shared" si="818"/>
        <v>0</v>
      </c>
      <c r="E520" s="111">
        <f t="shared" si="819"/>
        <v>0</v>
      </c>
      <c r="F520" s="111">
        <f t="shared" si="827"/>
        <v>0</v>
      </c>
      <c r="G520" s="112" t="str">
        <f t="shared" si="828"/>
        <v/>
      </c>
      <c r="H520" s="112" t="str">
        <f t="shared" si="829"/>
        <v/>
      </c>
      <c r="I520" s="112" t="str">
        <f t="shared" si="820"/>
        <v/>
      </c>
      <c r="J520" s="111">
        <f t="shared" si="821"/>
        <v>0</v>
      </c>
      <c r="K520" s="111">
        <f t="shared" si="822"/>
        <v>0</v>
      </c>
      <c r="L520" s="111">
        <f t="shared" si="830"/>
        <v>0</v>
      </c>
      <c r="O520" s="125" t="str">
        <f t="shared" si="831"/>
        <v>동서발전</v>
      </c>
      <c r="P520" s="126">
        <f t="shared" si="823"/>
        <v>0</v>
      </c>
      <c r="Q520" s="111">
        <f t="shared" si="824"/>
        <v>0</v>
      </c>
      <c r="R520" s="126" t="str">
        <f t="shared" si="832"/>
        <v/>
      </c>
      <c r="S520" s="122"/>
      <c r="T520" s="125" t="str">
        <f t="shared" si="833"/>
        <v>동서발전</v>
      </c>
      <c r="U520" s="126">
        <f t="shared" si="833"/>
        <v>0</v>
      </c>
      <c r="V520" s="111">
        <f t="shared" si="833"/>
        <v>0</v>
      </c>
      <c r="W520" s="127" t="str">
        <f t="shared" si="834"/>
        <v/>
      </c>
      <c r="X520" s="148">
        <f t="shared" si="835"/>
        <v>0</v>
      </c>
      <c r="Y520" s="111"/>
      <c r="Z520" s="155" t="str">
        <f t="shared" si="825"/>
        <v/>
      </c>
      <c r="AN520" s="335">
        <f t="shared" si="826"/>
        <v>0</v>
      </c>
      <c r="AO520" s="336">
        <f t="shared" si="836"/>
        <v>0</v>
      </c>
      <c r="AP520" s="452"/>
    </row>
    <row r="521" spans="2:43" ht="17.45" hidden="1" customHeight="1" outlineLevel="1">
      <c r="B521" s="1172"/>
      <c r="C521" s="110" t="s">
        <v>159</v>
      </c>
      <c r="D521" s="111">
        <f t="shared" si="818"/>
        <v>0</v>
      </c>
      <c r="E521" s="111">
        <f t="shared" si="819"/>
        <v>0</v>
      </c>
      <c r="F521" s="111">
        <f t="shared" si="827"/>
        <v>0</v>
      </c>
      <c r="G521" s="112" t="str">
        <f t="shared" si="828"/>
        <v/>
      </c>
      <c r="H521" s="112" t="str">
        <f t="shared" si="829"/>
        <v/>
      </c>
      <c r="I521" s="112" t="str">
        <f t="shared" si="820"/>
        <v/>
      </c>
      <c r="J521" s="111">
        <f t="shared" si="821"/>
        <v>0</v>
      </c>
      <c r="K521" s="111">
        <f t="shared" si="822"/>
        <v>0</v>
      </c>
      <c r="L521" s="111">
        <f t="shared" si="830"/>
        <v>0</v>
      </c>
      <c r="O521" s="125" t="str">
        <f t="shared" si="831"/>
        <v>미쓰이</v>
      </c>
      <c r="P521" s="126">
        <f t="shared" si="823"/>
        <v>0</v>
      </c>
      <c r="Q521" s="111">
        <f t="shared" si="824"/>
        <v>0</v>
      </c>
      <c r="R521" s="126" t="str">
        <f t="shared" si="832"/>
        <v/>
      </c>
      <c r="S521" s="122"/>
      <c r="T521" s="125" t="str">
        <f t="shared" si="833"/>
        <v>미쓰이</v>
      </c>
      <c r="U521" s="126">
        <f t="shared" si="833"/>
        <v>0</v>
      </c>
      <c r="V521" s="111">
        <f t="shared" si="833"/>
        <v>0</v>
      </c>
      <c r="W521" s="127" t="str">
        <f t="shared" si="834"/>
        <v/>
      </c>
      <c r="X521" s="148">
        <f t="shared" si="835"/>
        <v>0</v>
      </c>
      <c r="Y521" s="111"/>
      <c r="Z521" s="155" t="str">
        <f t="shared" si="825"/>
        <v/>
      </c>
      <c r="AN521" s="335">
        <f t="shared" si="826"/>
        <v>0</v>
      </c>
      <c r="AO521" s="336">
        <f t="shared" si="836"/>
        <v>0</v>
      </c>
      <c r="AP521" s="452"/>
    </row>
    <row r="522" spans="2:43" ht="17.45" hidden="1" customHeight="1" outlineLevel="1">
      <c r="B522" s="1172"/>
      <c r="C522" s="110" t="s">
        <v>168</v>
      </c>
      <c r="D522" s="111">
        <f t="shared" si="818"/>
        <v>0</v>
      </c>
      <c r="E522" s="111">
        <f t="shared" si="819"/>
        <v>0</v>
      </c>
      <c r="F522" s="111">
        <f t="shared" si="827"/>
        <v>0</v>
      </c>
      <c r="G522" s="112" t="str">
        <f t="shared" si="828"/>
        <v/>
      </c>
      <c r="H522" s="112" t="str">
        <f t="shared" si="829"/>
        <v/>
      </c>
      <c r="I522" s="112" t="str">
        <f t="shared" si="820"/>
        <v/>
      </c>
      <c r="J522" s="111">
        <f t="shared" si="821"/>
        <v>0</v>
      </c>
      <c r="K522" s="111">
        <f t="shared" si="822"/>
        <v>0</v>
      </c>
      <c r="L522" s="111">
        <f t="shared" si="830"/>
        <v>0</v>
      </c>
      <c r="O522" s="125" t="str">
        <f t="shared" si="831"/>
        <v>포스코인터</v>
      </c>
      <c r="P522" s="126">
        <f t="shared" si="823"/>
        <v>0</v>
      </c>
      <c r="Q522" s="111">
        <f t="shared" si="824"/>
        <v>0</v>
      </c>
      <c r="R522" s="126" t="str">
        <f t="shared" si="832"/>
        <v/>
      </c>
      <c r="S522" s="122"/>
      <c r="T522" s="125" t="str">
        <f t="shared" si="833"/>
        <v>포스코인터</v>
      </c>
      <c r="U522" s="126">
        <f t="shared" si="833"/>
        <v>0</v>
      </c>
      <c r="V522" s="111">
        <f t="shared" si="833"/>
        <v>0</v>
      </c>
      <c r="W522" s="127" t="str">
        <f t="shared" si="834"/>
        <v/>
      </c>
      <c r="X522" s="148">
        <f t="shared" si="835"/>
        <v>0</v>
      </c>
      <c r="Y522" s="111"/>
      <c r="Z522" s="155" t="str">
        <f t="shared" si="825"/>
        <v/>
      </c>
      <c r="AN522" s="335">
        <f t="shared" si="826"/>
        <v>0</v>
      </c>
      <c r="AO522" s="336">
        <f t="shared" si="836"/>
        <v>0</v>
      </c>
      <c r="AP522" s="452"/>
    </row>
    <row r="523" spans="2:43" ht="17.45" hidden="1" customHeight="1" outlineLevel="1">
      <c r="B523" s="1172"/>
      <c r="C523" s="110" t="s">
        <v>154</v>
      </c>
      <c r="D523" s="111">
        <f t="shared" si="818"/>
        <v>0</v>
      </c>
      <c r="E523" s="111">
        <f t="shared" si="819"/>
        <v>0</v>
      </c>
      <c r="F523" s="111">
        <f t="shared" si="827"/>
        <v>0</v>
      </c>
      <c r="G523" s="112" t="str">
        <f t="shared" si="828"/>
        <v/>
      </c>
      <c r="H523" s="112" t="str">
        <f>IFERROR(E523/F523,"")</f>
        <v/>
      </c>
      <c r="I523" s="112" t="str">
        <f>IFERROR(G523+H523,"")</f>
        <v/>
      </c>
      <c r="J523" s="111">
        <f t="shared" si="821"/>
        <v>0</v>
      </c>
      <c r="K523" s="111">
        <f t="shared" si="822"/>
        <v>0</v>
      </c>
      <c r="L523" s="111">
        <f>J523+K523</f>
        <v>0</v>
      </c>
      <c r="O523" s="125" t="str">
        <f t="shared" si="831"/>
        <v>이노샌드</v>
      </c>
      <c r="P523" s="126">
        <f t="shared" si="823"/>
        <v>0</v>
      </c>
      <c r="Q523" s="111">
        <f t="shared" si="824"/>
        <v>0</v>
      </c>
      <c r="R523" s="126" t="str">
        <f t="shared" si="832"/>
        <v/>
      </c>
      <c r="S523" s="122"/>
      <c r="T523" s="125" t="str">
        <f t="shared" si="833"/>
        <v>이노샌드</v>
      </c>
      <c r="U523" s="126">
        <f t="shared" si="833"/>
        <v>0</v>
      </c>
      <c r="V523" s="111">
        <f t="shared" si="833"/>
        <v>0</v>
      </c>
      <c r="W523" s="127" t="str">
        <f t="shared" si="834"/>
        <v/>
      </c>
      <c r="X523" s="148">
        <f t="shared" si="835"/>
        <v>0</v>
      </c>
      <c r="Y523" s="111"/>
      <c r="Z523" s="155" t="str">
        <f t="shared" si="825"/>
        <v/>
      </c>
      <c r="AN523" s="335">
        <f t="shared" si="826"/>
        <v>0</v>
      </c>
      <c r="AO523" s="336">
        <f t="shared" si="836"/>
        <v>0</v>
      </c>
      <c r="AP523" s="452"/>
      <c r="AQ523" s="337"/>
    </row>
    <row r="524" spans="2:43" ht="17.45" hidden="1" customHeight="1" outlineLevel="1">
      <c r="B524" s="1172"/>
      <c r="C524" s="113" t="s">
        <v>61</v>
      </c>
      <c r="D524" s="114">
        <f>SUM(D518:D523)</f>
        <v>29735</v>
      </c>
      <c r="E524" s="114">
        <f>SUM(E518:E523)</f>
        <v>138795</v>
      </c>
      <c r="F524" s="114">
        <f>SUM(F518:F523)</f>
        <v>168530</v>
      </c>
      <c r="G524" s="115">
        <f t="shared" si="828"/>
        <v>0.17643742953776775</v>
      </c>
      <c r="H524" s="115">
        <f>IFERROR(E524/F524,"")</f>
        <v>0.82356257046223225</v>
      </c>
      <c r="I524" s="115">
        <f>IFERROR(G524+H524,"")</f>
        <v>1</v>
      </c>
      <c r="J524" s="114">
        <f t="shared" ref="J524:L524" si="837">SUM(J518:J523)</f>
        <v>0.5</v>
      </c>
      <c r="K524" s="114">
        <f t="shared" si="837"/>
        <v>2.5</v>
      </c>
      <c r="L524" s="114">
        <f t="shared" si="837"/>
        <v>3</v>
      </c>
      <c r="O524" s="128" t="s">
        <v>61</v>
      </c>
      <c r="P524" s="129">
        <f>SUM(P518:P523)</f>
        <v>13.455555555563478</v>
      </c>
      <c r="Q524" s="114">
        <f>SUM(Q518:Q523)</f>
        <v>3</v>
      </c>
      <c r="R524" s="129">
        <f t="shared" si="832"/>
        <v>4.4851851851878264</v>
      </c>
      <c r="S524" s="122"/>
      <c r="T524" s="128" t="s">
        <v>61</v>
      </c>
      <c r="U524" s="129">
        <f>SUM(U518:U523)</f>
        <v>13.455555555563478</v>
      </c>
      <c r="V524" s="114">
        <f>SUM(V518:V523)</f>
        <v>3</v>
      </c>
      <c r="W524" s="129">
        <f t="shared" si="834"/>
        <v>4.4851851851878264</v>
      </c>
      <c r="X524" s="114">
        <f>SUM(X518:X523)</f>
        <v>168.53</v>
      </c>
      <c r="Y524" s="114">
        <f>SUM(Y518:Y523)</f>
        <v>0</v>
      </c>
      <c r="Z524" s="156" t="str">
        <f t="shared" si="825"/>
        <v/>
      </c>
      <c r="AN524" s="338">
        <f>SUM(AN518:AN523)</f>
        <v>0</v>
      </c>
      <c r="AO524" s="338">
        <f>SUM(AO518:AO523)</f>
        <v>168.53</v>
      </c>
      <c r="AP524" s="453"/>
    </row>
    <row r="525" spans="2:43" ht="17.45" hidden="1" customHeight="1" outlineLevel="1">
      <c r="B525" s="1171" t="s">
        <v>62</v>
      </c>
      <c r="C525" s="110" t="s">
        <v>222</v>
      </c>
      <c r="D525" s="111">
        <f t="shared" ref="D525:D539" si="838">SUMIF($B$50:$B$59,C525,$L$50:$L$59)</f>
        <v>0</v>
      </c>
      <c r="E525" s="111">
        <f t="shared" ref="E525:E539" si="839">SUMIF($B$50:$B$59,C525,$M$50:$M$59)</f>
        <v>0</v>
      </c>
      <c r="F525" s="111">
        <f t="shared" ref="F525:F539" si="840">D525+E525</f>
        <v>0</v>
      </c>
      <c r="G525" s="112" t="str">
        <f t="shared" si="828"/>
        <v/>
      </c>
      <c r="H525" s="112" t="str">
        <f t="shared" ref="H525:H534" si="841">IFERROR(E525/F525,"")</f>
        <v/>
      </c>
      <c r="I525" s="112" t="str">
        <f t="shared" ref="I525:I534" si="842">IFERROR(G525+H525,"")</f>
        <v/>
      </c>
      <c r="J525" s="111">
        <f t="shared" ref="J525:J539" si="843">SUMIF($B$50:$B$59,C525,$AX$50:$AX$59)</f>
        <v>0</v>
      </c>
      <c r="K525" s="111">
        <f t="shared" ref="K525:K539" si="844">SUMIF($B$50:$B$59,C525,$AY$50:$AY$59)</f>
        <v>0</v>
      </c>
      <c r="L525" s="111">
        <f t="shared" ref="L525:L539" si="845">J525+K525</f>
        <v>0</v>
      </c>
      <c r="O525" s="125" t="str">
        <f>C525</f>
        <v>태경비케이</v>
      </c>
      <c r="P525" s="126">
        <f t="shared" ref="P525:P539" si="846">SUMIF($B$50:$B$59,O525,$I$50:$I$59)</f>
        <v>0</v>
      </c>
      <c r="Q525" s="111">
        <f t="shared" ref="Q525:Q539" si="847">SUMIF($B$50:$B$59,O525,$AZ$50:$AZ$59)</f>
        <v>0</v>
      </c>
      <c r="R525" s="126" t="str">
        <f t="shared" si="832"/>
        <v/>
      </c>
      <c r="S525" s="122"/>
      <c r="T525" s="125" t="str">
        <f t="shared" ref="T525:V539" si="848">O525</f>
        <v>태경비케이</v>
      </c>
      <c r="U525" s="126">
        <f t="shared" si="848"/>
        <v>0</v>
      </c>
      <c r="V525" s="111">
        <f t="shared" si="848"/>
        <v>0</v>
      </c>
      <c r="W525" s="127" t="str">
        <f t="shared" si="834"/>
        <v/>
      </c>
      <c r="X525" s="148">
        <f t="shared" ref="X525:X535" si="849">F525/1000</f>
        <v>0</v>
      </c>
      <c r="Y525" s="111"/>
      <c r="Z525" s="155" t="str">
        <f t="shared" si="825"/>
        <v/>
      </c>
      <c r="AN525" s="335">
        <f t="shared" ref="AN525:AN539" si="850">Y416+Y471+Y525</f>
        <v>0</v>
      </c>
      <c r="AO525" s="336">
        <f>X525-Y525</f>
        <v>0</v>
      </c>
      <c r="AP525" s="452"/>
    </row>
    <row r="526" spans="2:43" ht="17.45" hidden="1" customHeight="1" outlineLevel="1">
      <c r="B526" s="1172"/>
      <c r="C526" s="110" t="s">
        <v>78</v>
      </c>
      <c r="D526" s="111">
        <f t="shared" si="838"/>
        <v>0</v>
      </c>
      <c r="E526" s="111">
        <f t="shared" si="839"/>
        <v>0</v>
      </c>
      <c r="F526" s="111">
        <f t="shared" si="840"/>
        <v>0</v>
      </c>
      <c r="G526" s="112" t="str">
        <f t="shared" si="828"/>
        <v/>
      </c>
      <c r="H526" s="112" t="str">
        <f t="shared" si="841"/>
        <v/>
      </c>
      <c r="I526" s="112" t="str">
        <f t="shared" si="842"/>
        <v/>
      </c>
      <c r="J526" s="111">
        <f t="shared" si="843"/>
        <v>0</v>
      </c>
      <c r="K526" s="111">
        <f t="shared" si="844"/>
        <v>0</v>
      </c>
      <c r="L526" s="111">
        <f t="shared" si="845"/>
        <v>0</v>
      </c>
      <c r="O526" s="125" t="str">
        <f t="shared" ref="O526:O539" si="851">C526</f>
        <v>삼영산업</v>
      </c>
      <c r="P526" s="126">
        <f t="shared" si="846"/>
        <v>0</v>
      </c>
      <c r="Q526" s="111">
        <f t="shared" si="847"/>
        <v>0</v>
      </c>
      <c r="R526" s="126" t="str">
        <f t="shared" si="832"/>
        <v/>
      </c>
      <c r="S526" s="122"/>
      <c r="T526" s="125" t="str">
        <f t="shared" si="848"/>
        <v>삼영산업</v>
      </c>
      <c r="U526" s="126">
        <f t="shared" si="848"/>
        <v>0</v>
      </c>
      <c r="V526" s="111">
        <f t="shared" si="848"/>
        <v>0</v>
      </c>
      <c r="W526" s="127" t="str">
        <f t="shared" si="834"/>
        <v/>
      </c>
      <c r="X526" s="148">
        <f t="shared" si="849"/>
        <v>0</v>
      </c>
      <c r="Y526" s="111"/>
      <c r="Z526" s="155" t="str">
        <f t="shared" si="825"/>
        <v/>
      </c>
      <c r="AN526" s="335">
        <f t="shared" si="850"/>
        <v>0</v>
      </c>
      <c r="AO526" s="336">
        <f t="shared" ref="AO526:AO527" si="852">X526-Y526</f>
        <v>0</v>
      </c>
      <c r="AP526" s="452"/>
    </row>
    <row r="527" spans="2:43" ht="17.45" hidden="1" customHeight="1" outlineLevel="1">
      <c r="B527" s="1172"/>
      <c r="C527" s="110" t="s">
        <v>176</v>
      </c>
      <c r="D527" s="111">
        <f t="shared" si="838"/>
        <v>0</v>
      </c>
      <c r="E527" s="111">
        <f t="shared" si="839"/>
        <v>0</v>
      </c>
      <c r="F527" s="111">
        <f t="shared" si="840"/>
        <v>0</v>
      </c>
      <c r="G527" s="112" t="str">
        <f t="shared" si="828"/>
        <v/>
      </c>
      <c r="H527" s="112" t="str">
        <f t="shared" si="841"/>
        <v/>
      </c>
      <c r="I527" s="112" t="str">
        <f t="shared" si="842"/>
        <v/>
      </c>
      <c r="J527" s="111">
        <f t="shared" si="843"/>
        <v>0</v>
      </c>
      <c r="K527" s="111">
        <f t="shared" si="844"/>
        <v>0</v>
      </c>
      <c r="L527" s="111">
        <f t="shared" si="845"/>
        <v>0</v>
      </c>
      <c r="O527" s="125" t="str">
        <f t="shared" si="851"/>
        <v>고려시멘트</v>
      </c>
      <c r="P527" s="126">
        <f t="shared" si="846"/>
        <v>0</v>
      </c>
      <c r="Q527" s="111">
        <f t="shared" si="847"/>
        <v>0</v>
      </c>
      <c r="R527" s="126" t="str">
        <f t="shared" si="832"/>
        <v/>
      </c>
      <c r="S527" s="122"/>
      <c r="T527" s="125" t="str">
        <f t="shared" si="848"/>
        <v>고려시멘트</v>
      </c>
      <c r="U527" s="126">
        <f t="shared" si="848"/>
        <v>0</v>
      </c>
      <c r="V527" s="111">
        <f t="shared" si="848"/>
        <v>0</v>
      </c>
      <c r="W527" s="127" t="str">
        <f t="shared" si="834"/>
        <v/>
      </c>
      <c r="X527" s="148">
        <f t="shared" si="849"/>
        <v>0</v>
      </c>
      <c r="Y527" s="111"/>
      <c r="Z527" s="155" t="str">
        <f t="shared" si="825"/>
        <v/>
      </c>
      <c r="AN527" s="335">
        <f t="shared" si="850"/>
        <v>0</v>
      </c>
      <c r="AO527" s="336">
        <f t="shared" si="852"/>
        <v>0</v>
      </c>
      <c r="AP527" s="452"/>
    </row>
    <row r="528" spans="2:43" ht="17.45" hidden="1" customHeight="1" outlineLevel="1">
      <c r="B528" s="1172"/>
      <c r="C528" s="110" t="s">
        <v>63</v>
      </c>
      <c r="D528" s="111">
        <f t="shared" si="838"/>
        <v>0</v>
      </c>
      <c r="E528" s="111">
        <f t="shared" si="839"/>
        <v>0</v>
      </c>
      <c r="F528" s="111">
        <f t="shared" si="840"/>
        <v>0</v>
      </c>
      <c r="G528" s="112" t="str">
        <f t="shared" si="828"/>
        <v/>
      </c>
      <c r="H528" s="112" t="str">
        <f t="shared" si="841"/>
        <v/>
      </c>
      <c r="I528" s="112" t="str">
        <f t="shared" si="842"/>
        <v/>
      </c>
      <c r="J528" s="111">
        <f t="shared" si="843"/>
        <v>0</v>
      </c>
      <c r="K528" s="111">
        <f t="shared" si="844"/>
        <v>0</v>
      </c>
      <c r="L528" s="111">
        <f t="shared" si="845"/>
        <v>0</v>
      </c>
      <c r="O528" s="125" t="str">
        <f t="shared" si="851"/>
        <v>청해실업</v>
      </c>
      <c r="P528" s="126">
        <f t="shared" si="846"/>
        <v>0</v>
      </c>
      <c r="Q528" s="111">
        <f t="shared" si="847"/>
        <v>0</v>
      </c>
      <c r="R528" s="126" t="str">
        <f t="shared" si="832"/>
        <v/>
      </c>
      <c r="S528" s="122"/>
      <c r="T528" s="125" t="str">
        <f t="shared" si="848"/>
        <v>청해실업</v>
      </c>
      <c r="U528" s="126">
        <f t="shared" si="848"/>
        <v>0</v>
      </c>
      <c r="V528" s="111">
        <f t="shared" si="848"/>
        <v>0</v>
      </c>
      <c r="W528" s="127" t="str">
        <f t="shared" si="834"/>
        <v/>
      </c>
      <c r="X528" s="148">
        <f t="shared" si="849"/>
        <v>0</v>
      </c>
      <c r="Y528" s="111"/>
      <c r="Z528" s="155" t="str">
        <f t="shared" si="825"/>
        <v/>
      </c>
      <c r="AN528" s="339">
        <f t="shared" si="850"/>
        <v>0</v>
      </c>
      <c r="AO528" s="340">
        <f t="shared" ref="AO528" si="853">X528-AN528</f>
        <v>0</v>
      </c>
      <c r="AP528" s="454"/>
      <c r="AQ528" s="240" t="s">
        <v>30</v>
      </c>
    </row>
    <row r="529" spans="2:43" ht="17.45" hidden="1" customHeight="1" outlineLevel="1">
      <c r="B529" s="1172"/>
      <c r="C529" s="110" t="s">
        <v>64</v>
      </c>
      <c r="D529" s="111">
        <f t="shared" si="838"/>
        <v>67200</v>
      </c>
      <c r="E529" s="111">
        <f t="shared" si="839"/>
        <v>0</v>
      </c>
      <c r="F529" s="111">
        <f t="shared" si="840"/>
        <v>67200</v>
      </c>
      <c r="G529" s="112">
        <f t="shared" si="828"/>
        <v>1</v>
      </c>
      <c r="H529" s="112">
        <f t="shared" si="841"/>
        <v>0</v>
      </c>
      <c r="I529" s="112">
        <f t="shared" si="842"/>
        <v>1</v>
      </c>
      <c r="J529" s="111">
        <f t="shared" si="843"/>
        <v>1</v>
      </c>
      <c r="K529" s="111">
        <f t="shared" si="844"/>
        <v>0</v>
      </c>
      <c r="L529" s="111">
        <f t="shared" si="845"/>
        <v>1</v>
      </c>
      <c r="O529" s="125" t="str">
        <f t="shared" si="851"/>
        <v>한화에너지</v>
      </c>
      <c r="P529" s="126">
        <f t="shared" si="846"/>
        <v>3.5138888888905058</v>
      </c>
      <c r="Q529" s="111">
        <f t="shared" si="847"/>
        <v>1</v>
      </c>
      <c r="R529" s="126">
        <f t="shared" si="832"/>
        <v>3.5138888888905058</v>
      </c>
      <c r="S529" s="122"/>
      <c r="T529" s="125" t="str">
        <f t="shared" si="848"/>
        <v>한화에너지</v>
      </c>
      <c r="U529" s="126">
        <f t="shared" si="848"/>
        <v>3.5138888888905058</v>
      </c>
      <c r="V529" s="111">
        <f t="shared" si="848"/>
        <v>1</v>
      </c>
      <c r="W529" s="127">
        <f t="shared" si="834"/>
        <v>3.5138888888905058</v>
      </c>
      <c r="X529" s="148">
        <f t="shared" si="849"/>
        <v>67.2</v>
      </c>
      <c r="Y529" s="111"/>
      <c r="Z529" s="155" t="str">
        <f t="shared" si="825"/>
        <v/>
      </c>
      <c r="AN529" s="335">
        <f t="shared" si="850"/>
        <v>0</v>
      </c>
      <c r="AO529" s="336">
        <f t="shared" ref="AO529:AO539" si="854">X529-Y529</f>
        <v>67.2</v>
      </c>
      <c r="AP529" s="452"/>
    </row>
    <row r="530" spans="2:43" ht="17.45" hidden="1" customHeight="1" outlineLevel="1">
      <c r="B530" s="1172"/>
      <c r="C530" s="110" t="s">
        <v>178</v>
      </c>
      <c r="D530" s="111">
        <f t="shared" si="838"/>
        <v>0</v>
      </c>
      <c r="E530" s="111">
        <f t="shared" si="839"/>
        <v>0</v>
      </c>
      <c r="F530" s="111">
        <f t="shared" si="840"/>
        <v>0</v>
      </c>
      <c r="G530" s="112" t="str">
        <f t="shared" si="828"/>
        <v/>
      </c>
      <c r="H530" s="112" t="str">
        <f t="shared" si="841"/>
        <v/>
      </c>
      <c r="I530" s="112" t="str">
        <f t="shared" si="842"/>
        <v/>
      </c>
      <c r="J530" s="111">
        <f t="shared" si="843"/>
        <v>0</v>
      </c>
      <c r="K530" s="111">
        <f t="shared" si="844"/>
        <v>0</v>
      </c>
      <c r="L530" s="111">
        <f t="shared" si="845"/>
        <v>0</v>
      </c>
      <c r="O530" s="125" t="str">
        <f t="shared" si="851"/>
        <v>금호석유화학</v>
      </c>
      <c r="P530" s="126">
        <f t="shared" si="846"/>
        <v>0</v>
      </c>
      <c r="Q530" s="111">
        <f t="shared" si="847"/>
        <v>0</v>
      </c>
      <c r="R530" s="126" t="str">
        <f t="shared" si="832"/>
        <v/>
      </c>
      <c r="S530" s="122"/>
      <c r="T530" s="125" t="str">
        <f t="shared" si="848"/>
        <v>금호석유화학</v>
      </c>
      <c r="U530" s="126">
        <f t="shared" si="848"/>
        <v>0</v>
      </c>
      <c r="V530" s="111">
        <f t="shared" si="848"/>
        <v>0</v>
      </c>
      <c r="W530" s="127" t="str">
        <f t="shared" si="834"/>
        <v/>
      </c>
      <c r="X530" s="148">
        <f t="shared" si="849"/>
        <v>0</v>
      </c>
      <c r="Y530" s="111"/>
      <c r="Z530" s="155" t="str">
        <f t="shared" si="825"/>
        <v/>
      </c>
      <c r="AN530" s="335">
        <f t="shared" si="850"/>
        <v>0</v>
      </c>
      <c r="AO530" s="336">
        <f t="shared" si="854"/>
        <v>0</v>
      </c>
      <c r="AP530" s="452"/>
    </row>
    <row r="531" spans="2:43" ht="17.45" hidden="1" customHeight="1" outlineLevel="1">
      <c r="B531" s="1172"/>
      <c r="C531" s="110" t="s">
        <v>65</v>
      </c>
      <c r="D531" s="111">
        <f t="shared" si="838"/>
        <v>0</v>
      </c>
      <c r="E531" s="111">
        <f t="shared" si="839"/>
        <v>0</v>
      </c>
      <c r="F531" s="111">
        <f t="shared" si="840"/>
        <v>0</v>
      </c>
      <c r="G531" s="112" t="str">
        <f t="shared" si="828"/>
        <v/>
      </c>
      <c r="H531" s="112" t="str">
        <f t="shared" si="841"/>
        <v/>
      </c>
      <c r="I531" s="112" t="str">
        <f t="shared" si="842"/>
        <v/>
      </c>
      <c r="J531" s="111">
        <f t="shared" si="843"/>
        <v>0</v>
      </c>
      <c r="K531" s="111">
        <f t="shared" si="844"/>
        <v>0</v>
      </c>
      <c r="L531" s="111">
        <f t="shared" si="845"/>
        <v>0</v>
      </c>
      <c r="O531" s="125" t="str">
        <f t="shared" si="851"/>
        <v>LG상사</v>
      </c>
      <c r="P531" s="126">
        <f t="shared" si="846"/>
        <v>0</v>
      </c>
      <c r="Q531" s="111">
        <f t="shared" si="847"/>
        <v>0</v>
      </c>
      <c r="R531" s="126" t="str">
        <f t="shared" si="832"/>
        <v/>
      </c>
      <c r="S531" s="122"/>
      <c r="T531" s="125" t="str">
        <f t="shared" si="848"/>
        <v>LG상사</v>
      </c>
      <c r="U531" s="126">
        <f t="shared" si="848"/>
        <v>0</v>
      </c>
      <c r="V531" s="111">
        <f t="shared" si="848"/>
        <v>0</v>
      </c>
      <c r="W531" s="127" t="str">
        <f t="shared" si="834"/>
        <v/>
      </c>
      <c r="X531" s="148">
        <f t="shared" si="849"/>
        <v>0</v>
      </c>
      <c r="Y531" s="111"/>
      <c r="Z531" s="155" t="str">
        <f t="shared" si="825"/>
        <v/>
      </c>
      <c r="AN531" s="335">
        <f t="shared" si="850"/>
        <v>0</v>
      </c>
      <c r="AO531" s="336">
        <f t="shared" si="854"/>
        <v>0</v>
      </c>
      <c r="AP531" s="452"/>
    </row>
    <row r="532" spans="2:43" ht="17.45" hidden="1" customHeight="1" outlineLevel="1">
      <c r="B532" s="1172"/>
      <c r="C532" s="110" t="s">
        <v>66</v>
      </c>
      <c r="D532" s="111">
        <f t="shared" si="838"/>
        <v>0</v>
      </c>
      <c r="E532" s="111">
        <f t="shared" si="839"/>
        <v>0</v>
      </c>
      <c r="F532" s="111">
        <f t="shared" si="840"/>
        <v>0</v>
      </c>
      <c r="G532" s="112" t="str">
        <f>IFERROR(D532/F532,"")</f>
        <v/>
      </c>
      <c r="H532" s="112" t="str">
        <f t="shared" si="841"/>
        <v/>
      </c>
      <c r="I532" s="112" t="str">
        <f t="shared" si="842"/>
        <v/>
      </c>
      <c r="J532" s="111">
        <f t="shared" si="843"/>
        <v>0</v>
      </c>
      <c r="K532" s="111">
        <f t="shared" si="844"/>
        <v>0</v>
      </c>
      <c r="L532" s="111">
        <f t="shared" si="845"/>
        <v>0</v>
      </c>
      <c r="O532" s="125" t="str">
        <f t="shared" si="851"/>
        <v>LG화학</v>
      </c>
      <c r="P532" s="126">
        <f t="shared" si="846"/>
        <v>0</v>
      </c>
      <c r="Q532" s="111">
        <f t="shared" si="847"/>
        <v>0</v>
      </c>
      <c r="R532" s="126" t="str">
        <f t="shared" si="832"/>
        <v/>
      </c>
      <c r="S532" s="122"/>
      <c r="T532" s="125" t="str">
        <f t="shared" si="848"/>
        <v>LG화학</v>
      </c>
      <c r="U532" s="126">
        <f t="shared" si="848"/>
        <v>0</v>
      </c>
      <c r="V532" s="111">
        <f t="shared" si="848"/>
        <v>0</v>
      </c>
      <c r="W532" s="127" t="str">
        <f t="shared" si="834"/>
        <v/>
      </c>
      <c r="X532" s="148">
        <f t="shared" si="849"/>
        <v>0</v>
      </c>
      <c r="Y532" s="111"/>
      <c r="Z532" s="155" t="str">
        <f t="shared" si="825"/>
        <v/>
      </c>
      <c r="AN532" s="335">
        <f t="shared" si="850"/>
        <v>0</v>
      </c>
      <c r="AO532" s="336">
        <f t="shared" si="854"/>
        <v>0</v>
      </c>
      <c r="AP532" s="452"/>
    </row>
    <row r="533" spans="2:43" ht="17.45" hidden="1" customHeight="1" outlineLevel="1">
      <c r="B533" s="1172"/>
      <c r="C533" s="110" t="s">
        <v>67</v>
      </c>
      <c r="D533" s="111">
        <f t="shared" si="838"/>
        <v>0</v>
      </c>
      <c r="E533" s="111">
        <f t="shared" si="839"/>
        <v>0</v>
      </c>
      <c r="F533" s="111">
        <f t="shared" si="840"/>
        <v>0</v>
      </c>
      <c r="G533" s="112" t="str">
        <f t="shared" ref="G533:G541" si="855">IFERROR(D533/F533,"")</f>
        <v/>
      </c>
      <c r="H533" s="112" t="str">
        <f t="shared" si="841"/>
        <v/>
      </c>
      <c r="I533" s="112" t="str">
        <f t="shared" si="842"/>
        <v/>
      </c>
      <c r="J533" s="111">
        <f t="shared" si="843"/>
        <v>0</v>
      </c>
      <c r="K533" s="111">
        <f t="shared" si="844"/>
        <v>0</v>
      </c>
      <c r="L533" s="111">
        <f t="shared" si="845"/>
        <v>0</v>
      </c>
      <c r="O533" s="125" t="str">
        <f t="shared" si="851"/>
        <v>OCI SE</v>
      </c>
      <c r="P533" s="126">
        <f t="shared" si="846"/>
        <v>0</v>
      </c>
      <c r="Q533" s="111">
        <f t="shared" si="847"/>
        <v>0</v>
      </c>
      <c r="R533" s="126" t="str">
        <f t="shared" si="832"/>
        <v/>
      </c>
      <c r="S533" s="122"/>
      <c r="T533" s="125" t="str">
        <f t="shared" si="848"/>
        <v>OCI SE</v>
      </c>
      <c r="U533" s="126">
        <f t="shared" si="848"/>
        <v>0</v>
      </c>
      <c r="V533" s="111">
        <f t="shared" si="848"/>
        <v>0</v>
      </c>
      <c r="W533" s="127" t="str">
        <f t="shared" si="834"/>
        <v/>
      </c>
      <c r="X533" s="148">
        <f t="shared" si="849"/>
        <v>0</v>
      </c>
      <c r="Y533" s="111"/>
      <c r="Z533" s="155" t="str">
        <f t="shared" si="825"/>
        <v/>
      </c>
      <c r="AN533" s="335">
        <f t="shared" si="850"/>
        <v>0</v>
      </c>
      <c r="AO533" s="336">
        <f t="shared" si="854"/>
        <v>0</v>
      </c>
      <c r="AP533" s="452"/>
    </row>
    <row r="534" spans="2:43" ht="17.45" hidden="1" customHeight="1" outlineLevel="1">
      <c r="B534" s="1172"/>
      <c r="C534" s="110" t="s">
        <v>37</v>
      </c>
      <c r="D534" s="111">
        <f t="shared" si="838"/>
        <v>0</v>
      </c>
      <c r="E534" s="111">
        <f t="shared" si="839"/>
        <v>0</v>
      </c>
      <c r="F534" s="111">
        <f t="shared" si="840"/>
        <v>0</v>
      </c>
      <c r="G534" s="112" t="str">
        <f t="shared" si="855"/>
        <v/>
      </c>
      <c r="H534" s="112" t="str">
        <f t="shared" si="841"/>
        <v/>
      </c>
      <c r="I534" s="112" t="str">
        <f t="shared" si="842"/>
        <v/>
      </c>
      <c r="J534" s="111">
        <f t="shared" si="843"/>
        <v>0</v>
      </c>
      <c r="K534" s="111">
        <f t="shared" si="844"/>
        <v>0</v>
      </c>
      <c r="L534" s="111">
        <f t="shared" si="845"/>
        <v>0</v>
      </c>
      <c r="O534" s="125" t="str">
        <f t="shared" si="851"/>
        <v>청해소재</v>
      </c>
      <c r="P534" s="126">
        <f t="shared" si="846"/>
        <v>0</v>
      </c>
      <c r="Q534" s="111">
        <f t="shared" si="847"/>
        <v>0</v>
      </c>
      <c r="R534" s="126" t="str">
        <f t="shared" si="832"/>
        <v/>
      </c>
      <c r="S534" s="122"/>
      <c r="T534" s="125" t="str">
        <f t="shared" si="848"/>
        <v>청해소재</v>
      </c>
      <c r="U534" s="126">
        <f t="shared" si="848"/>
        <v>0</v>
      </c>
      <c r="V534" s="111">
        <f t="shared" si="848"/>
        <v>0</v>
      </c>
      <c r="W534" s="127" t="str">
        <f t="shared" si="834"/>
        <v/>
      </c>
      <c r="X534" s="148">
        <f t="shared" si="849"/>
        <v>0</v>
      </c>
      <c r="Y534" s="111"/>
      <c r="Z534" s="155" t="str">
        <f>IFERROR(IF(X534=0,"",X534/Y534),"")</f>
        <v/>
      </c>
      <c r="AN534" s="335">
        <f t="shared" si="850"/>
        <v>0</v>
      </c>
      <c r="AO534" s="336">
        <f t="shared" si="854"/>
        <v>0</v>
      </c>
      <c r="AP534" s="452"/>
      <c r="AQ534" s="240" t="s">
        <v>157</v>
      </c>
    </row>
    <row r="535" spans="2:43" ht="17.45" hidden="1" customHeight="1" outlineLevel="1">
      <c r="B535" s="1172"/>
      <c r="C535" s="110" t="s">
        <v>365</v>
      </c>
      <c r="D535" s="111">
        <f t="shared" si="838"/>
        <v>0</v>
      </c>
      <c r="E535" s="111">
        <f t="shared" si="839"/>
        <v>0</v>
      </c>
      <c r="F535" s="111">
        <f t="shared" si="840"/>
        <v>0</v>
      </c>
      <c r="G535" s="112" t="str">
        <f t="shared" si="855"/>
        <v/>
      </c>
      <c r="H535" s="112" t="str">
        <f>IFERROR(E535/F535,"")</f>
        <v/>
      </c>
      <c r="I535" s="112" t="str">
        <f>IFERROR(G535+H535,"")</f>
        <v/>
      </c>
      <c r="J535" s="111">
        <f t="shared" si="843"/>
        <v>0</v>
      </c>
      <c r="K535" s="111">
        <f t="shared" si="844"/>
        <v>0</v>
      </c>
      <c r="L535" s="111">
        <f t="shared" si="845"/>
        <v>0</v>
      </c>
      <c r="O535" s="125" t="str">
        <f t="shared" si="851"/>
        <v>김천에너지</v>
      </c>
      <c r="P535" s="126">
        <f t="shared" si="846"/>
        <v>0</v>
      </c>
      <c r="Q535" s="111">
        <f t="shared" si="847"/>
        <v>0</v>
      </c>
      <c r="R535" s="126" t="str">
        <f t="shared" si="832"/>
        <v/>
      </c>
      <c r="S535" s="122"/>
      <c r="T535" s="125" t="str">
        <f t="shared" si="848"/>
        <v>김천에너지</v>
      </c>
      <c r="U535" s="126">
        <f t="shared" si="848"/>
        <v>0</v>
      </c>
      <c r="V535" s="111">
        <f t="shared" si="848"/>
        <v>0</v>
      </c>
      <c r="W535" s="127" t="str">
        <f t="shared" si="834"/>
        <v/>
      </c>
      <c r="X535" s="148">
        <f t="shared" si="849"/>
        <v>0</v>
      </c>
      <c r="Y535" s="111"/>
      <c r="Z535" s="155" t="str">
        <f t="shared" ref="Z535:Z544" si="856">IFERROR(IF(X535=0,"",X535/Y535),"")</f>
        <v/>
      </c>
      <c r="AN535" s="335">
        <f t="shared" si="850"/>
        <v>0</v>
      </c>
      <c r="AO535" s="336">
        <f t="shared" si="854"/>
        <v>0</v>
      </c>
      <c r="AP535" s="452"/>
    </row>
    <row r="536" spans="2:43" ht="17.45" hidden="1" customHeight="1" outlineLevel="1">
      <c r="B536" s="1172"/>
      <c r="C536" s="110" t="s">
        <v>107</v>
      </c>
      <c r="D536" s="111">
        <f t="shared" si="838"/>
        <v>0</v>
      </c>
      <c r="E536" s="111">
        <f t="shared" si="839"/>
        <v>0</v>
      </c>
      <c r="F536" s="111">
        <f t="shared" si="840"/>
        <v>0</v>
      </c>
      <c r="G536" s="112" t="str">
        <f t="shared" si="855"/>
        <v/>
      </c>
      <c r="H536" s="112" t="str">
        <f t="shared" ref="H536:H539" si="857">IFERROR(E536/F536,"")</f>
        <v/>
      </c>
      <c r="I536" s="112" t="str">
        <f t="shared" ref="I536:I539" si="858">IFERROR(G536+H536,"")</f>
        <v/>
      </c>
      <c r="J536" s="111">
        <f t="shared" si="843"/>
        <v>0</v>
      </c>
      <c r="K536" s="111">
        <f t="shared" si="844"/>
        <v>0</v>
      </c>
      <c r="L536" s="111">
        <f t="shared" si="845"/>
        <v>0</v>
      </c>
      <c r="O536" s="125" t="str">
        <f t="shared" si="851"/>
        <v>대구염색공단</v>
      </c>
      <c r="P536" s="126">
        <f t="shared" si="846"/>
        <v>0</v>
      </c>
      <c r="Q536" s="111">
        <f t="shared" si="847"/>
        <v>0</v>
      </c>
      <c r="R536" s="126" t="str">
        <f t="shared" si="832"/>
        <v/>
      </c>
      <c r="S536" s="122"/>
      <c r="T536" s="125" t="str">
        <f t="shared" si="848"/>
        <v>대구염색공단</v>
      </c>
      <c r="U536" s="126">
        <f t="shared" si="848"/>
        <v>0</v>
      </c>
      <c r="V536" s="111">
        <f t="shared" si="848"/>
        <v>0</v>
      </c>
      <c r="W536" s="127" t="str">
        <f t="shared" si="834"/>
        <v/>
      </c>
      <c r="X536" s="148"/>
      <c r="Y536" s="111"/>
      <c r="Z536" s="155" t="str">
        <f t="shared" si="856"/>
        <v/>
      </c>
      <c r="AN536" s="335">
        <f t="shared" si="850"/>
        <v>0</v>
      </c>
      <c r="AO536" s="336">
        <f t="shared" si="854"/>
        <v>0</v>
      </c>
      <c r="AP536" s="452"/>
    </row>
    <row r="537" spans="2:43" ht="17.45" hidden="1" customHeight="1" outlineLevel="1">
      <c r="B537" s="1172"/>
      <c r="C537" s="110" t="s">
        <v>108</v>
      </c>
      <c r="D537" s="111">
        <f t="shared" si="838"/>
        <v>0</v>
      </c>
      <c r="E537" s="111">
        <f t="shared" si="839"/>
        <v>0</v>
      </c>
      <c r="F537" s="111">
        <f t="shared" si="840"/>
        <v>0</v>
      </c>
      <c r="G537" s="112" t="str">
        <f t="shared" si="855"/>
        <v/>
      </c>
      <c r="H537" s="112" t="str">
        <f t="shared" si="857"/>
        <v/>
      </c>
      <c r="I537" s="112" t="str">
        <f t="shared" si="858"/>
        <v/>
      </c>
      <c r="J537" s="111">
        <f t="shared" si="843"/>
        <v>0</v>
      </c>
      <c r="K537" s="111">
        <f t="shared" si="844"/>
        <v>0</v>
      </c>
      <c r="L537" s="111">
        <f t="shared" si="845"/>
        <v>0</v>
      </c>
      <c r="O537" s="125" t="str">
        <f t="shared" si="851"/>
        <v>SNNC(니켈)</v>
      </c>
      <c r="P537" s="126">
        <f t="shared" si="846"/>
        <v>0</v>
      </c>
      <c r="Q537" s="111">
        <f t="shared" si="847"/>
        <v>0</v>
      </c>
      <c r="R537" s="126" t="str">
        <f t="shared" si="832"/>
        <v/>
      </c>
      <c r="S537" s="122"/>
      <c r="T537" s="125" t="str">
        <f t="shared" si="848"/>
        <v>SNNC(니켈)</v>
      </c>
      <c r="U537" s="126">
        <f t="shared" si="848"/>
        <v>0</v>
      </c>
      <c r="V537" s="111">
        <f t="shared" si="848"/>
        <v>0</v>
      </c>
      <c r="W537" s="127" t="str">
        <f t="shared" si="834"/>
        <v/>
      </c>
      <c r="X537" s="148"/>
      <c r="Y537" s="111"/>
      <c r="Z537" s="155" t="str">
        <f t="shared" si="856"/>
        <v/>
      </c>
      <c r="AN537" s="335">
        <f t="shared" si="850"/>
        <v>0</v>
      </c>
      <c r="AO537" s="336">
        <f t="shared" si="854"/>
        <v>0</v>
      </c>
      <c r="AP537" s="452"/>
      <c r="AQ537" s="57"/>
    </row>
    <row r="538" spans="2:43" ht="17.45" hidden="1" customHeight="1" outlineLevel="1">
      <c r="B538" s="1172"/>
      <c r="C538" s="110" t="s">
        <v>130</v>
      </c>
      <c r="D538" s="111">
        <f t="shared" si="838"/>
        <v>0</v>
      </c>
      <c r="E538" s="111">
        <f t="shared" si="839"/>
        <v>0</v>
      </c>
      <c r="F538" s="111">
        <f t="shared" si="840"/>
        <v>0</v>
      </c>
      <c r="G538" s="112" t="str">
        <f t="shared" si="855"/>
        <v/>
      </c>
      <c r="H538" s="112" t="str">
        <f t="shared" si="857"/>
        <v/>
      </c>
      <c r="I538" s="112" t="str">
        <f t="shared" si="858"/>
        <v/>
      </c>
      <c r="J538" s="111">
        <f t="shared" si="843"/>
        <v>0</v>
      </c>
      <c r="K538" s="111">
        <f t="shared" si="844"/>
        <v>0</v>
      </c>
      <c r="L538" s="111">
        <f t="shared" si="845"/>
        <v>0</v>
      </c>
      <c r="O538" s="125" t="str">
        <f t="shared" si="851"/>
        <v>SK-N(고려시멘트)</v>
      </c>
      <c r="P538" s="126">
        <f t="shared" si="846"/>
        <v>0</v>
      </c>
      <c r="Q538" s="111">
        <f t="shared" si="847"/>
        <v>0</v>
      </c>
      <c r="R538" s="126" t="str">
        <f t="shared" si="832"/>
        <v/>
      </c>
      <c r="S538" s="122"/>
      <c r="T538" s="125" t="str">
        <f t="shared" si="848"/>
        <v>SK-N(고려시멘트)</v>
      </c>
      <c r="U538" s="126">
        <f t="shared" si="848"/>
        <v>0</v>
      </c>
      <c r="V538" s="111">
        <f t="shared" si="848"/>
        <v>0</v>
      </c>
      <c r="W538" s="127" t="str">
        <f t="shared" si="834"/>
        <v/>
      </c>
      <c r="X538" s="148"/>
      <c r="Y538" s="111"/>
      <c r="Z538" s="155" t="str">
        <f t="shared" si="856"/>
        <v/>
      </c>
      <c r="AN538" s="335">
        <f t="shared" si="850"/>
        <v>0</v>
      </c>
      <c r="AO538" s="336">
        <f t="shared" si="854"/>
        <v>0</v>
      </c>
      <c r="AP538" s="452"/>
      <c r="AQ538" s="57"/>
    </row>
    <row r="539" spans="2:43" ht="17.45" hidden="1" customHeight="1" outlineLevel="1">
      <c r="B539" s="1172"/>
      <c r="C539" s="110" t="s">
        <v>68</v>
      </c>
      <c r="D539" s="111">
        <f t="shared" si="838"/>
        <v>0</v>
      </c>
      <c r="E539" s="111">
        <f t="shared" si="839"/>
        <v>0</v>
      </c>
      <c r="F539" s="111">
        <f t="shared" si="840"/>
        <v>0</v>
      </c>
      <c r="G539" s="112" t="str">
        <f t="shared" si="855"/>
        <v/>
      </c>
      <c r="H539" s="112" t="str">
        <f t="shared" si="857"/>
        <v/>
      </c>
      <c r="I539" s="112" t="str">
        <f t="shared" si="858"/>
        <v/>
      </c>
      <c r="J539" s="111">
        <f t="shared" si="843"/>
        <v>0</v>
      </c>
      <c r="K539" s="111">
        <f t="shared" si="844"/>
        <v>0</v>
      </c>
      <c r="L539" s="111">
        <f t="shared" si="845"/>
        <v>0</v>
      </c>
      <c r="O539" s="125" t="str">
        <f t="shared" si="851"/>
        <v>SNNC</v>
      </c>
      <c r="P539" s="126">
        <f t="shared" si="846"/>
        <v>0</v>
      </c>
      <c r="Q539" s="111">
        <f t="shared" si="847"/>
        <v>0</v>
      </c>
      <c r="R539" s="126" t="str">
        <f t="shared" si="832"/>
        <v/>
      </c>
      <c r="S539" s="122"/>
      <c r="T539" s="125" t="str">
        <f t="shared" si="848"/>
        <v>SNNC</v>
      </c>
      <c r="U539" s="126">
        <f t="shared" si="848"/>
        <v>0</v>
      </c>
      <c r="V539" s="111">
        <f t="shared" si="848"/>
        <v>0</v>
      </c>
      <c r="W539" s="127" t="str">
        <f t="shared" si="834"/>
        <v/>
      </c>
      <c r="X539" s="148">
        <f t="shared" ref="X539" si="859">F539/1000</f>
        <v>0</v>
      </c>
      <c r="Y539" s="111"/>
      <c r="Z539" s="155" t="str">
        <f t="shared" si="856"/>
        <v/>
      </c>
      <c r="AN539" s="335">
        <f t="shared" si="850"/>
        <v>0</v>
      </c>
      <c r="AO539" s="336">
        <f t="shared" si="854"/>
        <v>0</v>
      </c>
      <c r="AP539" s="452"/>
      <c r="AQ539" s="57"/>
    </row>
    <row r="540" spans="2:43" ht="17.45" hidden="1" customHeight="1" outlineLevel="1" thickBot="1">
      <c r="B540" s="1172"/>
      <c r="C540" s="113" t="s">
        <v>61</v>
      </c>
      <c r="D540" s="114">
        <f>SUM(D525:D539)</f>
        <v>67200</v>
      </c>
      <c r="E540" s="179">
        <f>SUM(E525:E539)</f>
        <v>0</v>
      </c>
      <c r="F540" s="114">
        <f>SUM(F525:F539)</f>
        <v>67200</v>
      </c>
      <c r="G540" s="115">
        <f t="shared" si="855"/>
        <v>1</v>
      </c>
      <c r="H540" s="185">
        <f>IFERROR(E540/F540,"")</f>
        <v>0</v>
      </c>
      <c r="I540" s="115">
        <f>IFERROR(G540+H540,"")</f>
        <v>1</v>
      </c>
      <c r="J540" s="114">
        <f t="shared" ref="J540:L540" si="860">SUM(J525:J539)</f>
        <v>1</v>
      </c>
      <c r="K540" s="114">
        <f t="shared" si="860"/>
        <v>0</v>
      </c>
      <c r="L540" s="114">
        <f t="shared" si="860"/>
        <v>1</v>
      </c>
      <c r="O540" s="128" t="s">
        <v>61</v>
      </c>
      <c r="P540" s="129">
        <f>SUM(P525:P539)</f>
        <v>3.5138888888905058</v>
      </c>
      <c r="Q540" s="114">
        <f>SUM(Q525:Q539)</f>
        <v>1</v>
      </c>
      <c r="R540" s="129">
        <f t="shared" si="832"/>
        <v>3.5138888888905058</v>
      </c>
      <c r="S540" s="122"/>
      <c r="T540" s="128" t="s">
        <v>61</v>
      </c>
      <c r="U540" s="129">
        <f>SUM(U525:U539)</f>
        <v>3.5138888888905058</v>
      </c>
      <c r="V540" s="114">
        <f>SUM(V525:V539)</f>
        <v>1</v>
      </c>
      <c r="W540" s="130">
        <f>IFERROR(U540/V540,"")</f>
        <v>3.5138888888905058</v>
      </c>
      <c r="X540" s="179">
        <f>SUM(X525:X539)</f>
        <v>67.2</v>
      </c>
      <c r="Y540" s="114">
        <f>SUM(Y525:Y539)</f>
        <v>0</v>
      </c>
      <c r="Z540" s="176" t="str">
        <f t="shared" si="856"/>
        <v/>
      </c>
      <c r="AN540" s="341">
        <f>SUM(AN525:AN539)</f>
        <v>0</v>
      </c>
      <c r="AO540" s="341">
        <f>SUM(AO525:AO539)</f>
        <v>67.2</v>
      </c>
      <c r="AP540" s="455"/>
      <c r="AQ540" s="57"/>
    </row>
    <row r="541" spans="2:43" ht="17.45" hidden="1" customHeight="1" outlineLevel="1" thickBot="1">
      <c r="B541" s="1106" t="s">
        <v>57</v>
      </c>
      <c r="C541" s="1106"/>
      <c r="D541" s="147">
        <f>SUM(D540,D524)</f>
        <v>96935</v>
      </c>
      <c r="E541" s="182">
        <f>SUM(E540,E524)</f>
        <v>138795</v>
      </c>
      <c r="F541" s="149">
        <f>SUM(F540,F524)</f>
        <v>235730</v>
      </c>
      <c r="G541" s="183">
        <f t="shared" si="855"/>
        <v>0.41121197980740676</v>
      </c>
      <c r="H541" s="186">
        <f>IFERROR(E541/F541,"")</f>
        <v>0.58878802019259324</v>
      </c>
      <c r="I541" s="184">
        <f>IFERROR(G541+H541,"")</f>
        <v>1</v>
      </c>
      <c r="J541" s="116">
        <f t="shared" ref="J541:L541" si="861">SUM(J540,J524)</f>
        <v>1.5</v>
      </c>
      <c r="K541" s="116">
        <f t="shared" si="861"/>
        <v>2.5</v>
      </c>
      <c r="L541" s="116">
        <f t="shared" si="861"/>
        <v>4</v>
      </c>
      <c r="O541" s="131" t="s">
        <v>79</v>
      </c>
      <c r="P541" s="132">
        <f>SUM(P540,P524)</f>
        <v>16.969444444453984</v>
      </c>
      <c r="Q541" s="116">
        <f>SUM(Q540,Q524)</f>
        <v>4</v>
      </c>
      <c r="R541" s="132">
        <f>IFERROR(P541/Q541,"")</f>
        <v>4.242361111113496</v>
      </c>
      <c r="S541" s="122"/>
      <c r="T541" s="131" t="s">
        <v>76</v>
      </c>
      <c r="U541" s="132">
        <f>SUM(U540,U524)</f>
        <v>16.969444444453984</v>
      </c>
      <c r="V541" s="147">
        <f>SUM(V540,V524)</f>
        <v>4</v>
      </c>
      <c r="W541" s="173">
        <f t="shared" ref="W541:W542" si="862">IFERROR(U541/V541,"")</f>
        <v>4.242361111113496</v>
      </c>
      <c r="X541" s="182">
        <f>SUM(X524,X540)</f>
        <v>235.73000000000002</v>
      </c>
      <c r="Y541" s="175">
        <f>SUM(Y524,Y540)</f>
        <v>0</v>
      </c>
      <c r="Z541" s="178" t="str">
        <f t="shared" si="856"/>
        <v/>
      </c>
      <c r="AN541" s="342">
        <f>SUM(AN524,AN540)</f>
        <v>0</v>
      </c>
      <c r="AO541" s="342">
        <f>SUM(AO524,AO540)</f>
        <v>235.73000000000002</v>
      </c>
      <c r="AP541" s="456"/>
      <c r="AQ541" s="57"/>
    </row>
    <row r="542" spans="2:43" ht="17.45" hidden="1" customHeight="1" outlineLevel="1">
      <c r="D542" s="343" t="str">
        <f>IF(D541=L59,"","CHECK")</f>
        <v/>
      </c>
      <c r="E542" s="343" t="str">
        <f>IF(E541=M59,"","CHECK")</f>
        <v/>
      </c>
      <c r="F542" s="343" t="str">
        <f>IF(F541=N59,"","CHECK")</f>
        <v/>
      </c>
      <c r="O542" s="134" t="s">
        <v>77</v>
      </c>
      <c r="P542" s="126"/>
      <c r="Q542" s="126"/>
      <c r="R542" s="126" t="str">
        <f>IFERROR(P542/Q542,"")</f>
        <v/>
      </c>
      <c r="S542" s="122"/>
      <c r="T542" s="134" t="s">
        <v>77</v>
      </c>
      <c r="U542" s="126"/>
      <c r="V542" s="111"/>
      <c r="W542" s="135" t="str">
        <f t="shared" si="862"/>
        <v/>
      </c>
      <c r="X542" s="180"/>
      <c r="Y542" s="126"/>
      <c r="Z542" s="181" t="str">
        <f t="shared" si="856"/>
        <v/>
      </c>
      <c r="AN542" s="335">
        <f>Y433+Y488+Y542</f>
        <v>0</v>
      </c>
      <c r="AO542" s="336">
        <f t="shared" ref="AO542:AO543" si="863">X542-Y542</f>
        <v>0</v>
      </c>
      <c r="AP542" s="452"/>
      <c r="AQ542" s="57"/>
    </row>
    <row r="543" spans="2:43" ht="17.45" hidden="1" customHeight="1" outlineLevel="1">
      <c r="T543" s="345" t="s">
        <v>109</v>
      </c>
      <c r="U543" s="345"/>
      <c r="V543" s="328"/>
      <c r="W543" s="355"/>
      <c r="X543" s="355">
        <f>G558</f>
        <v>15.29804</v>
      </c>
      <c r="Y543" s="347"/>
      <c r="Z543" s="155" t="str">
        <f t="shared" si="856"/>
        <v/>
      </c>
      <c r="AN543" s="335">
        <f>Y434+Y489+Y543</f>
        <v>0</v>
      </c>
      <c r="AO543" s="336">
        <f t="shared" si="863"/>
        <v>15.29804</v>
      </c>
      <c r="AP543" s="452"/>
      <c r="AQ543" s="57"/>
    </row>
    <row r="544" spans="2:43" ht="17.45" hidden="1" customHeight="1" outlineLevel="1">
      <c r="B544" s="1173" t="s">
        <v>80</v>
      </c>
      <c r="C544" s="1177" t="s">
        <v>52</v>
      </c>
      <c r="D544" s="1177"/>
      <c r="E544" s="1177"/>
      <c r="F544" s="1177" t="s">
        <v>73</v>
      </c>
      <c r="G544" s="1177" t="s">
        <v>75</v>
      </c>
      <c r="H544" s="1177" t="s">
        <v>95</v>
      </c>
      <c r="I544" s="119"/>
      <c r="J544" s="1173" t="s">
        <v>132</v>
      </c>
      <c r="K544" s="1174" t="s">
        <v>124</v>
      </c>
      <c r="L544" s="1174"/>
      <c r="M544" s="1174"/>
      <c r="N544" s="1174" t="s">
        <v>75</v>
      </c>
      <c r="O544" s="1174"/>
      <c r="P544" s="1174"/>
      <c r="Q544" s="1175" t="s">
        <v>72</v>
      </c>
      <c r="R544" s="1175" t="s">
        <v>73</v>
      </c>
      <c r="S544" s="1175" t="s">
        <v>74</v>
      </c>
      <c r="T544" s="262" t="s">
        <v>110</v>
      </c>
      <c r="U544" s="262"/>
      <c r="V544" s="334"/>
      <c r="W544" s="356"/>
      <c r="X544" s="356">
        <f>SUM(X541,X542,X543)</f>
        <v>251.02804000000003</v>
      </c>
      <c r="Y544" s="354">
        <f>SUM(Y541,Y543)</f>
        <v>0</v>
      </c>
      <c r="Z544" s="158" t="str">
        <f t="shared" si="856"/>
        <v/>
      </c>
      <c r="AN544" s="342">
        <f>SUM(AN541,AN543)</f>
        <v>0</v>
      </c>
      <c r="AO544" s="342">
        <f>SUM(AO541,AO543)</f>
        <v>251.02804000000003</v>
      </c>
      <c r="AP544" s="456"/>
      <c r="AQ544" s="57"/>
    </row>
    <row r="545" spans="2:43" ht="17.45" hidden="1" customHeight="1" outlineLevel="1">
      <c r="B545" s="1173"/>
      <c r="C545" s="628" t="s">
        <v>55</v>
      </c>
      <c r="D545" s="628" t="s">
        <v>56</v>
      </c>
      <c r="E545" s="628" t="s">
        <v>57</v>
      </c>
      <c r="F545" s="1177"/>
      <c r="G545" s="1177"/>
      <c r="H545" s="1177"/>
      <c r="I545" s="119"/>
      <c r="J545" s="1173"/>
      <c r="K545" s="627" t="s">
        <v>125</v>
      </c>
      <c r="L545" s="627" t="s">
        <v>126</v>
      </c>
      <c r="M545" s="627" t="s">
        <v>123</v>
      </c>
      <c r="N545" s="627" t="s">
        <v>125</v>
      </c>
      <c r="O545" s="627" t="s">
        <v>126</v>
      </c>
      <c r="P545" s="627" t="s">
        <v>123</v>
      </c>
      <c r="Q545" s="1176"/>
      <c r="R545" s="1176"/>
      <c r="S545" s="1176"/>
      <c r="AQ545" s="57"/>
    </row>
    <row r="546" spans="2:43" ht="17.45" hidden="1" customHeight="1" outlineLevel="1">
      <c r="B546" s="139" t="s">
        <v>81</v>
      </c>
      <c r="C546" s="111">
        <f t="shared" ref="C546:C556" si="864">SUMIF($R$50:$R$59,B546,$L$50:$L$59)</f>
        <v>67200</v>
      </c>
      <c r="D546" s="111">
        <f t="shared" ref="D546:D556" si="865">SUMIF($R$50:$R$59,B546,$M$50:$M$59)</f>
        <v>89130</v>
      </c>
      <c r="E546" s="111">
        <f>C546+D546</f>
        <v>156330</v>
      </c>
      <c r="F546" s="111">
        <f t="shared" ref="F546:F556" si="866">SUMIF($R$50:$R$59,B546,$AZ$50:$AZ$59)</f>
        <v>3</v>
      </c>
      <c r="G546" s="111">
        <f>E546/1000</f>
        <v>156.33000000000001</v>
      </c>
      <c r="H546" s="111"/>
      <c r="I546" s="119"/>
      <c r="J546" s="139" t="s">
        <v>117</v>
      </c>
      <c r="K546" s="111">
        <f t="shared" ref="K546:K553" si="867">SUMIF($Q$50:$Q$59,J546,$L$50:$L$59)</f>
        <v>0</v>
      </c>
      <c r="L546" s="111">
        <f t="shared" ref="L546:L553" si="868">SUMIF($Q$50:$Q$59,J546,$M$50:$M$59)</f>
        <v>0</v>
      </c>
      <c r="M546" s="202">
        <f>K546+L546</f>
        <v>0</v>
      </c>
      <c r="N546" s="202">
        <f>K546/1000</f>
        <v>0</v>
      </c>
      <c r="O546" s="202">
        <f>L546/1000</f>
        <v>0</v>
      </c>
      <c r="P546" s="202">
        <f>N546+O546</f>
        <v>0</v>
      </c>
      <c r="Q546" s="358">
        <f t="shared" ref="Q546:Q553" si="869">SUMIF($Q$50:$Q$59,J546,$I$50:$I$59)</f>
        <v>0</v>
      </c>
      <c r="R546" s="111">
        <f t="shared" ref="R546:R553" si="870">SUMIF($Q$50:$Q$59,J546,$AZ$50:$AZ$59)</f>
        <v>0</v>
      </c>
      <c r="S546" s="126" t="str">
        <f>IFERROR(Q546/R546,"")</f>
        <v/>
      </c>
      <c r="AQ546" s="57"/>
    </row>
    <row r="547" spans="2:43" ht="17.45" hidden="1" customHeight="1" outlineLevel="1">
      <c r="B547" s="139" t="s">
        <v>82</v>
      </c>
      <c r="C547" s="111">
        <f t="shared" si="864"/>
        <v>29735</v>
      </c>
      <c r="D547" s="111">
        <f t="shared" si="865"/>
        <v>49665</v>
      </c>
      <c r="E547" s="111">
        <f t="shared" ref="E547:E556" si="871">C547+D547</f>
        <v>79400</v>
      </c>
      <c r="F547" s="111">
        <f t="shared" si="866"/>
        <v>1</v>
      </c>
      <c r="G547" s="111">
        <f t="shared" ref="G547:G556" si="872">E547/1000</f>
        <v>79.400000000000006</v>
      </c>
      <c r="H547" s="111"/>
      <c r="I547" s="119"/>
      <c r="J547" s="139" t="s">
        <v>118</v>
      </c>
      <c r="K547" s="111">
        <f t="shared" si="867"/>
        <v>0</v>
      </c>
      <c r="L547" s="111">
        <f t="shared" si="868"/>
        <v>0</v>
      </c>
      <c r="M547" s="202">
        <f t="shared" ref="M547:M553" si="873">K547+L547</f>
        <v>0</v>
      </c>
      <c r="N547" s="202">
        <f t="shared" ref="N547:O553" si="874">K547/1000</f>
        <v>0</v>
      </c>
      <c r="O547" s="202">
        <f t="shared" si="874"/>
        <v>0</v>
      </c>
      <c r="P547" s="202">
        <f t="shared" ref="P547:P553" si="875">N547+O547</f>
        <v>0</v>
      </c>
      <c r="Q547" s="358">
        <f t="shared" si="869"/>
        <v>0</v>
      </c>
      <c r="R547" s="111">
        <f t="shared" si="870"/>
        <v>0</v>
      </c>
      <c r="S547" s="126" t="str">
        <f t="shared" ref="S547:S553" si="876">IFERROR(Q547/R547,"")</f>
        <v/>
      </c>
      <c r="AQ547" s="57"/>
    </row>
    <row r="548" spans="2:43" ht="17.45" hidden="1" customHeight="1" outlineLevel="1">
      <c r="B548" s="139" t="s">
        <v>83</v>
      </c>
      <c r="C548" s="111">
        <f t="shared" si="864"/>
        <v>0</v>
      </c>
      <c r="D548" s="111">
        <f t="shared" si="865"/>
        <v>0</v>
      </c>
      <c r="E548" s="111">
        <f t="shared" si="871"/>
        <v>0</v>
      </c>
      <c r="F548" s="111">
        <f t="shared" si="866"/>
        <v>0</v>
      </c>
      <c r="G548" s="111">
        <f t="shared" si="872"/>
        <v>0</v>
      </c>
      <c r="H548" s="111"/>
      <c r="I548" s="119"/>
      <c r="J548" s="139" t="s">
        <v>119</v>
      </c>
      <c r="K548" s="111">
        <f t="shared" si="867"/>
        <v>0</v>
      </c>
      <c r="L548" s="111">
        <f t="shared" si="868"/>
        <v>0</v>
      </c>
      <c r="M548" s="202">
        <f t="shared" si="873"/>
        <v>0</v>
      </c>
      <c r="N548" s="202">
        <f t="shared" si="874"/>
        <v>0</v>
      </c>
      <c r="O548" s="202">
        <f t="shared" si="874"/>
        <v>0</v>
      </c>
      <c r="P548" s="202">
        <f t="shared" si="875"/>
        <v>0</v>
      </c>
      <c r="Q548" s="358">
        <f t="shared" si="869"/>
        <v>0</v>
      </c>
      <c r="R548" s="111">
        <f t="shared" si="870"/>
        <v>0</v>
      </c>
      <c r="S548" s="126" t="str">
        <f t="shared" si="876"/>
        <v/>
      </c>
      <c r="AQ548" s="57"/>
    </row>
    <row r="549" spans="2:43" ht="17.45" hidden="1" customHeight="1" outlineLevel="1">
      <c r="B549" s="139" t="s">
        <v>84</v>
      </c>
      <c r="C549" s="111">
        <f t="shared" si="864"/>
        <v>0</v>
      </c>
      <c r="D549" s="111">
        <f t="shared" si="865"/>
        <v>0</v>
      </c>
      <c r="E549" s="111">
        <f t="shared" si="871"/>
        <v>0</v>
      </c>
      <c r="F549" s="111">
        <f t="shared" si="866"/>
        <v>0</v>
      </c>
      <c r="G549" s="111">
        <f t="shared" si="872"/>
        <v>0</v>
      </c>
      <c r="H549" s="111"/>
      <c r="I549" s="119"/>
      <c r="J549" s="139" t="s">
        <v>113</v>
      </c>
      <c r="K549" s="111">
        <f t="shared" si="867"/>
        <v>0</v>
      </c>
      <c r="L549" s="111">
        <f t="shared" si="868"/>
        <v>0</v>
      </c>
      <c r="M549" s="202">
        <f t="shared" si="873"/>
        <v>0</v>
      </c>
      <c r="N549" s="202">
        <f t="shared" si="874"/>
        <v>0</v>
      </c>
      <c r="O549" s="202">
        <f t="shared" si="874"/>
        <v>0</v>
      </c>
      <c r="P549" s="202">
        <f t="shared" si="875"/>
        <v>0</v>
      </c>
      <c r="Q549" s="358">
        <f t="shared" si="869"/>
        <v>0</v>
      </c>
      <c r="R549" s="111">
        <f t="shared" si="870"/>
        <v>0</v>
      </c>
      <c r="S549" s="126" t="str">
        <f t="shared" si="876"/>
        <v/>
      </c>
      <c r="AQ549" s="57"/>
    </row>
    <row r="550" spans="2:43" ht="17.45" hidden="1" customHeight="1" outlineLevel="1">
      <c r="B550" s="139" t="s">
        <v>223</v>
      </c>
      <c r="C550" s="111">
        <f t="shared" si="864"/>
        <v>0</v>
      </c>
      <c r="D550" s="111">
        <f t="shared" si="865"/>
        <v>0</v>
      </c>
      <c r="E550" s="111">
        <f t="shared" si="871"/>
        <v>0</v>
      </c>
      <c r="F550" s="111">
        <f t="shared" si="866"/>
        <v>0</v>
      </c>
      <c r="G550" s="111">
        <f t="shared" si="872"/>
        <v>0</v>
      </c>
      <c r="H550" s="111"/>
      <c r="I550" s="119"/>
      <c r="J550" s="139" t="s">
        <v>120</v>
      </c>
      <c r="K550" s="111">
        <f t="shared" si="867"/>
        <v>96935</v>
      </c>
      <c r="L550" s="111">
        <f t="shared" si="868"/>
        <v>49665</v>
      </c>
      <c r="M550" s="202">
        <f t="shared" si="873"/>
        <v>146600</v>
      </c>
      <c r="N550" s="202">
        <f t="shared" si="874"/>
        <v>96.935000000000002</v>
      </c>
      <c r="O550" s="202">
        <f t="shared" si="874"/>
        <v>49.664999999999999</v>
      </c>
      <c r="P550" s="202">
        <f t="shared" si="875"/>
        <v>146.6</v>
      </c>
      <c r="Q550" s="358">
        <f t="shared" si="869"/>
        <v>8.977083333338669</v>
      </c>
      <c r="R550" s="111">
        <f t="shared" si="870"/>
        <v>2</v>
      </c>
      <c r="S550" s="126">
        <f t="shared" si="876"/>
        <v>4.4885416666693345</v>
      </c>
      <c r="AQ550" s="57"/>
    </row>
    <row r="551" spans="2:43" ht="17.45" hidden="1" customHeight="1" outlineLevel="1">
      <c r="B551" s="139" t="s">
        <v>158</v>
      </c>
      <c r="C551" s="111">
        <f t="shared" si="864"/>
        <v>0</v>
      </c>
      <c r="D551" s="111">
        <f t="shared" si="865"/>
        <v>0</v>
      </c>
      <c r="E551" s="111">
        <f t="shared" si="871"/>
        <v>0</v>
      </c>
      <c r="F551" s="111">
        <f t="shared" si="866"/>
        <v>0</v>
      </c>
      <c r="G551" s="111">
        <f t="shared" si="872"/>
        <v>0</v>
      </c>
      <c r="H551" s="111"/>
      <c r="I551" s="119"/>
      <c r="J551" s="139" t="s">
        <v>121</v>
      </c>
      <c r="K551" s="111">
        <f t="shared" si="867"/>
        <v>0</v>
      </c>
      <c r="L551" s="111">
        <f t="shared" si="868"/>
        <v>0</v>
      </c>
      <c r="M551" s="202">
        <f t="shared" si="873"/>
        <v>0</v>
      </c>
      <c r="N551" s="202">
        <f t="shared" si="874"/>
        <v>0</v>
      </c>
      <c r="O551" s="202">
        <f t="shared" si="874"/>
        <v>0</v>
      </c>
      <c r="P551" s="202">
        <f t="shared" si="875"/>
        <v>0</v>
      </c>
      <c r="Q551" s="358">
        <f t="shared" si="869"/>
        <v>0</v>
      </c>
      <c r="R551" s="111">
        <f t="shared" si="870"/>
        <v>0</v>
      </c>
      <c r="S551" s="126" t="str">
        <f t="shared" si="876"/>
        <v/>
      </c>
      <c r="AQ551" s="57"/>
    </row>
    <row r="552" spans="2:43" ht="17.45" hidden="1" customHeight="1" outlineLevel="1">
      <c r="B552" s="139" t="s">
        <v>85</v>
      </c>
      <c r="C552" s="111">
        <f t="shared" si="864"/>
        <v>0</v>
      </c>
      <c r="D552" s="111">
        <f t="shared" si="865"/>
        <v>0</v>
      </c>
      <c r="E552" s="111">
        <f t="shared" si="871"/>
        <v>0</v>
      </c>
      <c r="F552" s="111">
        <f t="shared" si="866"/>
        <v>0</v>
      </c>
      <c r="G552" s="111">
        <f t="shared" si="872"/>
        <v>0</v>
      </c>
      <c r="H552" s="111"/>
      <c r="I552" s="119"/>
      <c r="J552" s="139" t="s">
        <v>122</v>
      </c>
      <c r="K552" s="111">
        <f t="shared" si="867"/>
        <v>0</v>
      </c>
      <c r="L552" s="111">
        <f t="shared" si="868"/>
        <v>89130</v>
      </c>
      <c r="M552" s="202">
        <f t="shared" si="873"/>
        <v>89130</v>
      </c>
      <c r="N552" s="202">
        <f t="shared" si="874"/>
        <v>0</v>
      </c>
      <c r="O552" s="202">
        <f t="shared" si="874"/>
        <v>89.13</v>
      </c>
      <c r="P552" s="202">
        <f t="shared" si="875"/>
        <v>89.13</v>
      </c>
      <c r="Q552" s="358">
        <f t="shared" si="869"/>
        <v>7.992361111115315</v>
      </c>
      <c r="R552" s="111">
        <f t="shared" si="870"/>
        <v>2</v>
      </c>
      <c r="S552" s="126">
        <f t="shared" si="876"/>
        <v>3.9961805555576575</v>
      </c>
      <c r="T552" s="382">
        <f>(L546+L547+L548+L549+L550+L551+L553)/1000</f>
        <v>49.664999999999999</v>
      </c>
      <c r="AQ552" s="57"/>
    </row>
    <row r="553" spans="2:43" ht="17.45" hidden="1" customHeight="1" outlineLevel="1">
      <c r="B553" s="139" t="s">
        <v>96</v>
      </c>
      <c r="C553" s="111">
        <f t="shared" si="864"/>
        <v>0</v>
      </c>
      <c r="D553" s="111">
        <f t="shared" si="865"/>
        <v>0</v>
      </c>
      <c r="E553" s="111">
        <f t="shared" si="871"/>
        <v>0</v>
      </c>
      <c r="F553" s="111">
        <f t="shared" si="866"/>
        <v>0</v>
      </c>
      <c r="G553" s="111">
        <f t="shared" si="872"/>
        <v>0</v>
      </c>
      <c r="H553" s="142" t="s">
        <v>30</v>
      </c>
      <c r="I553" s="119"/>
      <c r="J553" s="139" t="s">
        <v>162</v>
      </c>
      <c r="K553" s="111">
        <f t="shared" si="867"/>
        <v>0</v>
      </c>
      <c r="L553" s="111">
        <f t="shared" si="868"/>
        <v>0</v>
      </c>
      <c r="M553" s="202">
        <f t="shared" si="873"/>
        <v>0</v>
      </c>
      <c r="N553" s="202">
        <f t="shared" si="874"/>
        <v>0</v>
      </c>
      <c r="O553" s="202">
        <f t="shared" si="874"/>
        <v>0</v>
      </c>
      <c r="P553" s="202">
        <f t="shared" si="875"/>
        <v>0</v>
      </c>
      <c r="Q553" s="358">
        <f t="shared" si="869"/>
        <v>0</v>
      </c>
      <c r="R553" s="111">
        <f t="shared" si="870"/>
        <v>0</v>
      </c>
      <c r="S553" s="126" t="str">
        <f t="shared" si="876"/>
        <v/>
      </c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  <c r="AN553" s="57"/>
      <c r="AO553" s="57"/>
      <c r="AP553" s="57"/>
      <c r="AQ553" s="57"/>
    </row>
    <row r="554" spans="2:43" ht="17.45" hidden="1" customHeight="1" outlineLevel="1">
      <c r="B554" s="139" t="s">
        <v>86</v>
      </c>
      <c r="C554" s="111">
        <f t="shared" si="864"/>
        <v>0</v>
      </c>
      <c r="D554" s="111">
        <f t="shared" si="865"/>
        <v>0</v>
      </c>
      <c r="E554" s="111">
        <f t="shared" si="871"/>
        <v>0</v>
      </c>
      <c r="F554" s="111">
        <f t="shared" si="866"/>
        <v>0</v>
      </c>
      <c r="G554" s="111">
        <f t="shared" si="872"/>
        <v>0</v>
      </c>
      <c r="H554" s="111"/>
      <c r="I554" s="119"/>
      <c r="J554" s="232" t="s">
        <v>123</v>
      </c>
      <c r="K554" s="203">
        <f>SUM(K546:K553)</f>
        <v>96935</v>
      </c>
      <c r="L554" s="203">
        <f t="shared" ref="L554:M554" si="877">SUM(L546:L553)</f>
        <v>138795</v>
      </c>
      <c r="M554" s="203">
        <f t="shared" si="877"/>
        <v>235730</v>
      </c>
      <c r="N554" s="203">
        <f>SUM(N546:N553)</f>
        <v>96.935000000000002</v>
      </c>
      <c r="O554" s="203">
        <f t="shared" ref="O554:P554" si="878">SUM(O546:O553)</f>
        <v>138.79499999999999</v>
      </c>
      <c r="P554" s="203">
        <f t="shared" si="878"/>
        <v>235.73</v>
      </c>
      <c r="Q554" s="359">
        <f>SUM(Q546:Q553)</f>
        <v>16.969444444453984</v>
      </c>
      <c r="R554" s="359">
        <f>SUM(R546:R553)</f>
        <v>4</v>
      </c>
      <c r="S554" s="359">
        <f>IFERROR(Q554/R554,"")</f>
        <v>4.242361111113496</v>
      </c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7"/>
      <c r="AP554" s="57"/>
      <c r="AQ554" s="57"/>
    </row>
    <row r="555" spans="2:43" ht="17.45" hidden="1" customHeight="1" outlineLevel="1">
      <c r="B555" s="139" t="s">
        <v>169</v>
      </c>
      <c r="C555" s="111">
        <f t="shared" si="864"/>
        <v>0</v>
      </c>
      <c r="D555" s="111">
        <f t="shared" si="865"/>
        <v>0</v>
      </c>
      <c r="E555" s="111">
        <f t="shared" si="871"/>
        <v>0</v>
      </c>
      <c r="F555" s="111">
        <f t="shared" si="866"/>
        <v>0</v>
      </c>
      <c r="G555" s="168">
        <f t="shared" si="872"/>
        <v>0</v>
      </c>
      <c r="H555" s="111"/>
      <c r="I555" s="119"/>
      <c r="K555" s="343" t="str">
        <f>IF(K554=D541,"","CHECK")</f>
        <v/>
      </c>
      <c r="L555" s="343" t="str">
        <f>IF(L554=E541,"","CHECK")</f>
        <v/>
      </c>
      <c r="M555" s="343" t="str">
        <f>IF(M554=F541,"","CHECK")</f>
        <v/>
      </c>
      <c r="S555" s="343" t="str">
        <f>IF(S554=I567,"","CHECK")</f>
        <v/>
      </c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  <c r="AN555" s="57"/>
      <c r="AO555" s="57"/>
      <c r="AP555" s="57"/>
      <c r="AQ555" s="57"/>
    </row>
    <row r="556" spans="2:43" ht="17.45" hidden="1" customHeight="1" outlineLevel="1" thickBot="1">
      <c r="B556" s="139" t="s">
        <v>155</v>
      </c>
      <c r="C556" s="111">
        <f t="shared" si="864"/>
        <v>0</v>
      </c>
      <c r="D556" s="111">
        <f t="shared" si="865"/>
        <v>0</v>
      </c>
      <c r="E556" s="111">
        <f t="shared" si="871"/>
        <v>0</v>
      </c>
      <c r="F556" s="111">
        <f t="shared" si="866"/>
        <v>0</v>
      </c>
      <c r="G556" s="168">
        <f t="shared" si="872"/>
        <v>0</v>
      </c>
      <c r="H556" s="111"/>
      <c r="I556" s="119"/>
      <c r="L556" s="283"/>
      <c r="M556" s="220"/>
      <c r="P556" s="360" t="s">
        <v>161</v>
      </c>
      <c r="Q556" s="359">
        <f>SUM(Q546:Q551)</f>
        <v>8.977083333338669</v>
      </c>
      <c r="R556" s="359">
        <f>SUM(R546:R551)</f>
        <v>2</v>
      </c>
      <c r="S556" s="359">
        <f>IFERROR(Q556/R556,"")</f>
        <v>4.4885416666693345</v>
      </c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  <c r="AN556" s="57"/>
      <c r="AO556" s="57"/>
      <c r="AP556" s="57"/>
      <c r="AQ556" s="57"/>
    </row>
    <row r="557" spans="2:43" ht="17.45" hidden="1" customHeight="1" outlineLevel="1" thickBot="1">
      <c r="B557" s="113" t="s">
        <v>61</v>
      </c>
      <c r="C557" s="114">
        <f>SUM(C546:C556)</f>
        <v>96935</v>
      </c>
      <c r="D557" s="114">
        <f t="shared" ref="D557:E557" si="879">SUM(D546:D556)</f>
        <v>138795</v>
      </c>
      <c r="E557" s="114">
        <f t="shared" si="879"/>
        <v>235730</v>
      </c>
      <c r="F557" s="166">
        <f>SUM(F546:F556)</f>
        <v>4</v>
      </c>
      <c r="G557" s="170">
        <f>SUM(G546:G556)</f>
        <v>235.73000000000002</v>
      </c>
      <c r="H557" s="167"/>
      <c r="I557" s="119"/>
      <c r="K557" s="57"/>
      <c r="L557" s="57"/>
      <c r="M557" s="57"/>
      <c r="N557" s="57"/>
      <c r="O557" s="57"/>
      <c r="P557" s="57"/>
      <c r="Q557" s="57"/>
      <c r="R557" s="57"/>
      <c r="S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57"/>
      <c r="AP557" s="57"/>
      <c r="AQ557" s="57"/>
    </row>
    <row r="558" spans="2:43" ht="17.45" hidden="1" customHeight="1" outlineLevel="1">
      <c r="B558" s="151" t="s">
        <v>87</v>
      </c>
      <c r="C558" s="152"/>
      <c r="D558" s="152"/>
      <c r="E558" s="153">
        <f>$W$254</f>
        <v>15298.04</v>
      </c>
      <c r="F558" s="143"/>
      <c r="G558" s="169">
        <f t="shared" ref="G558" si="880">E558/1000</f>
        <v>15.29804</v>
      </c>
      <c r="H558" s="145"/>
      <c r="I558" s="119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</row>
    <row r="559" spans="2:43" ht="17.45" hidden="1" customHeight="1" outlineLevel="1">
      <c r="B559" s="151" t="s">
        <v>57</v>
      </c>
      <c r="C559" s="152"/>
      <c r="D559" s="152"/>
      <c r="E559" s="140">
        <f>SUM(E557:E558)</f>
        <v>251028.04</v>
      </c>
      <c r="F559" s="122"/>
      <c r="G559" s="140">
        <f>SUM(G557:G558)</f>
        <v>251.02804000000003</v>
      </c>
      <c r="H559" s="137"/>
      <c r="I559" s="119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  <c r="AO559" s="57"/>
      <c r="AP559" s="57"/>
      <c r="AQ559" s="57"/>
    </row>
    <row r="560" spans="2:43" ht="17.45" hidden="1" customHeight="1" outlineLevel="1">
      <c r="B560" s="137"/>
      <c r="C560" s="122"/>
      <c r="D560" s="122"/>
      <c r="E560" s="154"/>
      <c r="F560" s="122"/>
      <c r="G560" s="122"/>
      <c r="H560" s="137"/>
      <c r="I560" s="119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  <c r="AN560" s="57"/>
      <c r="AO560" s="57"/>
      <c r="AP560" s="57"/>
      <c r="AQ560" s="57"/>
    </row>
    <row r="561" spans="2:43" ht="17.45" hidden="1" customHeight="1" outlineLevel="1">
      <c r="B561" s="1173" t="s">
        <v>88</v>
      </c>
      <c r="C561" s="1177" t="s">
        <v>52</v>
      </c>
      <c r="D561" s="1177"/>
      <c r="E561" s="1177"/>
      <c r="F561" s="1177" t="s">
        <v>73</v>
      </c>
      <c r="G561" s="1177" t="s">
        <v>75</v>
      </c>
      <c r="H561" s="1168" t="s">
        <v>72</v>
      </c>
      <c r="I561" s="1168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  <c r="AO561" s="57"/>
      <c r="AP561" s="57"/>
      <c r="AQ561" s="57"/>
    </row>
    <row r="562" spans="2:43" ht="17.45" hidden="1" customHeight="1" outlineLevel="1">
      <c r="B562" s="1173"/>
      <c r="C562" s="628" t="s">
        <v>55</v>
      </c>
      <c r="D562" s="628" t="s">
        <v>56</v>
      </c>
      <c r="E562" s="628" t="s">
        <v>57</v>
      </c>
      <c r="F562" s="1177"/>
      <c r="G562" s="1177"/>
      <c r="H562" s="626" t="s">
        <v>89</v>
      </c>
      <c r="I562" s="626" t="s">
        <v>90</v>
      </c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  <c r="AO562" s="57"/>
      <c r="AP562" s="57"/>
      <c r="AQ562" s="57"/>
    </row>
    <row r="563" spans="2:43" ht="17.45" hidden="1" customHeight="1" outlineLevel="1">
      <c r="B563" s="138" t="s">
        <v>91</v>
      </c>
      <c r="C563" s="111">
        <f>SUMIF($V$50:$V$59,B563,$L$50:$L$59)</f>
        <v>0</v>
      </c>
      <c r="D563" s="111">
        <f>SUMIF($V$50:$V$59,B563,$M$50:$M$59)</f>
        <v>0</v>
      </c>
      <c r="E563" s="111">
        <f>C563+D563</f>
        <v>0</v>
      </c>
      <c r="F563" s="111">
        <f>SUMIF($V$50:$V$59,B563,$AZ$50:$AZ$59)</f>
        <v>0</v>
      </c>
      <c r="G563" s="111">
        <f>E563/1000</f>
        <v>0</v>
      </c>
      <c r="H563" s="126">
        <f>SUMIF($V$50:$V$59,B563,$I$50:$I$59)</f>
        <v>0</v>
      </c>
      <c r="I563" s="141" t="str">
        <f>IFERROR(H563/F563,"")</f>
        <v/>
      </c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  <c r="AN563" s="57"/>
      <c r="AO563" s="57"/>
      <c r="AP563" s="57"/>
      <c r="AQ563" s="57"/>
    </row>
    <row r="564" spans="2:43" ht="17.45" hidden="1" customHeight="1" outlineLevel="1">
      <c r="B564" s="138" t="s">
        <v>92</v>
      </c>
      <c r="C564" s="111">
        <f>SUMIF($V$50:$V$59,B564,$L$50:$L$59)</f>
        <v>96935</v>
      </c>
      <c r="D564" s="111">
        <f>SUMIF($V$50:$V$59,B564,$M$50:$M$59)</f>
        <v>138795</v>
      </c>
      <c r="E564" s="111">
        <f t="shared" ref="E564:E566" si="881">C564+D564</f>
        <v>235730</v>
      </c>
      <c r="F564" s="111">
        <f>SUMIF($V$50:$V$59,B564,$AZ$50:$AZ$59)</f>
        <v>4</v>
      </c>
      <c r="G564" s="111">
        <f t="shared" ref="G564:G566" si="882">E564/1000</f>
        <v>235.73</v>
      </c>
      <c r="H564" s="126">
        <f>SUMIF($V$50:$V$59,B564,$I$50:$I$59)</f>
        <v>16.969444444453984</v>
      </c>
      <c r="I564" s="141">
        <f t="shared" ref="I564:I565" si="883">IFERROR(H564/F564,"")</f>
        <v>4.242361111113496</v>
      </c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  <c r="AN564" s="57"/>
      <c r="AO564" s="57"/>
      <c r="AP564" s="57"/>
      <c r="AQ564" s="57"/>
    </row>
    <row r="565" spans="2:43" ht="17.45" hidden="1" customHeight="1" outlineLevel="1">
      <c r="B565" s="138" t="s">
        <v>93</v>
      </c>
      <c r="C565" s="111">
        <f>SUMIF($V$50:$V$59,B565,$L$50:$L$59)</f>
        <v>0</v>
      </c>
      <c r="D565" s="111">
        <f>SUMIF($V$50:$V$59,B565,$M$50:$M$59)</f>
        <v>0</v>
      </c>
      <c r="E565" s="111">
        <f t="shared" si="881"/>
        <v>0</v>
      </c>
      <c r="F565" s="111">
        <f>SUMIF($V$50:$V$59,B565,$AZ$50:$AZ$59)</f>
        <v>0</v>
      </c>
      <c r="G565" s="111">
        <f t="shared" si="882"/>
        <v>0</v>
      </c>
      <c r="H565" s="126">
        <f>SUMIF($V$50:$V$59,B565,$I$50:$I$59)</f>
        <v>0</v>
      </c>
      <c r="I565" s="141" t="str">
        <f t="shared" si="883"/>
        <v/>
      </c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  <c r="AN565" s="57"/>
      <c r="AO565" s="57"/>
      <c r="AP565" s="57"/>
      <c r="AQ565" s="57"/>
    </row>
    <row r="566" spans="2:43" ht="17.45" hidden="1" customHeight="1" outlineLevel="1" thickBot="1">
      <c r="B566" s="138" t="s">
        <v>94</v>
      </c>
      <c r="C566" s="111">
        <f>SUMIF($V$50:$V$59,B566,$L$50:$L$59)</f>
        <v>0</v>
      </c>
      <c r="D566" s="111">
        <f>SUMIF($V$50:$V$59,B566,$M$50:$M$59)</f>
        <v>0</v>
      </c>
      <c r="E566" s="111">
        <f t="shared" si="881"/>
        <v>0</v>
      </c>
      <c r="F566" s="111">
        <f>SUMIF($V$50:$V$59,B566,$AZ$50:$AZ$59)</f>
        <v>0</v>
      </c>
      <c r="G566" s="111">
        <f t="shared" si="882"/>
        <v>0</v>
      </c>
      <c r="H566" s="126">
        <f>SUMIF($V$50:$V$59,B566,$I$50:$I$59)</f>
        <v>0</v>
      </c>
      <c r="I566" s="190" t="str">
        <f>IFERROR(H566/F566,"")</f>
        <v/>
      </c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  <c r="AN566" s="57"/>
      <c r="AO566" s="57"/>
      <c r="AP566" s="57"/>
      <c r="AQ566" s="57"/>
    </row>
    <row r="567" spans="2:43" ht="17.45" hidden="1" customHeight="1" outlineLevel="1" thickBot="1">
      <c r="B567" s="113" t="s">
        <v>61</v>
      </c>
      <c r="C567" s="114">
        <f>SUM(C563:C566)</f>
        <v>96935</v>
      </c>
      <c r="D567" s="114">
        <f t="shared" ref="D567:F567" si="884">SUM(D563:D566)</f>
        <v>138795</v>
      </c>
      <c r="E567" s="114">
        <f t="shared" si="884"/>
        <v>235730</v>
      </c>
      <c r="F567" s="114">
        <f t="shared" si="884"/>
        <v>4</v>
      </c>
      <c r="G567" s="114">
        <f>SUM(G563:G566)</f>
        <v>235.73</v>
      </c>
      <c r="H567" s="189">
        <f>SUM(H563:H566)</f>
        <v>16.969444444453984</v>
      </c>
      <c r="I567" s="191">
        <f>IFERROR(H567/F567,"")</f>
        <v>4.242361111113496</v>
      </c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  <c r="AN567" s="57"/>
      <c r="AO567" s="57"/>
      <c r="AP567" s="57"/>
      <c r="AQ567" s="57"/>
    </row>
    <row r="568" spans="2:43" ht="17.45" hidden="1" customHeight="1" outlineLevel="1"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  <c r="AN568" s="57"/>
      <c r="AO568" s="57"/>
      <c r="AP568" s="57"/>
      <c r="AQ568" s="57"/>
    </row>
    <row r="569" spans="2:43" ht="17.45" customHeight="1" collapsed="1">
      <c r="B569" s="329" t="s">
        <v>258</v>
      </c>
      <c r="O569" s="122"/>
      <c r="P569" s="122"/>
      <c r="Q569" s="122"/>
      <c r="R569" s="123"/>
      <c r="S569" s="331"/>
      <c r="T569" s="124"/>
      <c r="U569" s="332"/>
      <c r="V569" s="332"/>
      <c r="W569" s="245"/>
      <c r="X569" s="245"/>
      <c r="Y569" s="333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  <c r="AN569" s="57"/>
      <c r="AO569" s="57"/>
      <c r="AP569" s="57"/>
      <c r="AQ569" s="57"/>
    </row>
    <row r="570" spans="2:43" ht="17.45" hidden="1" customHeight="1" outlineLevel="1">
      <c r="B570" s="1173" t="s">
        <v>51</v>
      </c>
      <c r="C570" s="1173"/>
      <c r="D570" s="1168" t="s">
        <v>52</v>
      </c>
      <c r="E570" s="1168"/>
      <c r="F570" s="1168"/>
      <c r="G570" s="1168" t="s">
        <v>53</v>
      </c>
      <c r="H570" s="1168"/>
      <c r="I570" s="1168"/>
      <c r="J570" s="1168" t="s">
        <v>54</v>
      </c>
      <c r="K570" s="1168"/>
      <c r="L570" s="1168"/>
      <c r="O570" s="1168" t="s">
        <v>71</v>
      </c>
      <c r="P570" s="1168" t="s">
        <v>72</v>
      </c>
      <c r="Q570" s="1168" t="s">
        <v>73</v>
      </c>
      <c r="R570" s="1168" t="s">
        <v>74</v>
      </c>
      <c r="S570" s="122"/>
      <c r="T570" s="1168" t="s">
        <v>71</v>
      </c>
      <c r="U570" s="1168" t="s">
        <v>72</v>
      </c>
      <c r="V570" s="1168" t="s">
        <v>73</v>
      </c>
      <c r="W570" s="1168" t="s">
        <v>74</v>
      </c>
      <c r="X570" s="1168" t="s">
        <v>75</v>
      </c>
      <c r="Y570" s="1169" t="str">
        <f>RIGHT(B569,3)&amp;" 목표(ST)"</f>
        <v xml:space="preserve"> 4월 목표(ST)</v>
      </c>
      <c r="Z570" s="1170" t="s">
        <v>111</v>
      </c>
    </row>
    <row r="571" spans="2:43" ht="17.45" hidden="1" customHeight="1" outlineLevel="1">
      <c r="B571" s="1173"/>
      <c r="C571" s="1173"/>
      <c r="D571" s="626" t="s">
        <v>55</v>
      </c>
      <c r="E571" s="626" t="s">
        <v>56</v>
      </c>
      <c r="F571" s="626" t="s">
        <v>57</v>
      </c>
      <c r="G571" s="626" t="s">
        <v>55</v>
      </c>
      <c r="H571" s="626" t="s">
        <v>56</v>
      </c>
      <c r="I571" s="626" t="s">
        <v>57</v>
      </c>
      <c r="J571" s="626" t="s">
        <v>55</v>
      </c>
      <c r="K571" s="626" t="s">
        <v>56</v>
      </c>
      <c r="L571" s="626" t="s">
        <v>57</v>
      </c>
      <c r="O571" s="1168"/>
      <c r="P571" s="1168"/>
      <c r="Q571" s="1168"/>
      <c r="R571" s="1168"/>
      <c r="S571" s="122"/>
      <c r="T571" s="1168"/>
      <c r="U571" s="1168"/>
      <c r="V571" s="1168"/>
      <c r="W571" s="1168"/>
      <c r="X571" s="1168"/>
      <c r="Y571" s="1168"/>
      <c r="Z571" s="1168"/>
      <c r="AN571" s="361"/>
      <c r="AO571" s="362" t="s">
        <v>156</v>
      </c>
      <c r="AP571" s="457"/>
    </row>
    <row r="572" spans="2:43" ht="17.45" hidden="1" customHeight="1" outlineLevel="1">
      <c r="B572" s="1171" t="s">
        <v>58</v>
      </c>
      <c r="C572" s="110" t="s">
        <v>179</v>
      </c>
      <c r="D572" s="111">
        <f t="shared" ref="D572:D577" si="885">SUMIF($B$61:$B$68,C572,$L$61:$L$68)</f>
        <v>0</v>
      </c>
      <c r="E572" s="111">
        <f t="shared" ref="E572:E577" si="886">SUMIF($B$61:$B$68,C572,$M$61:$M$68)</f>
        <v>55001</v>
      </c>
      <c r="F572" s="111">
        <f>D572+E572</f>
        <v>55001</v>
      </c>
      <c r="G572" s="112">
        <f>IFERROR(D572/F572,"")</f>
        <v>0</v>
      </c>
      <c r="H572" s="112">
        <f>IFERROR(E572/F572,"")</f>
        <v>1</v>
      </c>
      <c r="I572" s="112">
        <f t="shared" ref="I572:I577" si="887">IFERROR(G572+H572,"")</f>
        <v>1</v>
      </c>
      <c r="J572" s="111">
        <f t="shared" ref="J572:J577" si="888">SUMIF($B$61:$B$68,C572,$AX$61:$AX$68)</f>
        <v>0</v>
      </c>
      <c r="K572" s="111">
        <f t="shared" ref="K572:K577" si="889">SUMIF($B$61:$B$68,C572,$AY$61:$AY$68)</f>
        <v>1</v>
      </c>
      <c r="L572" s="111">
        <f>J572+K572</f>
        <v>1</v>
      </c>
      <c r="O572" s="125" t="str">
        <f>C572</f>
        <v>SGC에너지</v>
      </c>
      <c r="P572" s="126">
        <f t="shared" ref="P572:P577" si="890">SUMIF($B$61:$B$68,O572,$I$61:$I$68)</f>
        <v>13.5625</v>
      </c>
      <c r="Q572" s="111">
        <f t="shared" ref="Q572:Q577" si="891">SUMIF($B$61:$B$68,O572,$AZ$61:$AZ$68)</f>
        <v>1</v>
      </c>
      <c r="R572" s="126">
        <f>IFERROR(P572/Q572,"")</f>
        <v>13.5625</v>
      </c>
      <c r="S572" s="122"/>
      <c r="T572" s="125" t="str">
        <f>O572</f>
        <v>SGC에너지</v>
      </c>
      <c r="U572" s="126">
        <f>P572</f>
        <v>13.5625</v>
      </c>
      <c r="V572" s="111">
        <f>Q572</f>
        <v>1</v>
      </c>
      <c r="W572" s="127">
        <f>IFERROR(U572/V572,"")</f>
        <v>13.5625</v>
      </c>
      <c r="X572" s="148">
        <f>F572/1000</f>
        <v>55.000999999999998</v>
      </c>
      <c r="Y572" s="111"/>
      <c r="Z572" s="155" t="str">
        <f>IFERROR(IF(X572=0,"",X572/Y572),"")</f>
        <v/>
      </c>
      <c r="AN572" s="335"/>
      <c r="AO572" s="336">
        <f>X572-Y572</f>
        <v>55.000999999999998</v>
      </c>
      <c r="AP572" s="452"/>
    </row>
    <row r="573" spans="2:43" ht="17.45" hidden="1" customHeight="1" outlineLevel="1">
      <c r="B573" s="1172"/>
      <c r="C573" s="110" t="s">
        <v>59</v>
      </c>
      <c r="D573" s="111">
        <f t="shared" si="885"/>
        <v>0</v>
      </c>
      <c r="E573" s="111">
        <f t="shared" si="886"/>
        <v>0</v>
      </c>
      <c r="F573" s="111">
        <f t="shared" ref="F573:F577" si="892">D573+E573</f>
        <v>0</v>
      </c>
      <c r="G573" s="112" t="str">
        <f t="shared" ref="G573:G585" si="893">IFERROR(D573/F573,"")</f>
        <v/>
      </c>
      <c r="H573" s="112" t="str">
        <f t="shared" ref="H573:H577" si="894">IFERROR(E573/F573,"")</f>
        <v/>
      </c>
      <c r="I573" s="112" t="str">
        <f t="shared" si="887"/>
        <v/>
      </c>
      <c r="J573" s="111">
        <f t="shared" si="888"/>
        <v>0</v>
      </c>
      <c r="K573" s="111">
        <f t="shared" si="889"/>
        <v>0</v>
      </c>
      <c r="L573" s="111">
        <f t="shared" ref="L573:L577" si="895">J573+K573</f>
        <v>0</v>
      </c>
      <c r="O573" s="125" t="str">
        <f t="shared" ref="O573:O577" si="896">C573</f>
        <v>남동발전</v>
      </c>
      <c r="P573" s="126">
        <f t="shared" si="890"/>
        <v>0</v>
      </c>
      <c r="Q573" s="111">
        <f t="shared" si="891"/>
        <v>0</v>
      </c>
      <c r="R573" s="126" t="str">
        <f t="shared" ref="R573:R594" si="897">IFERROR(P573/Q573,"")</f>
        <v/>
      </c>
      <c r="S573" s="122"/>
      <c r="T573" s="125" t="str">
        <f t="shared" ref="T573:V577" si="898">O573</f>
        <v>남동발전</v>
      </c>
      <c r="U573" s="126">
        <f t="shared" si="898"/>
        <v>0</v>
      </c>
      <c r="V573" s="111">
        <f t="shared" si="898"/>
        <v>0</v>
      </c>
      <c r="W573" s="127" t="str">
        <f t="shared" ref="W573:W593" si="899">IFERROR(U573/V573,"")</f>
        <v/>
      </c>
      <c r="X573" s="148">
        <f t="shared" ref="X573:X577" si="900">F573/1000</f>
        <v>0</v>
      </c>
      <c r="Y573" s="111"/>
      <c r="Z573" s="155" t="str">
        <f t="shared" ref="Z573:Z587" si="901">IFERROR(IF(X573=0,"",X573/Y573),"")</f>
        <v/>
      </c>
      <c r="AN573" s="335"/>
      <c r="AO573" s="336">
        <f t="shared" ref="AO573:AO577" si="902">X573-Y573</f>
        <v>0</v>
      </c>
      <c r="AP573" s="452"/>
    </row>
    <row r="574" spans="2:43" ht="17.45" hidden="1" customHeight="1" outlineLevel="1">
      <c r="B574" s="1172"/>
      <c r="C574" s="110" t="s">
        <v>60</v>
      </c>
      <c r="D574" s="111">
        <f t="shared" si="885"/>
        <v>0</v>
      </c>
      <c r="E574" s="111">
        <f t="shared" si="886"/>
        <v>0</v>
      </c>
      <c r="F574" s="111">
        <f t="shared" si="892"/>
        <v>0</v>
      </c>
      <c r="G574" s="112" t="str">
        <f t="shared" si="893"/>
        <v/>
      </c>
      <c r="H574" s="112" t="str">
        <f t="shared" si="894"/>
        <v/>
      </c>
      <c r="I574" s="112" t="str">
        <f t="shared" si="887"/>
        <v/>
      </c>
      <c r="J574" s="111">
        <f t="shared" si="888"/>
        <v>0</v>
      </c>
      <c r="K574" s="111">
        <f t="shared" si="889"/>
        <v>0</v>
      </c>
      <c r="L574" s="111">
        <f t="shared" si="895"/>
        <v>0</v>
      </c>
      <c r="O574" s="125" t="str">
        <f t="shared" si="896"/>
        <v>동서발전</v>
      </c>
      <c r="P574" s="126">
        <f t="shared" si="890"/>
        <v>0</v>
      </c>
      <c r="Q574" s="111">
        <f t="shared" si="891"/>
        <v>0</v>
      </c>
      <c r="R574" s="126" t="str">
        <f t="shared" si="897"/>
        <v/>
      </c>
      <c r="S574" s="122"/>
      <c r="T574" s="125" t="str">
        <f t="shared" si="898"/>
        <v>동서발전</v>
      </c>
      <c r="U574" s="126">
        <f t="shared" si="898"/>
        <v>0</v>
      </c>
      <c r="V574" s="111">
        <f t="shared" si="898"/>
        <v>0</v>
      </c>
      <c r="W574" s="127" t="str">
        <f t="shared" si="899"/>
        <v/>
      </c>
      <c r="X574" s="148">
        <f t="shared" si="900"/>
        <v>0</v>
      </c>
      <c r="Y574" s="111"/>
      <c r="Z574" s="155" t="str">
        <f t="shared" si="901"/>
        <v/>
      </c>
      <c r="AN574" s="335"/>
      <c r="AO574" s="336">
        <f t="shared" si="902"/>
        <v>0</v>
      </c>
      <c r="AP574" s="452"/>
    </row>
    <row r="575" spans="2:43" ht="17.45" hidden="1" customHeight="1" outlineLevel="1">
      <c r="B575" s="1172"/>
      <c r="C575" s="110" t="s">
        <v>159</v>
      </c>
      <c r="D575" s="111">
        <f t="shared" si="885"/>
        <v>0</v>
      </c>
      <c r="E575" s="111">
        <f t="shared" si="886"/>
        <v>0</v>
      </c>
      <c r="F575" s="111">
        <f t="shared" si="892"/>
        <v>0</v>
      </c>
      <c r="G575" s="112" t="str">
        <f t="shared" si="893"/>
        <v/>
      </c>
      <c r="H575" s="112" t="str">
        <f t="shared" si="894"/>
        <v/>
      </c>
      <c r="I575" s="112" t="str">
        <f t="shared" si="887"/>
        <v/>
      </c>
      <c r="J575" s="111">
        <f t="shared" si="888"/>
        <v>0</v>
      </c>
      <c r="K575" s="111">
        <f t="shared" si="889"/>
        <v>0</v>
      </c>
      <c r="L575" s="111">
        <f t="shared" si="895"/>
        <v>0</v>
      </c>
      <c r="O575" s="125" t="str">
        <f t="shared" si="896"/>
        <v>미쓰이</v>
      </c>
      <c r="P575" s="126">
        <f t="shared" si="890"/>
        <v>0</v>
      </c>
      <c r="Q575" s="111">
        <f t="shared" si="891"/>
        <v>0</v>
      </c>
      <c r="R575" s="126" t="str">
        <f t="shared" si="897"/>
        <v/>
      </c>
      <c r="S575" s="122"/>
      <c r="T575" s="125" t="str">
        <f t="shared" si="898"/>
        <v>미쓰이</v>
      </c>
      <c r="U575" s="126">
        <f t="shared" si="898"/>
        <v>0</v>
      </c>
      <c r="V575" s="111">
        <f t="shared" si="898"/>
        <v>0</v>
      </c>
      <c r="W575" s="127" t="str">
        <f t="shared" si="899"/>
        <v/>
      </c>
      <c r="X575" s="148">
        <f t="shared" si="900"/>
        <v>0</v>
      </c>
      <c r="Y575" s="111"/>
      <c r="Z575" s="155" t="str">
        <f t="shared" si="901"/>
        <v/>
      </c>
      <c r="AN575" s="335"/>
      <c r="AO575" s="336">
        <f t="shared" si="902"/>
        <v>0</v>
      </c>
      <c r="AP575" s="452"/>
    </row>
    <row r="576" spans="2:43" ht="17.45" hidden="1" customHeight="1" outlineLevel="1">
      <c r="B576" s="1172"/>
      <c r="C576" s="110" t="s">
        <v>168</v>
      </c>
      <c r="D576" s="111">
        <f t="shared" si="885"/>
        <v>0</v>
      </c>
      <c r="E576" s="111">
        <f t="shared" si="886"/>
        <v>0</v>
      </c>
      <c r="F576" s="111">
        <f t="shared" si="892"/>
        <v>0</v>
      </c>
      <c r="G576" s="112" t="str">
        <f t="shared" si="893"/>
        <v/>
      </c>
      <c r="H576" s="112" t="str">
        <f t="shared" si="894"/>
        <v/>
      </c>
      <c r="I576" s="112" t="str">
        <f t="shared" si="887"/>
        <v/>
      </c>
      <c r="J576" s="111">
        <f t="shared" si="888"/>
        <v>0</v>
      </c>
      <c r="K576" s="111">
        <f t="shared" si="889"/>
        <v>0</v>
      </c>
      <c r="L576" s="111">
        <f t="shared" si="895"/>
        <v>0</v>
      </c>
      <c r="O576" s="125" t="str">
        <f t="shared" si="896"/>
        <v>포스코인터</v>
      </c>
      <c r="P576" s="126">
        <f t="shared" si="890"/>
        <v>0</v>
      </c>
      <c r="Q576" s="111">
        <f t="shared" si="891"/>
        <v>0</v>
      </c>
      <c r="R576" s="126" t="str">
        <f t="shared" si="897"/>
        <v/>
      </c>
      <c r="S576" s="122"/>
      <c r="T576" s="125" t="str">
        <f t="shared" si="898"/>
        <v>포스코인터</v>
      </c>
      <c r="U576" s="126">
        <f t="shared" si="898"/>
        <v>0</v>
      </c>
      <c r="V576" s="111">
        <f t="shared" si="898"/>
        <v>0</v>
      </c>
      <c r="W576" s="127" t="str">
        <f t="shared" si="899"/>
        <v/>
      </c>
      <c r="X576" s="148">
        <f t="shared" si="900"/>
        <v>0</v>
      </c>
      <c r="Y576" s="111"/>
      <c r="Z576" s="155" t="str">
        <f t="shared" si="901"/>
        <v/>
      </c>
      <c r="AN576" s="335"/>
      <c r="AO576" s="336">
        <f t="shared" si="902"/>
        <v>0</v>
      </c>
      <c r="AP576" s="452"/>
    </row>
    <row r="577" spans="2:43" ht="17.45" hidden="1" customHeight="1" outlineLevel="1">
      <c r="B577" s="1172"/>
      <c r="C577" s="110" t="s">
        <v>154</v>
      </c>
      <c r="D577" s="111">
        <f t="shared" si="885"/>
        <v>0</v>
      </c>
      <c r="E577" s="111">
        <f t="shared" si="886"/>
        <v>0</v>
      </c>
      <c r="F577" s="111">
        <f t="shared" si="892"/>
        <v>0</v>
      </c>
      <c r="G577" s="112" t="str">
        <f t="shared" si="893"/>
        <v/>
      </c>
      <c r="H577" s="112" t="str">
        <f t="shared" si="894"/>
        <v/>
      </c>
      <c r="I577" s="112" t="str">
        <f t="shared" si="887"/>
        <v/>
      </c>
      <c r="J577" s="111">
        <f t="shared" si="888"/>
        <v>0</v>
      </c>
      <c r="K577" s="111">
        <f t="shared" si="889"/>
        <v>0</v>
      </c>
      <c r="L577" s="111">
        <f t="shared" si="895"/>
        <v>0</v>
      </c>
      <c r="O577" s="125" t="str">
        <f t="shared" si="896"/>
        <v>이노샌드</v>
      </c>
      <c r="P577" s="126">
        <f t="shared" si="890"/>
        <v>0</v>
      </c>
      <c r="Q577" s="111">
        <f t="shared" si="891"/>
        <v>0</v>
      </c>
      <c r="R577" s="126" t="str">
        <f t="shared" si="897"/>
        <v/>
      </c>
      <c r="S577" s="122"/>
      <c r="T577" s="125" t="str">
        <f t="shared" si="898"/>
        <v>이노샌드</v>
      </c>
      <c r="U577" s="126">
        <f t="shared" si="898"/>
        <v>0</v>
      </c>
      <c r="V577" s="111">
        <f t="shared" si="898"/>
        <v>0</v>
      </c>
      <c r="W577" s="127" t="str">
        <f t="shared" si="899"/>
        <v/>
      </c>
      <c r="X577" s="148">
        <f t="shared" si="900"/>
        <v>0</v>
      </c>
      <c r="Y577" s="111"/>
      <c r="Z577" s="155" t="str">
        <f t="shared" si="901"/>
        <v/>
      </c>
      <c r="AN577" s="335"/>
      <c r="AO577" s="336">
        <f t="shared" si="902"/>
        <v>0</v>
      </c>
      <c r="AP577" s="452"/>
      <c r="AQ577" s="337"/>
    </row>
    <row r="578" spans="2:43" ht="17.45" hidden="1" customHeight="1" outlineLevel="1">
      <c r="B578" s="1172"/>
      <c r="C578" s="113" t="s">
        <v>61</v>
      </c>
      <c r="D578" s="114">
        <f>SUM(D572:D577)</f>
        <v>0</v>
      </c>
      <c r="E578" s="114">
        <f>SUM(E572:E577)</f>
        <v>55001</v>
      </c>
      <c r="F578" s="114">
        <f>SUM(F572:F577)</f>
        <v>55001</v>
      </c>
      <c r="G578" s="115">
        <f t="shared" si="893"/>
        <v>0</v>
      </c>
      <c r="H578" s="115">
        <f>IFERROR(E578/F578,"")</f>
        <v>1</v>
      </c>
      <c r="I578" s="115">
        <f>IFERROR(G578+H578,"")</f>
        <v>1</v>
      </c>
      <c r="J578" s="114">
        <f t="shared" ref="J578:L578" si="903">SUM(J572:J577)</f>
        <v>0</v>
      </c>
      <c r="K578" s="114">
        <f t="shared" si="903"/>
        <v>1</v>
      </c>
      <c r="L578" s="114">
        <f t="shared" si="903"/>
        <v>1</v>
      </c>
      <c r="O578" s="128" t="s">
        <v>61</v>
      </c>
      <c r="P578" s="129">
        <f>SUM(P572:P577)</f>
        <v>13.5625</v>
      </c>
      <c r="Q578" s="114">
        <f>SUM(Q572:Q577)</f>
        <v>1</v>
      </c>
      <c r="R578" s="129">
        <f t="shared" si="897"/>
        <v>13.5625</v>
      </c>
      <c r="S578" s="122"/>
      <c r="T578" s="128" t="s">
        <v>61</v>
      </c>
      <c r="U578" s="129">
        <f>SUM(U572:U577)</f>
        <v>13.5625</v>
      </c>
      <c r="V578" s="114">
        <f>SUM(V572:V577)</f>
        <v>1</v>
      </c>
      <c r="W578" s="129">
        <f t="shared" si="899"/>
        <v>13.5625</v>
      </c>
      <c r="X578" s="114">
        <f>SUM(X572:X577)</f>
        <v>55.000999999999998</v>
      </c>
      <c r="Y578" s="114">
        <f>SUM(Y572:Y577)</f>
        <v>0</v>
      </c>
      <c r="Z578" s="156" t="str">
        <f t="shared" si="901"/>
        <v/>
      </c>
      <c r="AN578" s="338">
        <f>SUM(AN572:AN577)</f>
        <v>0</v>
      </c>
      <c r="AO578" s="338">
        <f>SUM(AO572:AO577)</f>
        <v>55.000999999999998</v>
      </c>
      <c r="AP578" s="453"/>
    </row>
    <row r="579" spans="2:43" ht="17.45" hidden="1" customHeight="1" outlineLevel="1">
      <c r="B579" s="1171" t="s">
        <v>62</v>
      </c>
      <c r="C579" s="110" t="s">
        <v>222</v>
      </c>
      <c r="D579" s="111">
        <f t="shared" ref="D579:D593" si="904">SUMIF($B$61:$B$68,C579,$L$61:$L$68)</f>
        <v>0</v>
      </c>
      <c r="E579" s="111">
        <f t="shared" ref="E579:E593" si="905">SUMIF($B$61:$B$68,C579,$M$61:$M$68)</f>
        <v>0</v>
      </c>
      <c r="F579" s="111">
        <f t="shared" ref="F579:F593" si="906">D579+E579</f>
        <v>0</v>
      </c>
      <c r="G579" s="112" t="str">
        <f t="shared" si="893"/>
        <v/>
      </c>
      <c r="H579" s="112" t="str">
        <f t="shared" ref="H579:H588" si="907">IFERROR(E579/F579,"")</f>
        <v/>
      </c>
      <c r="I579" s="112" t="str">
        <f t="shared" ref="I579:I588" si="908">IFERROR(G579+H579,"")</f>
        <v/>
      </c>
      <c r="J579" s="111">
        <f t="shared" ref="J579:J593" si="909">SUMIF($B$61:$B$68,C579,$AX$61:$AX$68)</f>
        <v>0</v>
      </c>
      <c r="K579" s="111">
        <f t="shared" ref="K579:K593" si="910">SUMIF($B$61:$B$68,C579,$AY$61:$AY$68)</f>
        <v>0</v>
      </c>
      <c r="L579" s="111">
        <f t="shared" ref="L579:L593" si="911">J579+K579</f>
        <v>0</v>
      </c>
      <c r="O579" s="125" t="str">
        <f>C579</f>
        <v>태경비케이</v>
      </c>
      <c r="P579" s="126">
        <f t="shared" ref="P579:P593" si="912">SUMIF($B$61:$B$68,O579,$I$61:$I$68)</f>
        <v>0</v>
      </c>
      <c r="Q579" s="111">
        <f t="shared" ref="Q579:Q593" si="913">SUMIF($B$61:$B$68,O579,$AZ$61:$AZ$68)</f>
        <v>0</v>
      </c>
      <c r="R579" s="126" t="str">
        <f t="shared" si="897"/>
        <v/>
      </c>
      <c r="S579" s="122"/>
      <c r="T579" s="125" t="str">
        <f t="shared" ref="T579:V593" si="914">O579</f>
        <v>태경비케이</v>
      </c>
      <c r="U579" s="126">
        <f t="shared" si="914"/>
        <v>0</v>
      </c>
      <c r="V579" s="111">
        <f t="shared" si="914"/>
        <v>0</v>
      </c>
      <c r="W579" s="127" t="str">
        <f t="shared" si="899"/>
        <v/>
      </c>
      <c r="X579" s="148">
        <f t="shared" ref="X579:X593" si="915">F579/1000</f>
        <v>0</v>
      </c>
      <c r="Y579" s="111"/>
      <c r="Z579" s="155" t="str">
        <f t="shared" si="901"/>
        <v/>
      </c>
      <c r="AN579" s="335"/>
      <c r="AO579" s="336">
        <f>X579-Y579</f>
        <v>0</v>
      </c>
      <c r="AP579" s="452"/>
    </row>
    <row r="580" spans="2:43" ht="17.45" hidden="1" customHeight="1" outlineLevel="1">
      <c r="B580" s="1172"/>
      <c r="C580" s="110" t="s">
        <v>78</v>
      </c>
      <c r="D580" s="111">
        <f t="shared" si="904"/>
        <v>0</v>
      </c>
      <c r="E580" s="111">
        <f t="shared" si="905"/>
        <v>0</v>
      </c>
      <c r="F580" s="111">
        <f t="shared" si="906"/>
        <v>0</v>
      </c>
      <c r="G580" s="112" t="str">
        <f t="shared" si="893"/>
        <v/>
      </c>
      <c r="H580" s="112" t="str">
        <f t="shared" si="907"/>
        <v/>
      </c>
      <c r="I580" s="112" t="str">
        <f t="shared" si="908"/>
        <v/>
      </c>
      <c r="J580" s="111">
        <f t="shared" si="909"/>
        <v>0</v>
      </c>
      <c r="K580" s="111">
        <f t="shared" si="910"/>
        <v>0</v>
      </c>
      <c r="L580" s="111">
        <f t="shared" si="911"/>
        <v>0</v>
      </c>
      <c r="O580" s="125" t="str">
        <f t="shared" ref="O580:O593" si="916">C580</f>
        <v>삼영산업</v>
      </c>
      <c r="P580" s="126">
        <f t="shared" si="912"/>
        <v>0</v>
      </c>
      <c r="Q580" s="111">
        <f t="shared" si="913"/>
        <v>0</v>
      </c>
      <c r="R580" s="126" t="str">
        <f t="shared" si="897"/>
        <v/>
      </c>
      <c r="S580" s="122"/>
      <c r="T580" s="125" t="str">
        <f t="shared" si="914"/>
        <v>삼영산업</v>
      </c>
      <c r="U580" s="126">
        <f t="shared" si="914"/>
        <v>0</v>
      </c>
      <c r="V580" s="111">
        <f t="shared" si="914"/>
        <v>0</v>
      </c>
      <c r="W580" s="127" t="str">
        <f t="shared" si="899"/>
        <v/>
      </c>
      <c r="X580" s="148">
        <f t="shared" si="915"/>
        <v>0</v>
      </c>
      <c r="Y580" s="111"/>
      <c r="Z580" s="155" t="str">
        <f t="shared" si="901"/>
        <v/>
      </c>
      <c r="AN580" s="335"/>
      <c r="AO580" s="336">
        <f t="shared" ref="AO580:AO581" si="917">X580-Y580</f>
        <v>0</v>
      </c>
      <c r="AP580" s="452"/>
    </row>
    <row r="581" spans="2:43" ht="17.45" hidden="1" customHeight="1" outlineLevel="1">
      <c r="B581" s="1172"/>
      <c r="C581" s="110" t="s">
        <v>176</v>
      </c>
      <c r="D581" s="111">
        <f t="shared" si="904"/>
        <v>0</v>
      </c>
      <c r="E581" s="111">
        <f t="shared" si="905"/>
        <v>0</v>
      </c>
      <c r="F581" s="111">
        <f t="shared" si="906"/>
        <v>0</v>
      </c>
      <c r="G581" s="112" t="str">
        <f t="shared" si="893"/>
        <v/>
      </c>
      <c r="H581" s="112" t="str">
        <f t="shared" si="907"/>
        <v/>
      </c>
      <c r="I581" s="112" t="str">
        <f t="shared" si="908"/>
        <v/>
      </c>
      <c r="J581" s="111">
        <f t="shared" si="909"/>
        <v>0</v>
      </c>
      <c r="K581" s="111">
        <f t="shared" si="910"/>
        <v>0</v>
      </c>
      <c r="L581" s="111">
        <f t="shared" si="911"/>
        <v>0</v>
      </c>
      <c r="O581" s="125" t="str">
        <f t="shared" si="916"/>
        <v>고려시멘트</v>
      </c>
      <c r="P581" s="126">
        <f t="shared" si="912"/>
        <v>0</v>
      </c>
      <c r="Q581" s="111">
        <f t="shared" si="913"/>
        <v>0</v>
      </c>
      <c r="R581" s="126" t="str">
        <f t="shared" si="897"/>
        <v/>
      </c>
      <c r="S581" s="122"/>
      <c r="T581" s="125" t="str">
        <f t="shared" si="914"/>
        <v>고려시멘트</v>
      </c>
      <c r="U581" s="126">
        <f t="shared" si="914"/>
        <v>0</v>
      </c>
      <c r="V581" s="111">
        <f t="shared" si="914"/>
        <v>0</v>
      </c>
      <c r="W581" s="127" t="str">
        <f t="shared" si="899"/>
        <v/>
      </c>
      <c r="X581" s="148">
        <f t="shared" si="915"/>
        <v>0</v>
      </c>
      <c r="Y581" s="111"/>
      <c r="Z581" s="155" t="str">
        <f t="shared" si="901"/>
        <v/>
      </c>
      <c r="AN581" s="335"/>
      <c r="AO581" s="336">
        <f t="shared" si="917"/>
        <v>0</v>
      </c>
      <c r="AP581" s="452"/>
    </row>
    <row r="582" spans="2:43" ht="17.45" hidden="1" customHeight="1" outlineLevel="1">
      <c r="B582" s="1172"/>
      <c r="C582" s="110" t="s">
        <v>63</v>
      </c>
      <c r="D582" s="111">
        <f t="shared" si="904"/>
        <v>0</v>
      </c>
      <c r="E582" s="111">
        <f t="shared" si="905"/>
        <v>0</v>
      </c>
      <c r="F582" s="111">
        <f t="shared" si="906"/>
        <v>0</v>
      </c>
      <c r="G582" s="112" t="str">
        <f t="shared" si="893"/>
        <v/>
      </c>
      <c r="H582" s="112" t="str">
        <f t="shared" si="907"/>
        <v/>
      </c>
      <c r="I582" s="112" t="str">
        <f t="shared" si="908"/>
        <v/>
      </c>
      <c r="J582" s="111">
        <f t="shared" si="909"/>
        <v>0</v>
      </c>
      <c r="K582" s="111">
        <f t="shared" si="910"/>
        <v>0</v>
      </c>
      <c r="L582" s="111">
        <f t="shared" si="911"/>
        <v>0</v>
      </c>
      <c r="O582" s="125" t="str">
        <f t="shared" si="916"/>
        <v>청해실업</v>
      </c>
      <c r="P582" s="126">
        <f t="shared" si="912"/>
        <v>0</v>
      </c>
      <c r="Q582" s="111">
        <f t="shared" si="913"/>
        <v>0</v>
      </c>
      <c r="R582" s="126" t="str">
        <f t="shared" si="897"/>
        <v/>
      </c>
      <c r="S582" s="122"/>
      <c r="T582" s="125" t="str">
        <f t="shared" si="914"/>
        <v>청해실업</v>
      </c>
      <c r="U582" s="126">
        <f t="shared" si="914"/>
        <v>0</v>
      </c>
      <c r="V582" s="111">
        <f t="shared" si="914"/>
        <v>0</v>
      </c>
      <c r="W582" s="127" t="str">
        <f t="shared" si="899"/>
        <v/>
      </c>
      <c r="X582" s="148">
        <f t="shared" si="915"/>
        <v>0</v>
      </c>
      <c r="Y582" s="111"/>
      <c r="Z582" s="155" t="str">
        <f t="shared" si="901"/>
        <v/>
      </c>
      <c r="AN582" s="339"/>
      <c r="AO582" s="340">
        <f t="shared" ref="AO582" si="918">X582-AN582</f>
        <v>0</v>
      </c>
      <c r="AP582" s="454"/>
      <c r="AQ582" s="240" t="s">
        <v>30</v>
      </c>
    </row>
    <row r="583" spans="2:43" ht="17.45" hidden="1" customHeight="1" outlineLevel="1">
      <c r="B583" s="1172"/>
      <c r="C583" s="110" t="s">
        <v>64</v>
      </c>
      <c r="D583" s="111">
        <f t="shared" si="904"/>
        <v>0</v>
      </c>
      <c r="E583" s="111">
        <f t="shared" si="905"/>
        <v>0</v>
      </c>
      <c r="F583" s="111">
        <f t="shared" si="906"/>
        <v>0</v>
      </c>
      <c r="G583" s="112" t="str">
        <f t="shared" si="893"/>
        <v/>
      </c>
      <c r="H583" s="112" t="str">
        <f t="shared" si="907"/>
        <v/>
      </c>
      <c r="I583" s="112" t="str">
        <f t="shared" si="908"/>
        <v/>
      </c>
      <c r="J583" s="111">
        <f t="shared" si="909"/>
        <v>0</v>
      </c>
      <c r="K583" s="111">
        <f t="shared" si="910"/>
        <v>0</v>
      </c>
      <c r="L583" s="111">
        <f t="shared" si="911"/>
        <v>0</v>
      </c>
      <c r="O583" s="125" t="str">
        <f t="shared" si="916"/>
        <v>한화에너지</v>
      </c>
      <c r="P583" s="126">
        <f t="shared" si="912"/>
        <v>0</v>
      </c>
      <c r="Q583" s="111">
        <f t="shared" si="913"/>
        <v>0</v>
      </c>
      <c r="R583" s="126" t="str">
        <f t="shared" si="897"/>
        <v/>
      </c>
      <c r="S583" s="122"/>
      <c r="T583" s="125" t="str">
        <f t="shared" si="914"/>
        <v>한화에너지</v>
      </c>
      <c r="U583" s="126">
        <f t="shared" si="914"/>
        <v>0</v>
      </c>
      <c r="V583" s="111">
        <f t="shared" si="914"/>
        <v>0</v>
      </c>
      <c r="W583" s="127" t="str">
        <f t="shared" si="899"/>
        <v/>
      </c>
      <c r="X583" s="148">
        <f t="shared" si="915"/>
        <v>0</v>
      </c>
      <c r="Y583" s="111"/>
      <c r="Z583" s="155" t="str">
        <f t="shared" si="901"/>
        <v/>
      </c>
      <c r="AN583" s="335"/>
      <c r="AO583" s="336">
        <f t="shared" ref="AO583:AO593" si="919">X583-Y583</f>
        <v>0</v>
      </c>
      <c r="AP583" s="452"/>
    </row>
    <row r="584" spans="2:43" ht="17.45" hidden="1" customHeight="1" outlineLevel="1">
      <c r="B584" s="1172"/>
      <c r="C584" s="110" t="s">
        <v>178</v>
      </c>
      <c r="D584" s="111">
        <f t="shared" si="904"/>
        <v>0</v>
      </c>
      <c r="E584" s="111">
        <f t="shared" si="905"/>
        <v>0</v>
      </c>
      <c r="F584" s="111">
        <f t="shared" si="906"/>
        <v>0</v>
      </c>
      <c r="G584" s="112" t="str">
        <f t="shared" si="893"/>
        <v/>
      </c>
      <c r="H584" s="112" t="str">
        <f t="shared" si="907"/>
        <v/>
      </c>
      <c r="I584" s="112" t="str">
        <f t="shared" si="908"/>
        <v/>
      </c>
      <c r="J584" s="111">
        <f t="shared" si="909"/>
        <v>0</v>
      </c>
      <c r="K584" s="111">
        <f t="shared" si="910"/>
        <v>0</v>
      </c>
      <c r="L584" s="111">
        <f t="shared" si="911"/>
        <v>0</v>
      </c>
      <c r="O584" s="125" t="str">
        <f t="shared" si="916"/>
        <v>금호석유화학</v>
      </c>
      <c r="P584" s="126">
        <f t="shared" si="912"/>
        <v>0</v>
      </c>
      <c r="Q584" s="111">
        <f t="shared" si="913"/>
        <v>0</v>
      </c>
      <c r="R584" s="126" t="str">
        <f t="shared" si="897"/>
        <v/>
      </c>
      <c r="S584" s="122"/>
      <c r="T584" s="125" t="str">
        <f t="shared" si="914"/>
        <v>금호석유화학</v>
      </c>
      <c r="U584" s="126">
        <f t="shared" si="914"/>
        <v>0</v>
      </c>
      <c r="V584" s="111">
        <f t="shared" si="914"/>
        <v>0</v>
      </c>
      <c r="W584" s="127" t="str">
        <f t="shared" si="899"/>
        <v/>
      </c>
      <c r="X584" s="148">
        <f t="shared" si="915"/>
        <v>0</v>
      </c>
      <c r="Y584" s="111"/>
      <c r="Z584" s="155" t="str">
        <f t="shared" si="901"/>
        <v/>
      </c>
      <c r="AN584" s="335"/>
      <c r="AO584" s="336">
        <f t="shared" si="919"/>
        <v>0</v>
      </c>
      <c r="AP584" s="452"/>
    </row>
    <row r="585" spans="2:43" ht="17.45" hidden="1" customHeight="1" outlineLevel="1">
      <c r="B585" s="1172"/>
      <c r="C585" s="110" t="s">
        <v>65</v>
      </c>
      <c r="D585" s="111">
        <f t="shared" si="904"/>
        <v>0</v>
      </c>
      <c r="E585" s="111">
        <f t="shared" si="905"/>
        <v>0</v>
      </c>
      <c r="F585" s="111">
        <f t="shared" si="906"/>
        <v>0</v>
      </c>
      <c r="G585" s="112" t="str">
        <f t="shared" si="893"/>
        <v/>
      </c>
      <c r="H585" s="112" t="str">
        <f t="shared" si="907"/>
        <v/>
      </c>
      <c r="I585" s="112" t="str">
        <f t="shared" si="908"/>
        <v/>
      </c>
      <c r="J585" s="111">
        <f t="shared" si="909"/>
        <v>0</v>
      </c>
      <c r="K585" s="111">
        <f t="shared" si="910"/>
        <v>0</v>
      </c>
      <c r="L585" s="111">
        <f t="shared" si="911"/>
        <v>0</v>
      </c>
      <c r="O585" s="125" t="str">
        <f t="shared" si="916"/>
        <v>LG상사</v>
      </c>
      <c r="P585" s="126">
        <f t="shared" si="912"/>
        <v>0</v>
      </c>
      <c r="Q585" s="111">
        <f t="shared" si="913"/>
        <v>0</v>
      </c>
      <c r="R585" s="126" t="str">
        <f t="shared" si="897"/>
        <v/>
      </c>
      <c r="S585" s="122"/>
      <c r="T585" s="125" t="str">
        <f t="shared" si="914"/>
        <v>LG상사</v>
      </c>
      <c r="U585" s="126">
        <f t="shared" si="914"/>
        <v>0</v>
      </c>
      <c r="V585" s="111">
        <f t="shared" si="914"/>
        <v>0</v>
      </c>
      <c r="W585" s="127" t="str">
        <f t="shared" si="899"/>
        <v/>
      </c>
      <c r="X585" s="148">
        <f t="shared" si="915"/>
        <v>0</v>
      </c>
      <c r="Y585" s="111"/>
      <c r="Z585" s="155" t="str">
        <f t="shared" si="901"/>
        <v/>
      </c>
      <c r="AN585" s="335"/>
      <c r="AO585" s="336">
        <f t="shared" si="919"/>
        <v>0</v>
      </c>
      <c r="AP585" s="452"/>
    </row>
    <row r="586" spans="2:43" ht="17.45" hidden="1" customHeight="1" outlineLevel="1">
      <c r="B586" s="1172"/>
      <c r="C586" s="110" t="s">
        <v>66</v>
      </c>
      <c r="D586" s="111">
        <f t="shared" si="904"/>
        <v>0</v>
      </c>
      <c r="E586" s="111">
        <f t="shared" si="905"/>
        <v>0</v>
      </c>
      <c r="F586" s="111">
        <f t="shared" si="906"/>
        <v>0</v>
      </c>
      <c r="G586" s="112" t="str">
        <f>IFERROR(D586/F586,"")</f>
        <v/>
      </c>
      <c r="H586" s="112" t="str">
        <f t="shared" si="907"/>
        <v/>
      </c>
      <c r="I586" s="112" t="str">
        <f t="shared" si="908"/>
        <v/>
      </c>
      <c r="J586" s="111">
        <f t="shared" si="909"/>
        <v>0</v>
      </c>
      <c r="K586" s="111">
        <f t="shared" si="910"/>
        <v>0</v>
      </c>
      <c r="L586" s="111">
        <f t="shared" si="911"/>
        <v>0</v>
      </c>
      <c r="O586" s="125" t="str">
        <f t="shared" si="916"/>
        <v>LG화학</v>
      </c>
      <c r="P586" s="126">
        <f t="shared" si="912"/>
        <v>0</v>
      </c>
      <c r="Q586" s="111">
        <f t="shared" si="913"/>
        <v>0</v>
      </c>
      <c r="R586" s="126" t="str">
        <f t="shared" si="897"/>
        <v/>
      </c>
      <c r="S586" s="122"/>
      <c r="T586" s="125" t="str">
        <f t="shared" si="914"/>
        <v>LG화학</v>
      </c>
      <c r="U586" s="126">
        <f t="shared" si="914"/>
        <v>0</v>
      </c>
      <c r="V586" s="111">
        <f t="shared" si="914"/>
        <v>0</v>
      </c>
      <c r="W586" s="127" t="str">
        <f t="shared" si="899"/>
        <v/>
      </c>
      <c r="X586" s="148">
        <f t="shared" si="915"/>
        <v>0</v>
      </c>
      <c r="Y586" s="111"/>
      <c r="Z586" s="155" t="str">
        <f t="shared" si="901"/>
        <v/>
      </c>
      <c r="AN586" s="335"/>
      <c r="AO586" s="336">
        <f t="shared" si="919"/>
        <v>0</v>
      </c>
      <c r="AP586" s="452"/>
    </row>
    <row r="587" spans="2:43" ht="17.45" hidden="1" customHeight="1" outlineLevel="1">
      <c r="B587" s="1172"/>
      <c r="C587" s="110" t="s">
        <v>67</v>
      </c>
      <c r="D587" s="111">
        <f t="shared" si="904"/>
        <v>52500</v>
      </c>
      <c r="E587" s="111">
        <f t="shared" si="905"/>
        <v>0</v>
      </c>
      <c r="F587" s="111">
        <f t="shared" si="906"/>
        <v>52500</v>
      </c>
      <c r="G587" s="112">
        <f t="shared" ref="G587:G595" si="920">IFERROR(D587/F587,"")</f>
        <v>1</v>
      </c>
      <c r="H587" s="112">
        <f t="shared" si="907"/>
        <v>0</v>
      </c>
      <c r="I587" s="112">
        <f t="shared" si="908"/>
        <v>1</v>
      </c>
      <c r="J587" s="111">
        <f t="shared" si="909"/>
        <v>1</v>
      </c>
      <c r="K587" s="111">
        <f t="shared" si="910"/>
        <v>0</v>
      </c>
      <c r="L587" s="111">
        <f t="shared" si="911"/>
        <v>1</v>
      </c>
      <c r="O587" s="125" t="str">
        <f t="shared" si="916"/>
        <v>OCI SE</v>
      </c>
      <c r="P587" s="126">
        <f t="shared" si="912"/>
        <v>3.9375</v>
      </c>
      <c r="Q587" s="111">
        <f t="shared" si="913"/>
        <v>1</v>
      </c>
      <c r="R587" s="126">
        <f t="shared" si="897"/>
        <v>3.9375</v>
      </c>
      <c r="S587" s="122"/>
      <c r="T587" s="125" t="str">
        <f t="shared" si="914"/>
        <v>OCI SE</v>
      </c>
      <c r="U587" s="126">
        <f t="shared" si="914"/>
        <v>3.9375</v>
      </c>
      <c r="V587" s="111">
        <f t="shared" si="914"/>
        <v>1</v>
      </c>
      <c r="W587" s="127">
        <f t="shared" si="899"/>
        <v>3.9375</v>
      </c>
      <c r="X587" s="148">
        <f t="shared" si="915"/>
        <v>52.5</v>
      </c>
      <c r="Y587" s="111"/>
      <c r="Z587" s="155" t="str">
        <f t="shared" si="901"/>
        <v/>
      </c>
      <c r="AN587" s="335"/>
      <c r="AO587" s="336">
        <f t="shared" si="919"/>
        <v>52.5</v>
      </c>
      <c r="AP587" s="452"/>
    </row>
    <row r="588" spans="2:43" ht="17.45" hidden="1" customHeight="1" outlineLevel="1">
      <c r="B588" s="1172"/>
      <c r="C588" s="110" t="s">
        <v>37</v>
      </c>
      <c r="D588" s="111">
        <f t="shared" si="904"/>
        <v>0</v>
      </c>
      <c r="E588" s="111">
        <f t="shared" si="905"/>
        <v>0</v>
      </c>
      <c r="F588" s="111">
        <f t="shared" si="906"/>
        <v>0</v>
      </c>
      <c r="G588" s="112" t="str">
        <f t="shared" si="920"/>
        <v/>
      </c>
      <c r="H588" s="112" t="str">
        <f t="shared" si="907"/>
        <v/>
      </c>
      <c r="I588" s="112" t="str">
        <f t="shared" si="908"/>
        <v/>
      </c>
      <c r="J588" s="111">
        <f t="shared" si="909"/>
        <v>0</v>
      </c>
      <c r="K588" s="111">
        <f t="shared" si="910"/>
        <v>0</v>
      </c>
      <c r="L588" s="111">
        <f t="shared" si="911"/>
        <v>0</v>
      </c>
      <c r="O588" s="125" t="str">
        <f t="shared" si="916"/>
        <v>청해소재</v>
      </c>
      <c r="P588" s="126">
        <f t="shared" si="912"/>
        <v>0</v>
      </c>
      <c r="Q588" s="111">
        <f t="shared" si="913"/>
        <v>0</v>
      </c>
      <c r="R588" s="126" t="str">
        <f t="shared" si="897"/>
        <v/>
      </c>
      <c r="S588" s="122"/>
      <c r="T588" s="125" t="str">
        <f t="shared" si="914"/>
        <v>청해소재</v>
      </c>
      <c r="U588" s="126">
        <f t="shared" si="914"/>
        <v>0</v>
      </c>
      <c r="V588" s="111">
        <f t="shared" si="914"/>
        <v>0</v>
      </c>
      <c r="W588" s="127" t="str">
        <f t="shared" si="899"/>
        <v/>
      </c>
      <c r="X588" s="148">
        <f t="shared" si="915"/>
        <v>0</v>
      </c>
      <c r="Y588" s="111"/>
      <c r="Z588" s="155" t="str">
        <f>IFERROR(IF(X588=0,"",X588/Y588),"")</f>
        <v/>
      </c>
      <c r="AN588" s="335"/>
      <c r="AO588" s="336">
        <f t="shared" si="919"/>
        <v>0</v>
      </c>
      <c r="AP588" s="452"/>
      <c r="AQ588" s="240" t="s">
        <v>157</v>
      </c>
    </row>
    <row r="589" spans="2:43" ht="17.45" hidden="1" customHeight="1" outlineLevel="1">
      <c r="B589" s="1172"/>
      <c r="C589" s="110" t="s">
        <v>365</v>
      </c>
      <c r="D589" s="111">
        <f t="shared" si="904"/>
        <v>0</v>
      </c>
      <c r="E589" s="111">
        <f t="shared" si="905"/>
        <v>0</v>
      </c>
      <c r="F589" s="111">
        <f t="shared" si="906"/>
        <v>0</v>
      </c>
      <c r="G589" s="112" t="str">
        <f t="shared" si="920"/>
        <v/>
      </c>
      <c r="H589" s="112" t="str">
        <f>IFERROR(E589/F589,"")</f>
        <v/>
      </c>
      <c r="I589" s="112" t="str">
        <f>IFERROR(G589+H589,"")</f>
        <v/>
      </c>
      <c r="J589" s="111">
        <f t="shared" si="909"/>
        <v>0</v>
      </c>
      <c r="K589" s="111">
        <f t="shared" si="910"/>
        <v>0</v>
      </c>
      <c r="L589" s="111">
        <f t="shared" si="911"/>
        <v>0</v>
      </c>
      <c r="O589" s="125" t="str">
        <f t="shared" si="916"/>
        <v>김천에너지</v>
      </c>
      <c r="P589" s="126">
        <f t="shared" si="912"/>
        <v>0</v>
      </c>
      <c r="Q589" s="111">
        <f t="shared" si="913"/>
        <v>0</v>
      </c>
      <c r="R589" s="126" t="str">
        <f t="shared" si="897"/>
        <v/>
      </c>
      <c r="S589" s="122"/>
      <c r="T589" s="125" t="str">
        <f t="shared" si="914"/>
        <v>김천에너지</v>
      </c>
      <c r="U589" s="126">
        <f t="shared" si="914"/>
        <v>0</v>
      </c>
      <c r="V589" s="111">
        <f t="shared" si="914"/>
        <v>0</v>
      </c>
      <c r="W589" s="127" t="str">
        <f t="shared" si="899"/>
        <v/>
      </c>
      <c r="X589" s="148">
        <f t="shared" si="915"/>
        <v>0</v>
      </c>
      <c r="Y589" s="111"/>
      <c r="Z589" s="155" t="str">
        <f t="shared" ref="Z589:Z598" si="921">IFERROR(IF(X589=0,"",X589/Y589),"")</f>
        <v/>
      </c>
      <c r="AN589" s="335"/>
      <c r="AO589" s="336">
        <f t="shared" si="919"/>
        <v>0</v>
      </c>
      <c r="AP589" s="452"/>
    </row>
    <row r="590" spans="2:43" ht="17.45" hidden="1" customHeight="1" outlineLevel="1">
      <c r="B590" s="1172"/>
      <c r="C590" s="110" t="s">
        <v>107</v>
      </c>
      <c r="D590" s="111">
        <f t="shared" si="904"/>
        <v>0</v>
      </c>
      <c r="E590" s="111">
        <f t="shared" si="905"/>
        <v>0</v>
      </c>
      <c r="F590" s="111">
        <f t="shared" si="906"/>
        <v>0</v>
      </c>
      <c r="G590" s="112" t="str">
        <f t="shared" si="920"/>
        <v/>
      </c>
      <c r="H590" s="112" t="str">
        <f t="shared" ref="H590:H593" si="922">IFERROR(E590/F590,"")</f>
        <v/>
      </c>
      <c r="I590" s="112" t="str">
        <f t="shared" ref="I590:I593" si="923">IFERROR(G590+H590,"")</f>
        <v/>
      </c>
      <c r="J590" s="111">
        <f t="shared" si="909"/>
        <v>0</v>
      </c>
      <c r="K590" s="111">
        <f t="shared" si="910"/>
        <v>0</v>
      </c>
      <c r="L590" s="111">
        <f t="shared" si="911"/>
        <v>0</v>
      </c>
      <c r="O590" s="125" t="str">
        <f t="shared" si="916"/>
        <v>대구염색공단</v>
      </c>
      <c r="P590" s="126">
        <f t="shared" si="912"/>
        <v>0</v>
      </c>
      <c r="Q590" s="111">
        <f t="shared" si="913"/>
        <v>0</v>
      </c>
      <c r="R590" s="126" t="str">
        <f t="shared" si="897"/>
        <v/>
      </c>
      <c r="S590" s="122"/>
      <c r="T590" s="125" t="str">
        <f t="shared" si="914"/>
        <v>대구염색공단</v>
      </c>
      <c r="U590" s="126">
        <f t="shared" si="914"/>
        <v>0</v>
      </c>
      <c r="V590" s="111">
        <f t="shared" si="914"/>
        <v>0</v>
      </c>
      <c r="W590" s="127" t="str">
        <f t="shared" si="899"/>
        <v/>
      </c>
      <c r="X590" s="148">
        <f t="shared" si="915"/>
        <v>0</v>
      </c>
      <c r="Y590" s="111"/>
      <c r="Z590" s="155" t="str">
        <f t="shared" si="921"/>
        <v/>
      </c>
      <c r="AN590" s="335"/>
      <c r="AO590" s="336">
        <f t="shared" si="919"/>
        <v>0</v>
      </c>
      <c r="AP590" s="452"/>
    </row>
    <row r="591" spans="2:43" ht="17.45" hidden="1" customHeight="1" outlineLevel="1">
      <c r="B591" s="1172"/>
      <c r="C591" s="110" t="s">
        <v>108</v>
      </c>
      <c r="D591" s="111">
        <f t="shared" si="904"/>
        <v>0</v>
      </c>
      <c r="E591" s="111">
        <f t="shared" si="905"/>
        <v>0</v>
      </c>
      <c r="F591" s="111">
        <f t="shared" si="906"/>
        <v>0</v>
      </c>
      <c r="G591" s="112" t="str">
        <f t="shared" si="920"/>
        <v/>
      </c>
      <c r="H591" s="112" t="str">
        <f t="shared" si="922"/>
        <v/>
      </c>
      <c r="I591" s="112" t="str">
        <f t="shared" si="923"/>
        <v/>
      </c>
      <c r="J591" s="111">
        <f t="shared" si="909"/>
        <v>0</v>
      </c>
      <c r="K591" s="111">
        <f t="shared" si="910"/>
        <v>0</v>
      </c>
      <c r="L591" s="111">
        <f t="shared" si="911"/>
        <v>0</v>
      </c>
      <c r="O591" s="125" t="str">
        <f t="shared" si="916"/>
        <v>SNNC(니켈)</v>
      </c>
      <c r="P591" s="126">
        <f t="shared" si="912"/>
        <v>0</v>
      </c>
      <c r="Q591" s="111">
        <f t="shared" si="913"/>
        <v>0</v>
      </c>
      <c r="R591" s="126" t="str">
        <f t="shared" si="897"/>
        <v/>
      </c>
      <c r="S591" s="122"/>
      <c r="T591" s="125" t="str">
        <f t="shared" si="914"/>
        <v>SNNC(니켈)</v>
      </c>
      <c r="U591" s="126">
        <f t="shared" si="914"/>
        <v>0</v>
      </c>
      <c r="V591" s="111">
        <f t="shared" si="914"/>
        <v>0</v>
      </c>
      <c r="W591" s="127" t="str">
        <f t="shared" si="899"/>
        <v/>
      </c>
      <c r="X591" s="148">
        <f t="shared" si="915"/>
        <v>0</v>
      </c>
      <c r="Y591" s="111"/>
      <c r="Z591" s="155" t="str">
        <f t="shared" si="921"/>
        <v/>
      </c>
      <c r="AN591" s="335"/>
      <c r="AO591" s="336">
        <f t="shared" si="919"/>
        <v>0</v>
      </c>
      <c r="AP591" s="452"/>
    </row>
    <row r="592" spans="2:43" ht="17.45" hidden="1" customHeight="1" outlineLevel="1">
      <c r="B592" s="1172"/>
      <c r="C592" s="110" t="s">
        <v>130</v>
      </c>
      <c r="D592" s="111">
        <f t="shared" si="904"/>
        <v>0</v>
      </c>
      <c r="E592" s="111">
        <f t="shared" si="905"/>
        <v>0</v>
      </c>
      <c r="F592" s="111">
        <f t="shared" si="906"/>
        <v>0</v>
      </c>
      <c r="G592" s="112" t="str">
        <f t="shared" si="920"/>
        <v/>
      </c>
      <c r="H592" s="112" t="str">
        <f t="shared" si="922"/>
        <v/>
      </c>
      <c r="I592" s="112" t="str">
        <f t="shared" si="923"/>
        <v/>
      </c>
      <c r="J592" s="111">
        <f t="shared" si="909"/>
        <v>0</v>
      </c>
      <c r="K592" s="111">
        <f t="shared" si="910"/>
        <v>0</v>
      </c>
      <c r="L592" s="111">
        <f t="shared" si="911"/>
        <v>0</v>
      </c>
      <c r="O592" s="125" t="str">
        <f t="shared" si="916"/>
        <v>SK-N(고려시멘트)</v>
      </c>
      <c r="P592" s="126">
        <f t="shared" si="912"/>
        <v>0</v>
      </c>
      <c r="Q592" s="111">
        <f t="shared" si="913"/>
        <v>0</v>
      </c>
      <c r="R592" s="126" t="str">
        <f t="shared" si="897"/>
        <v/>
      </c>
      <c r="S592" s="122"/>
      <c r="T592" s="125" t="str">
        <f t="shared" si="914"/>
        <v>SK-N(고려시멘트)</v>
      </c>
      <c r="U592" s="126">
        <f t="shared" si="914"/>
        <v>0</v>
      </c>
      <c r="V592" s="111">
        <f t="shared" si="914"/>
        <v>0</v>
      </c>
      <c r="W592" s="127" t="str">
        <f t="shared" si="899"/>
        <v/>
      </c>
      <c r="X592" s="148">
        <f t="shared" si="915"/>
        <v>0</v>
      </c>
      <c r="Y592" s="111"/>
      <c r="Z592" s="155" t="str">
        <f t="shared" si="921"/>
        <v/>
      </c>
      <c r="AN592" s="335"/>
      <c r="AO592" s="336">
        <f t="shared" si="919"/>
        <v>0</v>
      </c>
      <c r="AP592" s="452"/>
    </row>
    <row r="593" spans="2:43" ht="17.45" hidden="1" customHeight="1" outlineLevel="1">
      <c r="B593" s="1172"/>
      <c r="C593" s="110" t="s">
        <v>68</v>
      </c>
      <c r="D593" s="111">
        <f t="shared" si="904"/>
        <v>0</v>
      </c>
      <c r="E593" s="111">
        <f t="shared" si="905"/>
        <v>55000</v>
      </c>
      <c r="F593" s="111">
        <f t="shared" si="906"/>
        <v>55000</v>
      </c>
      <c r="G593" s="112">
        <f t="shared" si="920"/>
        <v>0</v>
      </c>
      <c r="H593" s="112">
        <f t="shared" si="922"/>
        <v>1</v>
      </c>
      <c r="I593" s="112">
        <f t="shared" si="923"/>
        <v>1</v>
      </c>
      <c r="J593" s="111">
        <f t="shared" si="909"/>
        <v>0</v>
      </c>
      <c r="K593" s="111">
        <f t="shared" si="910"/>
        <v>1</v>
      </c>
      <c r="L593" s="111">
        <f t="shared" si="911"/>
        <v>1</v>
      </c>
      <c r="O593" s="125" t="str">
        <f t="shared" si="916"/>
        <v>SNNC</v>
      </c>
      <c r="P593" s="126">
        <f t="shared" si="912"/>
        <v>12.229166666671517</v>
      </c>
      <c r="Q593" s="111">
        <f t="shared" si="913"/>
        <v>1</v>
      </c>
      <c r="R593" s="126">
        <f t="shared" si="897"/>
        <v>12.229166666671517</v>
      </c>
      <c r="S593" s="122"/>
      <c r="T593" s="125" t="str">
        <f t="shared" si="914"/>
        <v>SNNC</v>
      </c>
      <c r="U593" s="126">
        <f t="shared" si="914"/>
        <v>12.229166666671517</v>
      </c>
      <c r="V593" s="111">
        <f t="shared" si="914"/>
        <v>1</v>
      </c>
      <c r="W593" s="127">
        <f t="shared" si="899"/>
        <v>12.229166666671517</v>
      </c>
      <c r="X593" s="148">
        <f t="shared" si="915"/>
        <v>55</v>
      </c>
      <c r="Y593" s="111"/>
      <c r="Z593" s="155" t="str">
        <f t="shared" si="921"/>
        <v/>
      </c>
      <c r="AN593" s="335"/>
      <c r="AO593" s="336">
        <f t="shared" si="919"/>
        <v>55</v>
      </c>
      <c r="AP593" s="452"/>
    </row>
    <row r="594" spans="2:43" ht="17.45" hidden="1" customHeight="1" outlineLevel="1" thickBot="1">
      <c r="B594" s="1172"/>
      <c r="C594" s="113" t="s">
        <v>61</v>
      </c>
      <c r="D594" s="114">
        <f>SUM(D579:D593)</f>
        <v>52500</v>
      </c>
      <c r="E594" s="179">
        <f>SUM(E579:E593)</f>
        <v>55000</v>
      </c>
      <c r="F594" s="114">
        <f>SUM(F579:F593)</f>
        <v>107500</v>
      </c>
      <c r="G594" s="115">
        <f t="shared" si="920"/>
        <v>0.48837209302325579</v>
      </c>
      <c r="H594" s="185">
        <f>IFERROR(E594/F594,"")</f>
        <v>0.51162790697674421</v>
      </c>
      <c r="I594" s="115">
        <f>IFERROR(G594+H594,"")</f>
        <v>1</v>
      </c>
      <c r="J594" s="114">
        <f t="shared" ref="J594:L594" si="924">SUM(J579:J593)</f>
        <v>1</v>
      </c>
      <c r="K594" s="114">
        <f t="shared" si="924"/>
        <v>1</v>
      </c>
      <c r="L594" s="114">
        <f t="shared" si="924"/>
        <v>2</v>
      </c>
      <c r="O594" s="128" t="s">
        <v>61</v>
      </c>
      <c r="P594" s="129">
        <f>SUM(P579:P593)</f>
        <v>16.166666666671517</v>
      </c>
      <c r="Q594" s="114">
        <f>SUM(Q579:Q593)</f>
        <v>2</v>
      </c>
      <c r="R594" s="129">
        <f t="shared" si="897"/>
        <v>8.0833333333357587</v>
      </c>
      <c r="S594" s="122"/>
      <c r="T594" s="128" t="s">
        <v>61</v>
      </c>
      <c r="U594" s="129">
        <f>SUM(U579:U593)</f>
        <v>16.166666666671517</v>
      </c>
      <c r="V594" s="114">
        <f>SUM(V579:V593)</f>
        <v>2</v>
      </c>
      <c r="W594" s="130">
        <f>IFERROR(U594/V594,"")</f>
        <v>8.0833333333357587</v>
      </c>
      <c r="X594" s="179">
        <f>SUM(X579:X593)</f>
        <v>107.5</v>
      </c>
      <c r="Y594" s="114">
        <f>SUM(Y579:Y593)</f>
        <v>0</v>
      </c>
      <c r="Z594" s="176" t="str">
        <f t="shared" si="921"/>
        <v/>
      </c>
      <c r="AN594" s="341">
        <f>SUM(AN579:AN593)</f>
        <v>0</v>
      </c>
      <c r="AO594" s="341">
        <f>SUM(AO579:AO593)</f>
        <v>107.5</v>
      </c>
      <c r="AP594" s="455"/>
    </row>
    <row r="595" spans="2:43" ht="17.45" hidden="1" customHeight="1" outlineLevel="1" thickBot="1">
      <c r="B595" s="1106" t="s">
        <v>57</v>
      </c>
      <c r="C595" s="1106"/>
      <c r="D595" s="147">
        <f>SUM(D594,D578)</f>
        <v>52500</v>
      </c>
      <c r="E595" s="182">
        <f>SUM(E594,E578)</f>
        <v>110001</v>
      </c>
      <c r="F595" s="149">
        <f>SUM(F594,F578)</f>
        <v>162501</v>
      </c>
      <c r="G595" s="183">
        <f t="shared" si="920"/>
        <v>0.32307493492347739</v>
      </c>
      <c r="H595" s="186">
        <f>IFERROR(E595/F595,"")</f>
        <v>0.67692506507652261</v>
      </c>
      <c r="I595" s="184">
        <f>IFERROR(G595+H595,"")</f>
        <v>1</v>
      </c>
      <c r="J595" s="116">
        <f t="shared" ref="J595:L595" si="925">SUM(J594,J578)</f>
        <v>1</v>
      </c>
      <c r="K595" s="116">
        <f t="shared" si="925"/>
        <v>2</v>
      </c>
      <c r="L595" s="116">
        <f t="shared" si="925"/>
        <v>3</v>
      </c>
      <c r="O595" s="131" t="s">
        <v>79</v>
      </c>
      <c r="P595" s="132">
        <f>SUM(P594,P578)</f>
        <v>29.729166666671517</v>
      </c>
      <c r="Q595" s="116">
        <f>SUM(Q594,Q578)</f>
        <v>3</v>
      </c>
      <c r="R595" s="132">
        <f>IFERROR(P595/Q595,"")</f>
        <v>9.9097222222238397</v>
      </c>
      <c r="S595" s="122"/>
      <c r="T595" s="131" t="s">
        <v>76</v>
      </c>
      <c r="U595" s="132">
        <f>SUM(U594,U578)</f>
        <v>29.729166666671517</v>
      </c>
      <c r="V595" s="147">
        <f>SUM(V594,V578)</f>
        <v>3</v>
      </c>
      <c r="W595" s="173">
        <f t="shared" ref="W595:W596" si="926">IFERROR(U595/V595,"")</f>
        <v>9.9097222222238397</v>
      </c>
      <c r="X595" s="182">
        <f>SUM(X578,X594)</f>
        <v>162.501</v>
      </c>
      <c r="Y595" s="175">
        <f>SUM(Y578,Y594)</f>
        <v>0</v>
      </c>
      <c r="Z595" s="178" t="str">
        <f t="shared" si="921"/>
        <v/>
      </c>
      <c r="AN595" s="342">
        <f>SUM(AN578,AN594)</f>
        <v>0</v>
      </c>
      <c r="AO595" s="342">
        <f>SUM(AO578,AO594)</f>
        <v>162.501</v>
      </c>
      <c r="AP595" s="456"/>
    </row>
    <row r="596" spans="2:43" ht="17.45" hidden="1" customHeight="1" outlineLevel="1">
      <c r="D596" s="343" t="str">
        <f>IF(D595=L68,"","CHECK")</f>
        <v/>
      </c>
      <c r="E596" s="343" t="str">
        <f>IF(E595=M68,"","CHECK")</f>
        <v/>
      </c>
      <c r="F596" s="343" t="str">
        <f>IF(F595=N68,"","CHECK")</f>
        <v/>
      </c>
      <c r="O596" s="134" t="s">
        <v>77</v>
      </c>
      <c r="P596" s="126"/>
      <c r="Q596" s="126"/>
      <c r="R596" s="126" t="str">
        <f>IFERROR(P596/Q596,"")</f>
        <v/>
      </c>
      <c r="S596" s="122"/>
      <c r="T596" s="134" t="s">
        <v>77</v>
      </c>
      <c r="U596" s="126"/>
      <c r="V596" s="111"/>
      <c r="W596" s="135" t="str">
        <f t="shared" si="926"/>
        <v/>
      </c>
      <c r="X596" s="180"/>
      <c r="Y596" s="126"/>
      <c r="Z596" s="181" t="str">
        <f t="shared" si="921"/>
        <v/>
      </c>
      <c r="AN596" s="335"/>
      <c r="AO596" s="336">
        <f t="shared" ref="AO596:AO597" si="927">X596-Y596</f>
        <v>0</v>
      </c>
      <c r="AP596" s="452"/>
    </row>
    <row r="597" spans="2:43" ht="17.45" hidden="1" customHeight="1" outlineLevel="1">
      <c r="T597" s="345" t="s">
        <v>109</v>
      </c>
      <c r="U597" s="345"/>
      <c r="V597" s="328"/>
      <c r="W597" s="355"/>
      <c r="X597" s="355">
        <f>G612</f>
        <v>20.35736</v>
      </c>
      <c r="Y597" s="347"/>
      <c r="Z597" s="155" t="str">
        <f t="shared" si="921"/>
        <v/>
      </c>
      <c r="AN597" s="335"/>
      <c r="AO597" s="336">
        <f t="shared" si="927"/>
        <v>20.35736</v>
      </c>
      <c r="AP597" s="452"/>
    </row>
    <row r="598" spans="2:43" ht="17.45" hidden="1" customHeight="1" outlineLevel="1">
      <c r="B598" s="1173" t="s">
        <v>80</v>
      </c>
      <c r="C598" s="1177" t="s">
        <v>52</v>
      </c>
      <c r="D598" s="1177"/>
      <c r="E598" s="1177"/>
      <c r="F598" s="1177" t="s">
        <v>73</v>
      </c>
      <c r="G598" s="1177" t="s">
        <v>75</v>
      </c>
      <c r="H598" s="1177" t="s">
        <v>95</v>
      </c>
      <c r="I598" s="119"/>
      <c r="J598" s="1173" t="s">
        <v>132</v>
      </c>
      <c r="K598" s="1174" t="s">
        <v>124</v>
      </c>
      <c r="L598" s="1174"/>
      <c r="M598" s="1174"/>
      <c r="N598" s="1174" t="s">
        <v>75</v>
      </c>
      <c r="O598" s="1174"/>
      <c r="P598" s="1174"/>
      <c r="Q598" s="1175" t="s">
        <v>72</v>
      </c>
      <c r="R598" s="1175" t="s">
        <v>73</v>
      </c>
      <c r="S598" s="1175" t="s">
        <v>74</v>
      </c>
      <c r="T598" s="262" t="s">
        <v>110</v>
      </c>
      <c r="U598" s="262"/>
      <c r="V598" s="334"/>
      <c r="W598" s="356"/>
      <c r="X598" s="356">
        <f>SUM(X595,X596,X597)</f>
        <v>182.85836</v>
      </c>
      <c r="Y598" s="354">
        <f>SUM(Y595,Y597)</f>
        <v>0</v>
      </c>
      <c r="Z598" s="158" t="str">
        <f t="shared" si="921"/>
        <v/>
      </c>
      <c r="AN598" s="342">
        <f>SUM(AN595,AN597)</f>
        <v>0</v>
      </c>
      <c r="AO598" s="342">
        <f>SUM(AO595,AO597)</f>
        <v>182.85836</v>
      </c>
      <c r="AP598" s="456"/>
    </row>
    <row r="599" spans="2:43" ht="17.45" hidden="1" customHeight="1" outlineLevel="1">
      <c r="B599" s="1173"/>
      <c r="C599" s="628" t="s">
        <v>55</v>
      </c>
      <c r="D599" s="628" t="s">
        <v>56</v>
      </c>
      <c r="E599" s="628" t="s">
        <v>57</v>
      </c>
      <c r="F599" s="1177"/>
      <c r="G599" s="1177"/>
      <c r="H599" s="1177"/>
      <c r="I599" s="119"/>
      <c r="J599" s="1173"/>
      <c r="K599" s="627" t="s">
        <v>125</v>
      </c>
      <c r="L599" s="627" t="s">
        <v>126</v>
      </c>
      <c r="M599" s="627" t="s">
        <v>123</v>
      </c>
      <c r="N599" s="627" t="s">
        <v>125</v>
      </c>
      <c r="O599" s="627" t="s">
        <v>126</v>
      </c>
      <c r="P599" s="627" t="s">
        <v>123</v>
      </c>
      <c r="Q599" s="1176"/>
      <c r="R599" s="1176"/>
      <c r="S599" s="1176"/>
    </row>
    <row r="600" spans="2:43" ht="17.45" hidden="1" customHeight="1" outlineLevel="1">
      <c r="B600" s="139" t="s">
        <v>81</v>
      </c>
      <c r="C600" s="111">
        <f t="shared" ref="C600:C610" si="928">SUMIF($R$61:$R$68,B600,$L$61:$L$68)</f>
        <v>52500</v>
      </c>
      <c r="D600" s="111">
        <f t="shared" ref="D600:D610" si="929">SUMIF($R$61:$R$68,B600,$M$61:$M$68)</f>
        <v>55001</v>
      </c>
      <c r="E600" s="111">
        <f>C600+D600</f>
        <v>107501</v>
      </c>
      <c r="F600" s="111">
        <f t="shared" ref="F600:F610" si="930">SUMIF($R$61:$R$68,B600,$AZ$61:$AZ$68)</f>
        <v>2</v>
      </c>
      <c r="G600" s="111">
        <f>E600/1000</f>
        <v>107.501</v>
      </c>
      <c r="H600" s="111"/>
      <c r="I600" s="119"/>
      <c r="J600" s="139" t="s">
        <v>117</v>
      </c>
      <c r="K600" s="111">
        <f t="shared" ref="K600:K607" si="931">SUMIF($Q$61:$Q$68,J600,$L$61:$L$68)</f>
        <v>0</v>
      </c>
      <c r="L600" s="111">
        <f t="shared" ref="L600:L607" si="932">SUMIF($Q$61:$Q$68,J600,$M$61:$M$68)</f>
        <v>0</v>
      </c>
      <c r="M600" s="202">
        <f>K600+L600</f>
        <v>0</v>
      </c>
      <c r="N600" s="202">
        <f>K600/1000</f>
        <v>0</v>
      </c>
      <c r="O600" s="202">
        <f>L600/1000</f>
        <v>0</v>
      </c>
      <c r="P600" s="202">
        <f>N600+O600</f>
        <v>0</v>
      </c>
      <c r="Q600" s="358">
        <f t="shared" ref="Q600:Q607" si="933">SUMIF($Q$61:$Q$68,J600,$I$61:$I$68)</f>
        <v>0</v>
      </c>
      <c r="R600" s="111">
        <f t="shared" ref="R600:R607" si="934">SUMIF($Q$61:$Q$68,J600,$AZ$61:$AZ$68)</f>
        <v>0</v>
      </c>
      <c r="S600" s="126" t="str">
        <f>IFERROR(Q600/R600,"")</f>
        <v/>
      </c>
    </row>
    <row r="601" spans="2:43" ht="17.45" hidden="1" customHeight="1" outlineLevel="1">
      <c r="B601" s="139" t="s">
        <v>82</v>
      </c>
      <c r="C601" s="111">
        <f t="shared" si="928"/>
        <v>0</v>
      </c>
      <c r="D601" s="111">
        <f t="shared" si="929"/>
        <v>55000</v>
      </c>
      <c r="E601" s="111">
        <f t="shared" ref="E601:E610" si="935">C601+D601</f>
        <v>55000</v>
      </c>
      <c r="F601" s="111">
        <f t="shared" si="930"/>
        <v>1</v>
      </c>
      <c r="G601" s="111">
        <f t="shared" ref="G601:G610" si="936">E601/1000</f>
        <v>55</v>
      </c>
      <c r="H601" s="111"/>
      <c r="I601" s="119"/>
      <c r="J601" s="139" t="s">
        <v>118</v>
      </c>
      <c r="K601" s="111">
        <f t="shared" si="931"/>
        <v>52500</v>
      </c>
      <c r="L601" s="111">
        <f t="shared" si="932"/>
        <v>0</v>
      </c>
      <c r="M601" s="202">
        <f t="shared" ref="M601:M607" si="937">K601+L601</f>
        <v>52500</v>
      </c>
      <c r="N601" s="202">
        <f t="shared" ref="N601:O607" si="938">K601/1000</f>
        <v>52.5</v>
      </c>
      <c r="O601" s="202">
        <f t="shared" si="938"/>
        <v>0</v>
      </c>
      <c r="P601" s="202">
        <f t="shared" ref="P601:P607" si="939">N601+O601</f>
        <v>52.5</v>
      </c>
      <c r="Q601" s="358">
        <f t="shared" si="933"/>
        <v>3.9375</v>
      </c>
      <c r="R601" s="111">
        <f t="shared" si="934"/>
        <v>1</v>
      </c>
      <c r="S601" s="126">
        <f t="shared" ref="S601:S607" si="940">IFERROR(Q601/R601,"")</f>
        <v>3.9375</v>
      </c>
    </row>
    <row r="602" spans="2:43" ht="17.45" hidden="1" customHeight="1" outlineLevel="1">
      <c r="B602" s="139" t="s">
        <v>83</v>
      </c>
      <c r="C602" s="111">
        <f t="shared" si="928"/>
        <v>0</v>
      </c>
      <c r="D602" s="111">
        <f t="shared" si="929"/>
        <v>0</v>
      </c>
      <c r="E602" s="111">
        <f t="shared" si="935"/>
        <v>0</v>
      </c>
      <c r="F602" s="111">
        <f t="shared" si="930"/>
        <v>0</v>
      </c>
      <c r="G602" s="111">
        <f t="shared" si="936"/>
        <v>0</v>
      </c>
      <c r="H602" s="111"/>
      <c r="I602" s="119"/>
      <c r="J602" s="139" t="s">
        <v>119</v>
      </c>
      <c r="K602" s="111">
        <f t="shared" si="931"/>
        <v>0</v>
      </c>
      <c r="L602" s="111">
        <f t="shared" si="932"/>
        <v>0</v>
      </c>
      <c r="M602" s="202">
        <f t="shared" si="937"/>
        <v>0</v>
      </c>
      <c r="N602" s="202">
        <f t="shared" si="938"/>
        <v>0</v>
      </c>
      <c r="O602" s="202">
        <f t="shared" si="938"/>
        <v>0</v>
      </c>
      <c r="P602" s="202">
        <f t="shared" si="939"/>
        <v>0</v>
      </c>
      <c r="Q602" s="358">
        <f t="shared" si="933"/>
        <v>0</v>
      </c>
      <c r="R602" s="111">
        <f t="shared" si="934"/>
        <v>0</v>
      </c>
      <c r="S602" s="126" t="str">
        <f t="shared" si="940"/>
        <v/>
      </c>
    </row>
    <row r="603" spans="2:43" ht="17.45" hidden="1" customHeight="1" outlineLevel="1">
      <c r="B603" s="139" t="s">
        <v>84</v>
      </c>
      <c r="C603" s="111">
        <f t="shared" si="928"/>
        <v>0</v>
      </c>
      <c r="D603" s="111">
        <f t="shared" si="929"/>
        <v>0</v>
      </c>
      <c r="E603" s="111">
        <f t="shared" si="935"/>
        <v>0</v>
      </c>
      <c r="F603" s="111">
        <f t="shared" si="930"/>
        <v>0</v>
      </c>
      <c r="G603" s="111">
        <f t="shared" si="936"/>
        <v>0</v>
      </c>
      <c r="H603" s="111"/>
      <c r="I603" s="119"/>
      <c r="J603" s="139" t="s">
        <v>113</v>
      </c>
      <c r="K603" s="111">
        <f t="shared" si="931"/>
        <v>0</v>
      </c>
      <c r="L603" s="111">
        <f t="shared" si="932"/>
        <v>0</v>
      </c>
      <c r="M603" s="202">
        <f t="shared" si="937"/>
        <v>0</v>
      </c>
      <c r="N603" s="202">
        <f t="shared" si="938"/>
        <v>0</v>
      </c>
      <c r="O603" s="202">
        <f t="shared" si="938"/>
        <v>0</v>
      </c>
      <c r="P603" s="202">
        <f t="shared" si="939"/>
        <v>0</v>
      </c>
      <c r="Q603" s="358">
        <f t="shared" si="933"/>
        <v>0</v>
      </c>
      <c r="R603" s="111">
        <f t="shared" si="934"/>
        <v>0</v>
      </c>
      <c r="S603" s="126" t="str">
        <f t="shared" si="940"/>
        <v/>
      </c>
      <c r="T603" s="57"/>
      <c r="U603" s="57"/>
      <c r="V603" s="57"/>
      <c r="W603" s="57"/>
      <c r="X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  <c r="AN603" s="57"/>
      <c r="AO603" s="57"/>
      <c r="AP603" s="57"/>
      <c r="AQ603" s="57"/>
    </row>
    <row r="604" spans="2:43" ht="17.45" hidden="1" customHeight="1" outlineLevel="1">
      <c r="B604" s="139" t="s">
        <v>223</v>
      </c>
      <c r="C604" s="111">
        <f t="shared" si="928"/>
        <v>0</v>
      </c>
      <c r="D604" s="111">
        <f t="shared" si="929"/>
        <v>0</v>
      </c>
      <c r="E604" s="111">
        <f t="shared" si="935"/>
        <v>0</v>
      </c>
      <c r="F604" s="111">
        <f t="shared" si="930"/>
        <v>0</v>
      </c>
      <c r="G604" s="111">
        <f t="shared" si="936"/>
        <v>0</v>
      </c>
      <c r="H604" s="111"/>
      <c r="I604" s="119"/>
      <c r="J604" s="139" t="s">
        <v>120</v>
      </c>
      <c r="K604" s="111">
        <f t="shared" si="931"/>
        <v>0</v>
      </c>
      <c r="L604" s="111">
        <f t="shared" si="932"/>
        <v>0</v>
      </c>
      <c r="M604" s="202">
        <f t="shared" si="937"/>
        <v>0</v>
      </c>
      <c r="N604" s="202">
        <f t="shared" si="938"/>
        <v>0</v>
      </c>
      <c r="O604" s="202">
        <f t="shared" si="938"/>
        <v>0</v>
      </c>
      <c r="P604" s="202">
        <f t="shared" si="939"/>
        <v>0</v>
      </c>
      <c r="Q604" s="358">
        <f t="shared" si="933"/>
        <v>0</v>
      </c>
      <c r="R604" s="111">
        <f t="shared" si="934"/>
        <v>0</v>
      </c>
      <c r="S604" s="126" t="str">
        <f t="shared" si="940"/>
        <v/>
      </c>
      <c r="T604" s="57"/>
      <c r="U604" s="57"/>
      <c r="V604" s="57"/>
      <c r="W604" s="57"/>
      <c r="X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  <c r="AN604" s="57"/>
      <c r="AO604" s="57"/>
      <c r="AP604" s="57"/>
      <c r="AQ604" s="57"/>
    </row>
    <row r="605" spans="2:43" ht="17.45" hidden="1" customHeight="1" outlineLevel="1">
      <c r="B605" s="139" t="s">
        <v>158</v>
      </c>
      <c r="C605" s="111">
        <f t="shared" si="928"/>
        <v>0</v>
      </c>
      <c r="D605" s="111">
        <f t="shared" si="929"/>
        <v>0</v>
      </c>
      <c r="E605" s="111">
        <f t="shared" si="935"/>
        <v>0</v>
      </c>
      <c r="F605" s="111">
        <f t="shared" si="930"/>
        <v>0</v>
      </c>
      <c r="G605" s="111">
        <f t="shared" si="936"/>
        <v>0</v>
      </c>
      <c r="H605" s="111"/>
      <c r="I605" s="119"/>
      <c r="J605" s="139" t="s">
        <v>121</v>
      </c>
      <c r="K605" s="111">
        <f t="shared" si="931"/>
        <v>0</v>
      </c>
      <c r="L605" s="111">
        <f t="shared" si="932"/>
        <v>0</v>
      </c>
      <c r="M605" s="202">
        <f t="shared" si="937"/>
        <v>0</v>
      </c>
      <c r="N605" s="202">
        <f t="shared" si="938"/>
        <v>0</v>
      </c>
      <c r="O605" s="202">
        <f t="shared" si="938"/>
        <v>0</v>
      </c>
      <c r="P605" s="202">
        <f t="shared" si="939"/>
        <v>0</v>
      </c>
      <c r="Q605" s="358">
        <f t="shared" si="933"/>
        <v>0</v>
      </c>
      <c r="R605" s="111">
        <f t="shared" si="934"/>
        <v>0</v>
      </c>
      <c r="S605" s="126" t="str">
        <f t="shared" si="940"/>
        <v/>
      </c>
      <c r="T605" s="57"/>
      <c r="U605" s="57"/>
      <c r="V605" s="57"/>
      <c r="W605" s="57"/>
      <c r="X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  <c r="AN605" s="57"/>
      <c r="AO605" s="57"/>
      <c r="AP605" s="57"/>
      <c r="AQ605" s="57"/>
    </row>
    <row r="606" spans="2:43" ht="17.45" hidden="1" customHeight="1" outlineLevel="1">
      <c r="B606" s="139" t="s">
        <v>85</v>
      </c>
      <c r="C606" s="111">
        <f t="shared" si="928"/>
        <v>0</v>
      </c>
      <c r="D606" s="111">
        <f t="shared" si="929"/>
        <v>0</v>
      </c>
      <c r="E606" s="111">
        <f t="shared" si="935"/>
        <v>0</v>
      </c>
      <c r="F606" s="111">
        <f t="shared" si="930"/>
        <v>0</v>
      </c>
      <c r="G606" s="111">
        <f t="shared" si="936"/>
        <v>0</v>
      </c>
      <c r="H606" s="111"/>
      <c r="I606" s="119"/>
      <c r="J606" s="139" t="s">
        <v>122</v>
      </c>
      <c r="K606" s="111">
        <f t="shared" si="931"/>
        <v>0</v>
      </c>
      <c r="L606" s="111">
        <f t="shared" si="932"/>
        <v>110001</v>
      </c>
      <c r="M606" s="202">
        <f t="shared" si="937"/>
        <v>110001</v>
      </c>
      <c r="N606" s="202">
        <f t="shared" si="938"/>
        <v>0</v>
      </c>
      <c r="O606" s="202">
        <f t="shared" si="938"/>
        <v>110.001</v>
      </c>
      <c r="P606" s="202">
        <f t="shared" si="939"/>
        <v>110.001</v>
      </c>
      <c r="Q606" s="358">
        <f t="shared" si="933"/>
        <v>25.791666666671517</v>
      </c>
      <c r="R606" s="111">
        <f t="shared" si="934"/>
        <v>2</v>
      </c>
      <c r="S606" s="126">
        <f t="shared" si="940"/>
        <v>12.895833333335759</v>
      </c>
      <c r="T606" s="57"/>
      <c r="U606" s="57"/>
      <c r="V606" s="57"/>
      <c r="W606" s="57"/>
      <c r="X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  <c r="AN606" s="57"/>
      <c r="AO606" s="57"/>
      <c r="AP606" s="57"/>
      <c r="AQ606" s="57"/>
    </row>
    <row r="607" spans="2:43" ht="17.45" hidden="1" customHeight="1" outlineLevel="1">
      <c r="B607" s="139" t="s">
        <v>96</v>
      </c>
      <c r="C607" s="111">
        <f t="shared" si="928"/>
        <v>0</v>
      </c>
      <c r="D607" s="111">
        <f t="shared" si="929"/>
        <v>0</v>
      </c>
      <c r="E607" s="111">
        <f t="shared" si="935"/>
        <v>0</v>
      </c>
      <c r="F607" s="111">
        <f t="shared" si="930"/>
        <v>0</v>
      </c>
      <c r="G607" s="111">
        <f t="shared" si="936"/>
        <v>0</v>
      </c>
      <c r="H607" s="142" t="s">
        <v>30</v>
      </c>
      <c r="I607" s="119"/>
      <c r="J607" s="139" t="s">
        <v>162</v>
      </c>
      <c r="K607" s="111">
        <f t="shared" si="931"/>
        <v>0</v>
      </c>
      <c r="L607" s="111">
        <f t="shared" si="932"/>
        <v>0</v>
      </c>
      <c r="M607" s="202">
        <f t="shared" si="937"/>
        <v>0</v>
      </c>
      <c r="N607" s="202">
        <f t="shared" si="938"/>
        <v>0</v>
      </c>
      <c r="O607" s="202">
        <f t="shared" si="938"/>
        <v>0</v>
      </c>
      <c r="P607" s="202">
        <f t="shared" si="939"/>
        <v>0</v>
      </c>
      <c r="Q607" s="358">
        <f t="shared" si="933"/>
        <v>0</v>
      </c>
      <c r="R607" s="111">
        <f t="shared" si="934"/>
        <v>0</v>
      </c>
      <c r="S607" s="126" t="str">
        <f t="shared" si="940"/>
        <v/>
      </c>
      <c r="T607" s="57"/>
      <c r="U607" s="57"/>
      <c r="V607" s="57"/>
      <c r="W607" s="57"/>
      <c r="X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  <c r="AN607" s="57"/>
      <c r="AO607" s="57"/>
      <c r="AP607" s="57"/>
      <c r="AQ607" s="57"/>
    </row>
    <row r="608" spans="2:43" ht="17.45" hidden="1" customHeight="1" outlineLevel="1">
      <c r="B608" s="139" t="s">
        <v>86</v>
      </c>
      <c r="C608" s="111">
        <f t="shared" si="928"/>
        <v>0</v>
      </c>
      <c r="D608" s="111">
        <f t="shared" si="929"/>
        <v>0</v>
      </c>
      <c r="E608" s="111">
        <f t="shared" si="935"/>
        <v>0</v>
      </c>
      <c r="F608" s="111">
        <f t="shared" si="930"/>
        <v>0</v>
      </c>
      <c r="G608" s="111">
        <f t="shared" si="936"/>
        <v>0</v>
      </c>
      <c r="H608" s="111"/>
      <c r="I608" s="119"/>
      <c r="J608" s="232" t="s">
        <v>123</v>
      </c>
      <c r="K608" s="203">
        <f>SUM(K600:K607)</f>
        <v>52500</v>
      </c>
      <c r="L608" s="203">
        <f t="shared" ref="L608:M608" si="941">SUM(L600:L607)</f>
        <v>110001</v>
      </c>
      <c r="M608" s="203">
        <f t="shared" si="941"/>
        <v>162501</v>
      </c>
      <c r="N608" s="203">
        <f>SUM(N600:N607)</f>
        <v>52.5</v>
      </c>
      <c r="O608" s="203">
        <f t="shared" ref="O608:P608" si="942">SUM(O600:O607)</f>
        <v>110.001</v>
      </c>
      <c r="P608" s="203">
        <f t="shared" si="942"/>
        <v>162.501</v>
      </c>
      <c r="Q608" s="359">
        <f>SUM(Q600:Q607)</f>
        <v>29.729166666671517</v>
      </c>
      <c r="R608" s="359">
        <f>SUM(R600:R607)</f>
        <v>3</v>
      </c>
      <c r="S608" s="359">
        <f>IFERROR(Q608/R608,"")</f>
        <v>9.9097222222238397</v>
      </c>
      <c r="T608" s="57"/>
      <c r="U608" s="57"/>
      <c r="V608" s="57"/>
      <c r="W608" s="57"/>
      <c r="X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  <c r="AN608" s="57"/>
      <c r="AO608" s="57"/>
      <c r="AP608" s="57"/>
      <c r="AQ608" s="57"/>
    </row>
    <row r="609" spans="2:43" ht="17.45" hidden="1" customHeight="1" outlineLevel="1">
      <c r="B609" s="139" t="s">
        <v>169</v>
      </c>
      <c r="C609" s="111">
        <f t="shared" si="928"/>
        <v>0</v>
      </c>
      <c r="D609" s="111">
        <f t="shared" si="929"/>
        <v>0</v>
      </c>
      <c r="E609" s="111">
        <f t="shared" si="935"/>
        <v>0</v>
      </c>
      <c r="F609" s="111">
        <f t="shared" si="930"/>
        <v>0</v>
      </c>
      <c r="G609" s="168">
        <f t="shared" si="936"/>
        <v>0</v>
      </c>
      <c r="H609" s="111"/>
      <c r="I609" s="119"/>
      <c r="K609" s="343" t="str">
        <f>IF(K608=D595,"","CHECK")</f>
        <v/>
      </c>
      <c r="L609" s="343" t="str">
        <f>IF(L608=E595,"","CHECK")</f>
        <v/>
      </c>
      <c r="M609" s="343" t="str">
        <f>IF(M608=F595,"","CHECK")</f>
        <v/>
      </c>
      <c r="S609" s="343" t="str">
        <f>IF(S608=I621,"","CHECK")</f>
        <v/>
      </c>
      <c r="T609" s="57"/>
      <c r="U609" s="57"/>
      <c r="V609" s="57"/>
      <c r="W609" s="57"/>
      <c r="X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</row>
    <row r="610" spans="2:43" ht="17.45" hidden="1" customHeight="1" outlineLevel="1" thickBot="1">
      <c r="B610" s="139" t="s">
        <v>155</v>
      </c>
      <c r="C610" s="111">
        <f t="shared" si="928"/>
        <v>0</v>
      </c>
      <c r="D610" s="111">
        <f t="shared" si="929"/>
        <v>0</v>
      </c>
      <c r="E610" s="111">
        <f t="shared" si="935"/>
        <v>0</v>
      </c>
      <c r="F610" s="111">
        <f t="shared" si="930"/>
        <v>0</v>
      </c>
      <c r="G610" s="168">
        <f t="shared" si="936"/>
        <v>0</v>
      </c>
      <c r="H610" s="111"/>
      <c r="I610" s="119"/>
      <c r="L610" s="283"/>
      <c r="M610" s="220"/>
      <c r="P610" s="360" t="s">
        <v>161</v>
      </c>
      <c r="Q610" s="359">
        <f>SUM(Q600:Q605)</f>
        <v>3.9375</v>
      </c>
      <c r="R610" s="359">
        <f>SUM(R600:R605)</f>
        <v>1</v>
      </c>
      <c r="S610" s="359">
        <f>IFERROR(Q610/R610,"")</f>
        <v>3.9375</v>
      </c>
      <c r="T610" s="57"/>
      <c r="U610" s="57"/>
      <c r="V610" s="57"/>
      <c r="W610" s="57"/>
      <c r="X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  <c r="AN610" s="57"/>
      <c r="AO610" s="57"/>
      <c r="AP610" s="57"/>
      <c r="AQ610" s="57"/>
    </row>
    <row r="611" spans="2:43" ht="17.45" hidden="1" customHeight="1" outlineLevel="1" thickBot="1">
      <c r="B611" s="113" t="s">
        <v>61</v>
      </c>
      <c r="C611" s="114">
        <f>SUM(C600:C610)</f>
        <v>52500</v>
      </c>
      <c r="D611" s="114">
        <f t="shared" ref="D611:E611" si="943">SUM(D600:D610)</f>
        <v>110001</v>
      </c>
      <c r="E611" s="114">
        <f t="shared" si="943"/>
        <v>162501</v>
      </c>
      <c r="F611" s="166">
        <f>SUM(F600:F610)</f>
        <v>3</v>
      </c>
      <c r="G611" s="170">
        <f>SUM(G600:G610)</f>
        <v>162.501</v>
      </c>
      <c r="H611" s="167"/>
      <c r="I611" s="119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  <c r="AN611" s="57"/>
      <c r="AO611" s="57"/>
      <c r="AP611" s="57"/>
      <c r="AQ611" s="57"/>
    </row>
    <row r="612" spans="2:43" ht="17.45" hidden="1" customHeight="1" outlineLevel="1">
      <c r="B612" s="151" t="s">
        <v>87</v>
      </c>
      <c r="C612" s="152"/>
      <c r="D612" s="152"/>
      <c r="E612" s="153">
        <f>$W$264</f>
        <v>20357.36</v>
      </c>
      <c r="F612" s="143"/>
      <c r="G612" s="169">
        <f t="shared" ref="G612" si="944">E612/1000</f>
        <v>20.35736</v>
      </c>
      <c r="H612" s="145"/>
      <c r="I612" s="119"/>
      <c r="T612" s="57"/>
      <c r="U612" s="57"/>
      <c r="V612" s="57"/>
      <c r="W612" s="57"/>
      <c r="X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  <c r="AN612" s="57"/>
      <c r="AO612" s="57"/>
      <c r="AP612" s="57"/>
      <c r="AQ612" s="57"/>
    </row>
    <row r="613" spans="2:43" ht="17.45" hidden="1" customHeight="1" outlineLevel="1">
      <c r="B613" s="151" t="s">
        <v>57</v>
      </c>
      <c r="C613" s="152"/>
      <c r="D613" s="152"/>
      <c r="E613" s="140">
        <f>SUM(E611:E612)</f>
        <v>182858.36</v>
      </c>
      <c r="F613" s="122"/>
      <c r="G613" s="140">
        <f>SUM(G611:G612)</f>
        <v>182.85836</v>
      </c>
      <c r="H613" s="343" t="str">
        <f>IF(G613=K264,"","CHECK")</f>
        <v/>
      </c>
      <c r="T613" s="57"/>
      <c r="U613" s="57"/>
      <c r="V613" s="57"/>
      <c r="W613" s="57"/>
      <c r="X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  <c r="AN613" s="57"/>
      <c r="AO613" s="57"/>
      <c r="AP613" s="57"/>
      <c r="AQ613" s="57"/>
    </row>
    <row r="614" spans="2:43" ht="17.45" hidden="1" customHeight="1" outlineLevel="1">
      <c r="B614" s="137"/>
      <c r="C614" s="122"/>
      <c r="D614" s="122"/>
      <c r="E614" s="154"/>
      <c r="F614" s="122"/>
      <c r="G614" s="122"/>
      <c r="H614" s="137"/>
      <c r="I614" s="119"/>
      <c r="T614" s="57"/>
      <c r="U614" s="57"/>
      <c r="V614" s="57"/>
      <c r="W614" s="57"/>
      <c r="X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  <c r="AN614" s="57"/>
      <c r="AO614" s="57"/>
      <c r="AP614" s="57"/>
      <c r="AQ614" s="57"/>
    </row>
    <row r="615" spans="2:43" ht="17.45" hidden="1" customHeight="1" outlineLevel="1">
      <c r="B615" s="1173" t="s">
        <v>88</v>
      </c>
      <c r="C615" s="1177" t="s">
        <v>52</v>
      </c>
      <c r="D615" s="1177"/>
      <c r="E615" s="1177"/>
      <c r="F615" s="1177" t="s">
        <v>73</v>
      </c>
      <c r="G615" s="1177" t="s">
        <v>75</v>
      </c>
      <c r="H615" s="1168" t="s">
        <v>72</v>
      </c>
      <c r="I615" s="1168"/>
      <c r="T615" s="57"/>
      <c r="U615" s="57"/>
      <c r="V615" s="57"/>
      <c r="W615" s="57"/>
      <c r="X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  <c r="AN615" s="57"/>
      <c r="AO615" s="57"/>
      <c r="AP615" s="57"/>
      <c r="AQ615" s="57"/>
    </row>
    <row r="616" spans="2:43" ht="17.45" hidden="1" customHeight="1" outlineLevel="1">
      <c r="B616" s="1173"/>
      <c r="C616" s="628" t="s">
        <v>55</v>
      </c>
      <c r="D616" s="628" t="s">
        <v>56</v>
      </c>
      <c r="E616" s="628" t="s">
        <v>57</v>
      </c>
      <c r="F616" s="1177"/>
      <c r="G616" s="1177"/>
      <c r="H616" s="626" t="s">
        <v>89</v>
      </c>
      <c r="I616" s="626" t="s">
        <v>90</v>
      </c>
      <c r="T616" s="57"/>
      <c r="U616" s="57"/>
      <c r="V616" s="57"/>
      <c r="W616" s="57"/>
      <c r="X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57"/>
      <c r="AP616" s="57"/>
      <c r="AQ616" s="57"/>
    </row>
    <row r="617" spans="2:43" ht="17.45" hidden="1" customHeight="1" outlineLevel="1">
      <c r="B617" s="138" t="s">
        <v>91</v>
      </c>
      <c r="C617" s="111">
        <f>SUMIF($V$61:$V$68,B617,$L$61:$L$68)</f>
        <v>0</v>
      </c>
      <c r="D617" s="111">
        <f>SUMIF($V$61:$V$68,B617,$M$61:$M$68)</f>
        <v>0</v>
      </c>
      <c r="E617" s="111">
        <f>C617+D617</f>
        <v>0</v>
      </c>
      <c r="F617" s="111">
        <f>SUMIF($V$61:$V$68,B617,$AZ$61:$AZ$68)</f>
        <v>0</v>
      </c>
      <c r="G617" s="111">
        <f>E617/1000</f>
        <v>0</v>
      </c>
      <c r="H617" s="126">
        <f>SUMIF($V$61:$V$68,B617,$I$61:$I$68)</f>
        <v>0</v>
      </c>
      <c r="I617" s="141" t="str">
        <f>IFERROR(H617/F617,"")</f>
        <v/>
      </c>
      <c r="T617" s="57"/>
      <c r="U617" s="57"/>
      <c r="V617" s="57"/>
      <c r="W617" s="57"/>
      <c r="X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  <c r="AN617" s="57"/>
      <c r="AO617" s="57"/>
      <c r="AP617" s="57"/>
      <c r="AQ617" s="57"/>
    </row>
    <row r="618" spans="2:43" ht="17.45" hidden="1" customHeight="1" outlineLevel="1">
      <c r="B618" s="138" t="s">
        <v>92</v>
      </c>
      <c r="C618" s="111">
        <f>SUMIF($V$61:$V$68,B618,$L$61:$L$68)</f>
        <v>52500</v>
      </c>
      <c r="D618" s="111">
        <f>SUMIF($V$61:$V$68,B618,$M$61:$M$68)</f>
        <v>110001</v>
      </c>
      <c r="E618" s="111">
        <f t="shared" ref="E618:E620" si="945">C618+D618</f>
        <v>162501</v>
      </c>
      <c r="F618" s="111">
        <f>SUMIF($V$61:$V$68,B618,$AZ$61:$AZ$68)</f>
        <v>3</v>
      </c>
      <c r="G618" s="111">
        <f t="shared" ref="G618:G620" si="946">E618/1000</f>
        <v>162.501</v>
      </c>
      <c r="H618" s="126">
        <f>SUMIF($V$61:$V$68,B618,$I$61:$I$68)</f>
        <v>29.729166666671517</v>
      </c>
      <c r="I618" s="141">
        <f t="shared" ref="I618:I619" si="947">IFERROR(H618/F618,"")</f>
        <v>9.9097222222238397</v>
      </c>
      <c r="T618" s="57"/>
      <c r="U618" s="57"/>
      <c r="V618" s="57"/>
      <c r="W618" s="57"/>
      <c r="X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  <c r="AN618" s="57"/>
      <c r="AO618" s="57"/>
      <c r="AP618" s="57"/>
      <c r="AQ618" s="57"/>
    </row>
    <row r="619" spans="2:43" ht="17.45" hidden="1" customHeight="1" outlineLevel="1">
      <c r="B619" s="138" t="s">
        <v>93</v>
      </c>
      <c r="C619" s="111">
        <f>SUMIF($V$61:$V$68,B619,$L$61:$L$68)</f>
        <v>0</v>
      </c>
      <c r="D619" s="111">
        <f>SUMIF($V$61:$V$68,B619,$M$61:$M$68)</f>
        <v>0</v>
      </c>
      <c r="E619" s="111">
        <f t="shared" si="945"/>
        <v>0</v>
      </c>
      <c r="F619" s="111">
        <f>SUMIF($V$61:$V$68,B619,$AZ$61:$AZ$68)</f>
        <v>0</v>
      </c>
      <c r="G619" s="111">
        <f t="shared" si="946"/>
        <v>0</v>
      </c>
      <c r="H619" s="126">
        <f>SUMIF($V$61:$V$68,B619,$I$61:$I$68)</f>
        <v>0</v>
      </c>
      <c r="I619" s="141" t="str">
        <f t="shared" si="947"/>
        <v/>
      </c>
      <c r="T619" s="57"/>
      <c r="U619" s="57"/>
      <c r="V619" s="57"/>
      <c r="W619" s="57"/>
      <c r="X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  <c r="AN619" s="57"/>
      <c r="AO619" s="57"/>
      <c r="AP619" s="57"/>
      <c r="AQ619" s="57"/>
    </row>
    <row r="620" spans="2:43" ht="17.45" hidden="1" customHeight="1" outlineLevel="1" thickBot="1">
      <c r="B620" s="138" t="s">
        <v>94</v>
      </c>
      <c r="C620" s="111">
        <f>SUMIF($V$61:$V$68,B620,$L$61:$L$68)</f>
        <v>0</v>
      </c>
      <c r="D620" s="111">
        <f>SUMIF($V$61:$V$68,B620,$M$61:$M$68)</f>
        <v>0</v>
      </c>
      <c r="E620" s="111">
        <f t="shared" si="945"/>
        <v>0</v>
      </c>
      <c r="F620" s="111">
        <f>SUMIF($V$61:$V$68,B620,$AZ$61:$AZ$68)</f>
        <v>0</v>
      </c>
      <c r="G620" s="111">
        <f t="shared" si="946"/>
        <v>0</v>
      </c>
      <c r="H620" s="126">
        <f>SUMIF($V$61:$V$68,B620,$I$61:$I$68)</f>
        <v>0</v>
      </c>
      <c r="I620" s="190" t="str">
        <f>IFERROR(H620/F620,"")</f>
        <v/>
      </c>
    </row>
    <row r="621" spans="2:43" ht="17.45" hidden="1" customHeight="1" outlineLevel="1" thickBot="1">
      <c r="B621" s="113" t="s">
        <v>61</v>
      </c>
      <c r="C621" s="114">
        <f>SUM(C617:C620)</f>
        <v>52500</v>
      </c>
      <c r="D621" s="114">
        <f t="shared" ref="D621:F621" si="948">SUM(D617:D620)</f>
        <v>110001</v>
      </c>
      <c r="E621" s="114">
        <f t="shared" si="948"/>
        <v>162501</v>
      </c>
      <c r="F621" s="114">
        <f t="shared" si="948"/>
        <v>3</v>
      </c>
      <c r="G621" s="114">
        <f>SUM(G617:G620)</f>
        <v>162.501</v>
      </c>
      <c r="H621" s="189">
        <f>SUM(H617:H620)</f>
        <v>29.729166666671517</v>
      </c>
      <c r="I621" s="191">
        <f>IFERROR(H621/F621,"")</f>
        <v>9.9097222222238397</v>
      </c>
    </row>
    <row r="622" spans="2:43" ht="17.45" hidden="1" customHeight="1" outlineLevel="1"/>
    <row r="623" spans="2:43" ht="17.45" customHeight="1" collapsed="1">
      <c r="B623" s="329" t="s">
        <v>259</v>
      </c>
      <c r="O623" s="122"/>
      <c r="P623" s="122"/>
      <c r="Q623" s="122"/>
      <c r="R623" s="123"/>
      <c r="S623" s="331"/>
      <c r="T623" s="124"/>
      <c r="U623" s="332"/>
      <c r="V623" s="332"/>
      <c r="W623" s="245"/>
      <c r="X623" s="245"/>
      <c r="Y623" s="333"/>
    </row>
    <row r="624" spans="2:43" ht="17.45" hidden="1" customHeight="1" outlineLevel="1">
      <c r="B624" s="1173" t="s">
        <v>51</v>
      </c>
      <c r="C624" s="1173"/>
      <c r="D624" s="1168" t="s">
        <v>52</v>
      </c>
      <c r="E624" s="1168"/>
      <c r="F624" s="1168"/>
      <c r="G624" s="1168" t="s">
        <v>53</v>
      </c>
      <c r="H624" s="1168"/>
      <c r="I624" s="1168"/>
      <c r="J624" s="1168" t="s">
        <v>54</v>
      </c>
      <c r="K624" s="1168"/>
      <c r="L624" s="1168"/>
      <c r="O624" s="1168" t="s">
        <v>71</v>
      </c>
      <c r="P624" s="1168" t="s">
        <v>72</v>
      </c>
      <c r="Q624" s="1168" t="s">
        <v>73</v>
      </c>
      <c r="R624" s="1168" t="s">
        <v>74</v>
      </c>
      <c r="S624" s="122"/>
      <c r="T624" s="1168" t="s">
        <v>71</v>
      </c>
      <c r="U624" s="1168" t="s">
        <v>72</v>
      </c>
      <c r="V624" s="1168" t="s">
        <v>73</v>
      </c>
      <c r="W624" s="1168" t="s">
        <v>74</v>
      </c>
      <c r="X624" s="1168" t="s">
        <v>75</v>
      </c>
      <c r="Y624" s="1169" t="str">
        <f>RIGHT(B623,3)&amp;" 목표(ST)"</f>
        <v xml:space="preserve"> 5월 목표(ST)</v>
      </c>
      <c r="Z624" s="1170" t="s">
        <v>111</v>
      </c>
    </row>
    <row r="625" spans="2:43" ht="17.45" hidden="1" customHeight="1" outlineLevel="1">
      <c r="B625" s="1173"/>
      <c r="C625" s="1173"/>
      <c r="D625" s="626" t="s">
        <v>55</v>
      </c>
      <c r="E625" s="626" t="s">
        <v>56</v>
      </c>
      <c r="F625" s="626" t="s">
        <v>57</v>
      </c>
      <c r="G625" s="626" t="s">
        <v>55</v>
      </c>
      <c r="H625" s="626" t="s">
        <v>56</v>
      </c>
      <c r="I625" s="626" t="s">
        <v>57</v>
      </c>
      <c r="J625" s="626" t="s">
        <v>55</v>
      </c>
      <c r="K625" s="626" t="s">
        <v>56</v>
      </c>
      <c r="L625" s="626" t="s">
        <v>57</v>
      </c>
      <c r="O625" s="1168"/>
      <c r="P625" s="1168"/>
      <c r="Q625" s="1168"/>
      <c r="R625" s="1168"/>
      <c r="S625" s="122"/>
      <c r="T625" s="1168"/>
      <c r="U625" s="1168"/>
      <c r="V625" s="1168"/>
      <c r="W625" s="1168"/>
      <c r="X625" s="1168"/>
      <c r="Y625" s="1168"/>
      <c r="Z625" s="1168"/>
      <c r="AN625" s="361"/>
      <c r="AO625" s="362" t="s">
        <v>156</v>
      </c>
      <c r="AP625" s="457"/>
    </row>
    <row r="626" spans="2:43" ht="17.45" hidden="1" customHeight="1" outlineLevel="1">
      <c r="B626" s="1171" t="s">
        <v>58</v>
      </c>
      <c r="C626" s="110" t="s">
        <v>179</v>
      </c>
      <c r="D626" s="111">
        <f t="shared" ref="D626:D631" si="949">SUMIF($B$70:$B$85,C626,$L$70:$L$100)</f>
        <v>88000</v>
      </c>
      <c r="E626" s="111">
        <f t="shared" ref="E626:E631" si="950">SUMIF($B$70:$B$85,C626,$M$70:$M$85)</f>
        <v>65000</v>
      </c>
      <c r="F626" s="111">
        <f>D626+E626</f>
        <v>153000</v>
      </c>
      <c r="G626" s="112">
        <f>IFERROR(D626/F626,"")</f>
        <v>0.57516339869281041</v>
      </c>
      <c r="H626" s="112">
        <f>IFERROR(E626/F626,"")</f>
        <v>0.42483660130718953</v>
      </c>
      <c r="I626" s="112">
        <f t="shared" ref="I626:I631" si="951">IFERROR(G626+H626,"")</f>
        <v>1</v>
      </c>
      <c r="J626" s="111">
        <f t="shared" ref="J626:J631" si="952">SUMIF($B$70:$B$85,C626,$AX$70:$AX$85)</f>
        <v>1</v>
      </c>
      <c r="K626" s="111">
        <f t="shared" ref="K626:K631" si="953">SUMIF($B$70:$B$85,C626,$AY$70:$AY$85)</f>
        <v>1</v>
      </c>
      <c r="L626" s="111">
        <f>J626+K626</f>
        <v>2</v>
      </c>
      <c r="O626" s="125" t="str">
        <f>C626</f>
        <v>SGC에너지</v>
      </c>
      <c r="P626" s="126">
        <f t="shared" ref="P626:P631" si="954">SUMIF($B$70:$B$85,O626,$I$70:$I$85)</f>
        <v>14.766666666662786</v>
      </c>
      <c r="Q626" s="111">
        <f t="shared" ref="Q626:Q631" si="955">SUMIF($B$70:$B$85,O626,$AZ$70:$AZ$85)</f>
        <v>2</v>
      </c>
      <c r="R626" s="126">
        <f>IFERROR(P626/Q626,"")</f>
        <v>7.3833333333313931</v>
      </c>
      <c r="S626" s="122"/>
      <c r="T626" s="125" t="str">
        <f>O626</f>
        <v>SGC에너지</v>
      </c>
      <c r="U626" s="126">
        <f>P626</f>
        <v>14.766666666662786</v>
      </c>
      <c r="V626" s="111">
        <f>Q626</f>
        <v>2</v>
      </c>
      <c r="W626" s="127">
        <f>IFERROR(U626/V626,"")</f>
        <v>7.3833333333313931</v>
      </c>
      <c r="X626" s="148">
        <f>F626/1000</f>
        <v>153</v>
      </c>
      <c r="Y626" s="111"/>
      <c r="Z626" s="155" t="str">
        <f>IFERROR(IF(X626=0,"",X626/Y626),"")</f>
        <v/>
      </c>
      <c r="AN626" s="335"/>
      <c r="AO626" s="336">
        <f>X626-Y626</f>
        <v>153</v>
      </c>
      <c r="AP626" s="452"/>
    </row>
    <row r="627" spans="2:43" ht="17.45" hidden="1" customHeight="1" outlineLevel="1">
      <c r="B627" s="1172"/>
      <c r="C627" s="110" t="s">
        <v>59</v>
      </c>
      <c r="D627" s="111">
        <f t="shared" si="949"/>
        <v>0</v>
      </c>
      <c r="E627" s="111">
        <f t="shared" si="950"/>
        <v>91950</v>
      </c>
      <c r="F627" s="111">
        <f t="shared" ref="F627:F631" si="956">D627+E627</f>
        <v>91950</v>
      </c>
      <c r="G627" s="112">
        <f t="shared" ref="G627:G639" si="957">IFERROR(D627/F627,"")</f>
        <v>0</v>
      </c>
      <c r="H627" s="112">
        <f t="shared" ref="H627:H631" si="958">IFERROR(E627/F627,"")</f>
        <v>1</v>
      </c>
      <c r="I627" s="112">
        <f t="shared" si="951"/>
        <v>1</v>
      </c>
      <c r="J627" s="111">
        <f t="shared" si="952"/>
        <v>0</v>
      </c>
      <c r="K627" s="111">
        <f t="shared" si="953"/>
        <v>2</v>
      </c>
      <c r="L627" s="111">
        <f t="shared" ref="L627:L631" si="959">J627+K627</f>
        <v>2</v>
      </c>
      <c r="O627" s="125" t="str">
        <f t="shared" ref="O627:O631" si="960">C627</f>
        <v>남동발전</v>
      </c>
      <c r="P627" s="126">
        <f t="shared" si="954"/>
        <v>18.566666666672972</v>
      </c>
      <c r="Q627" s="111">
        <f t="shared" si="955"/>
        <v>2</v>
      </c>
      <c r="R627" s="126">
        <f t="shared" ref="R627:R648" si="961">IFERROR(P627/Q627,"")</f>
        <v>9.2833333333364862</v>
      </c>
      <c r="S627" s="122"/>
      <c r="T627" s="125" t="str">
        <f t="shared" ref="T627:V631" si="962">O627</f>
        <v>남동발전</v>
      </c>
      <c r="U627" s="126">
        <f t="shared" si="962"/>
        <v>18.566666666672972</v>
      </c>
      <c r="V627" s="111">
        <f t="shared" si="962"/>
        <v>2</v>
      </c>
      <c r="W627" s="127">
        <f t="shared" ref="W627:W647" si="963">IFERROR(U627/V627,"")</f>
        <v>9.2833333333364862</v>
      </c>
      <c r="X627" s="148">
        <f t="shared" ref="X627:X631" si="964">F627/1000</f>
        <v>91.95</v>
      </c>
      <c r="Y627" s="111"/>
      <c r="Z627" s="155" t="str">
        <f t="shared" ref="Z627:Z641" si="965">IFERROR(IF(X627=0,"",X627/Y627),"")</f>
        <v/>
      </c>
      <c r="AN627" s="335"/>
      <c r="AO627" s="336">
        <f t="shared" ref="AO627:AO631" si="966">X627-Y627</f>
        <v>91.95</v>
      </c>
      <c r="AP627" s="452"/>
    </row>
    <row r="628" spans="2:43" ht="17.45" hidden="1" customHeight="1" outlineLevel="1">
      <c r="B628" s="1172"/>
      <c r="C628" s="110" t="s">
        <v>60</v>
      </c>
      <c r="D628" s="111">
        <f t="shared" si="949"/>
        <v>0</v>
      </c>
      <c r="E628" s="111">
        <f t="shared" si="950"/>
        <v>0</v>
      </c>
      <c r="F628" s="111">
        <f t="shared" si="956"/>
        <v>0</v>
      </c>
      <c r="G628" s="112" t="str">
        <f t="shared" si="957"/>
        <v/>
      </c>
      <c r="H628" s="112" t="str">
        <f t="shared" si="958"/>
        <v/>
      </c>
      <c r="I628" s="112" t="str">
        <f t="shared" si="951"/>
        <v/>
      </c>
      <c r="J628" s="111">
        <f t="shared" si="952"/>
        <v>0</v>
      </c>
      <c r="K628" s="111">
        <f t="shared" si="953"/>
        <v>0</v>
      </c>
      <c r="L628" s="111">
        <f t="shared" si="959"/>
        <v>0</v>
      </c>
      <c r="O628" s="125" t="str">
        <f t="shared" si="960"/>
        <v>동서발전</v>
      </c>
      <c r="P628" s="126">
        <f t="shared" si="954"/>
        <v>0</v>
      </c>
      <c r="Q628" s="111">
        <f t="shared" si="955"/>
        <v>0</v>
      </c>
      <c r="R628" s="126" t="str">
        <f t="shared" si="961"/>
        <v/>
      </c>
      <c r="S628" s="122"/>
      <c r="T628" s="125" t="str">
        <f t="shared" si="962"/>
        <v>동서발전</v>
      </c>
      <c r="U628" s="126">
        <f t="shared" si="962"/>
        <v>0</v>
      </c>
      <c r="V628" s="111">
        <f t="shared" si="962"/>
        <v>0</v>
      </c>
      <c r="W628" s="127" t="str">
        <f t="shared" si="963"/>
        <v/>
      </c>
      <c r="X628" s="148">
        <f t="shared" si="964"/>
        <v>0</v>
      </c>
      <c r="Y628" s="111"/>
      <c r="Z628" s="155" t="str">
        <f t="shared" si="965"/>
        <v/>
      </c>
      <c r="AN628" s="335"/>
      <c r="AO628" s="336">
        <f t="shared" si="966"/>
        <v>0</v>
      </c>
      <c r="AP628" s="452"/>
    </row>
    <row r="629" spans="2:43" ht="17.45" hidden="1" customHeight="1" outlineLevel="1">
      <c r="B629" s="1172"/>
      <c r="C629" s="110" t="s">
        <v>159</v>
      </c>
      <c r="D629" s="111">
        <f t="shared" si="949"/>
        <v>0</v>
      </c>
      <c r="E629" s="111">
        <f t="shared" si="950"/>
        <v>0</v>
      </c>
      <c r="F629" s="111">
        <f t="shared" si="956"/>
        <v>0</v>
      </c>
      <c r="G629" s="112" t="str">
        <f t="shared" si="957"/>
        <v/>
      </c>
      <c r="H629" s="112" t="str">
        <f t="shared" si="958"/>
        <v/>
      </c>
      <c r="I629" s="112" t="str">
        <f t="shared" si="951"/>
        <v/>
      </c>
      <c r="J629" s="111">
        <f t="shared" si="952"/>
        <v>0</v>
      </c>
      <c r="K629" s="111">
        <f t="shared" si="953"/>
        <v>0</v>
      </c>
      <c r="L629" s="111">
        <f t="shared" si="959"/>
        <v>0</v>
      </c>
      <c r="O629" s="125" t="str">
        <f t="shared" si="960"/>
        <v>미쓰이</v>
      </c>
      <c r="P629" s="126">
        <f t="shared" si="954"/>
        <v>0</v>
      </c>
      <c r="Q629" s="111">
        <f t="shared" si="955"/>
        <v>0</v>
      </c>
      <c r="R629" s="126" t="str">
        <f t="shared" si="961"/>
        <v/>
      </c>
      <c r="S629" s="122"/>
      <c r="T629" s="125" t="str">
        <f t="shared" si="962"/>
        <v>미쓰이</v>
      </c>
      <c r="U629" s="126">
        <f t="shared" si="962"/>
        <v>0</v>
      </c>
      <c r="V629" s="111">
        <f t="shared" si="962"/>
        <v>0</v>
      </c>
      <c r="W629" s="127" t="str">
        <f t="shared" si="963"/>
        <v/>
      </c>
      <c r="X629" s="148">
        <f t="shared" si="964"/>
        <v>0</v>
      </c>
      <c r="Y629" s="111"/>
      <c r="Z629" s="155" t="str">
        <f t="shared" si="965"/>
        <v/>
      </c>
      <c r="AN629" s="335"/>
      <c r="AO629" s="336">
        <f t="shared" si="966"/>
        <v>0</v>
      </c>
      <c r="AP629" s="452"/>
    </row>
    <row r="630" spans="2:43" ht="17.45" hidden="1" customHeight="1" outlineLevel="1">
      <c r="B630" s="1172"/>
      <c r="C630" s="110" t="s">
        <v>168</v>
      </c>
      <c r="D630" s="111">
        <f t="shared" si="949"/>
        <v>0</v>
      </c>
      <c r="E630" s="111">
        <f t="shared" si="950"/>
        <v>0</v>
      </c>
      <c r="F630" s="111">
        <f t="shared" si="956"/>
        <v>0</v>
      </c>
      <c r="G630" s="112" t="str">
        <f t="shared" si="957"/>
        <v/>
      </c>
      <c r="H630" s="112" t="str">
        <f t="shared" si="958"/>
        <v/>
      </c>
      <c r="I630" s="112" t="str">
        <f t="shared" si="951"/>
        <v/>
      </c>
      <c r="J630" s="111">
        <f t="shared" si="952"/>
        <v>0</v>
      </c>
      <c r="K630" s="111">
        <f t="shared" si="953"/>
        <v>0</v>
      </c>
      <c r="L630" s="111">
        <f t="shared" si="959"/>
        <v>0</v>
      </c>
      <c r="O630" s="125" t="str">
        <f t="shared" si="960"/>
        <v>포스코인터</v>
      </c>
      <c r="P630" s="126">
        <f t="shared" si="954"/>
        <v>0</v>
      </c>
      <c r="Q630" s="111">
        <f t="shared" si="955"/>
        <v>0</v>
      </c>
      <c r="R630" s="126" t="str">
        <f t="shared" si="961"/>
        <v/>
      </c>
      <c r="S630" s="122"/>
      <c r="T630" s="125" t="str">
        <f t="shared" si="962"/>
        <v>포스코인터</v>
      </c>
      <c r="U630" s="126">
        <f t="shared" si="962"/>
        <v>0</v>
      </c>
      <c r="V630" s="111">
        <f t="shared" si="962"/>
        <v>0</v>
      </c>
      <c r="W630" s="127" t="str">
        <f t="shared" si="963"/>
        <v/>
      </c>
      <c r="X630" s="148">
        <f t="shared" si="964"/>
        <v>0</v>
      </c>
      <c r="Y630" s="111"/>
      <c r="Z630" s="155" t="str">
        <f t="shared" si="965"/>
        <v/>
      </c>
      <c r="AN630" s="335"/>
      <c r="AO630" s="336">
        <f t="shared" si="966"/>
        <v>0</v>
      </c>
      <c r="AP630" s="452"/>
    </row>
    <row r="631" spans="2:43" ht="17.45" hidden="1" customHeight="1" outlineLevel="1">
      <c r="B631" s="1172"/>
      <c r="C631" s="110" t="s">
        <v>154</v>
      </c>
      <c r="D631" s="111">
        <f t="shared" si="949"/>
        <v>0</v>
      </c>
      <c r="E631" s="111">
        <f t="shared" si="950"/>
        <v>0</v>
      </c>
      <c r="F631" s="111">
        <f t="shared" si="956"/>
        <v>0</v>
      </c>
      <c r="G631" s="112" t="str">
        <f t="shared" si="957"/>
        <v/>
      </c>
      <c r="H631" s="112" t="str">
        <f t="shared" si="958"/>
        <v/>
      </c>
      <c r="I631" s="112" t="str">
        <f t="shared" si="951"/>
        <v/>
      </c>
      <c r="J631" s="111">
        <f t="shared" si="952"/>
        <v>0</v>
      </c>
      <c r="K631" s="111">
        <f t="shared" si="953"/>
        <v>0</v>
      </c>
      <c r="L631" s="111">
        <f t="shared" si="959"/>
        <v>0</v>
      </c>
      <c r="O631" s="125" t="str">
        <f t="shared" si="960"/>
        <v>이노샌드</v>
      </c>
      <c r="P631" s="126">
        <f t="shared" si="954"/>
        <v>0</v>
      </c>
      <c r="Q631" s="111">
        <f t="shared" si="955"/>
        <v>0</v>
      </c>
      <c r="R631" s="126" t="str">
        <f t="shared" si="961"/>
        <v/>
      </c>
      <c r="S631" s="122"/>
      <c r="T631" s="125" t="str">
        <f t="shared" si="962"/>
        <v>이노샌드</v>
      </c>
      <c r="U631" s="126">
        <f t="shared" si="962"/>
        <v>0</v>
      </c>
      <c r="V631" s="111">
        <f t="shared" si="962"/>
        <v>0</v>
      </c>
      <c r="W631" s="127" t="str">
        <f t="shared" si="963"/>
        <v/>
      </c>
      <c r="X631" s="148">
        <f t="shared" si="964"/>
        <v>0</v>
      </c>
      <c r="Y631" s="111"/>
      <c r="Z631" s="155" t="str">
        <f t="shared" si="965"/>
        <v/>
      </c>
      <c r="AN631" s="335"/>
      <c r="AO631" s="336">
        <f t="shared" si="966"/>
        <v>0</v>
      </c>
      <c r="AP631" s="452"/>
      <c r="AQ631" s="337"/>
    </row>
    <row r="632" spans="2:43" ht="17.45" hidden="1" customHeight="1" outlineLevel="1">
      <c r="B632" s="1172"/>
      <c r="C632" s="113" t="s">
        <v>61</v>
      </c>
      <c r="D632" s="114">
        <f>SUM(D626:D631)</f>
        <v>88000</v>
      </c>
      <c r="E632" s="114">
        <f>SUM(E626:E631)</f>
        <v>156950</v>
      </c>
      <c r="F632" s="114">
        <f>SUM(F626:F631)</f>
        <v>244950</v>
      </c>
      <c r="G632" s="115">
        <f>IFERROR(D632/F632,"")</f>
        <v>0.3592569912226985</v>
      </c>
      <c r="H632" s="115">
        <f>IFERROR(E632/F632,"")</f>
        <v>0.6407430087773015</v>
      </c>
      <c r="I632" s="115">
        <f>IFERROR(G632+H632,"")</f>
        <v>1</v>
      </c>
      <c r="J632" s="114">
        <f t="shared" ref="J632:L632" si="967">SUM(J626:J631)</f>
        <v>1</v>
      </c>
      <c r="K632" s="114">
        <f t="shared" si="967"/>
        <v>3</v>
      </c>
      <c r="L632" s="114">
        <f t="shared" si="967"/>
        <v>4</v>
      </c>
      <c r="O632" s="128" t="s">
        <v>61</v>
      </c>
      <c r="P632" s="129">
        <f>SUM(P626:P631)</f>
        <v>33.333333333335759</v>
      </c>
      <c r="Q632" s="114">
        <f>SUM(Q626:Q631)</f>
        <v>4</v>
      </c>
      <c r="R632" s="129">
        <f t="shared" si="961"/>
        <v>8.3333333333339397</v>
      </c>
      <c r="S632" s="122"/>
      <c r="T632" s="128" t="s">
        <v>61</v>
      </c>
      <c r="U632" s="129">
        <f>SUM(U626:U631)</f>
        <v>33.333333333335759</v>
      </c>
      <c r="V632" s="114">
        <f>SUM(V626:V631)</f>
        <v>4</v>
      </c>
      <c r="W632" s="129">
        <f t="shared" si="963"/>
        <v>8.3333333333339397</v>
      </c>
      <c r="X632" s="114">
        <f>SUM(X626:X631)</f>
        <v>244.95</v>
      </c>
      <c r="Y632" s="114">
        <f>SUM(Y626:Y631)</f>
        <v>0</v>
      </c>
      <c r="Z632" s="156" t="str">
        <f t="shared" si="965"/>
        <v/>
      </c>
      <c r="AN632" s="338">
        <f>SUM(AN626:AN631)</f>
        <v>0</v>
      </c>
      <c r="AO632" s="338">
        <f>SUM(AO626:AO631)</f>
        <v>244.95</v>
      </c>
      <c r="AP632" s="453"/>
    </row>
    <row r="633" spans="2:43" ht="17.45" hidden="1" customHeight="1" outlineLevel="1">
      <c r="B633" s="1171" t="s">
        <v>62</v>
      </c>
      <c r="C633" s="110" t="s">
        <v>222</v>
      </c>
      <c r="D633" s="111">
        <f t="shared" ref="D633:D647" si="968">SUMIF($B$70:$B$85,C633,$L$70:$L$100)</f>
        <v>0</v>
      </c>
      <c r="E633" s="111">
        <f t="shared" ref="E633:E647" si="969">SUMIF($B$70:$B$85,C633,$M$70:$M$85)</f>
        <v>0</v>
      </c>
      <c r="F633" s="111">
        <f t="shared" ref="F633:F647" si="970">D633+E633</f>
        <v>0</v>
      </c>
      <c r="G633" s="112" t="str">
        <f t="shared" si="957"/>
        <v/>
      </c>
      <c r="H633" s="112" t="str">
        <f t="shared" ref="H633:H642" si="971">IFERROR(E633/F633,"")</f>
        <v/>
      </c>
      <c r="I633" s="112" t="str">
        <f t="shared" ref="I633:I642" si="972">IFERROR(G633+H633,"")</f>
        <v/>
      </c>
      <c r="J633" s="111">
        <f t="shared" ref="J633:J647" si="973">SUMIF($B$70:$B$85,C633,$AX$70:$AX$85)</f>
        <v>0</v>
      </c>
      <c r="K633" s="111">
        <f t="shared" ref="K633:K647" si="974">SUMIF($B$70:$B$85,C633,$AY$70:$AY$85)</f>
        <v>0</v>
      </c>
      <c r="L633" s="111">
        <f t="shared" ref="L633:L647" si="975">J633+K633</f>
        <v>0</v>
      </c>
      <c r="O633" s="125" t="str">
        <f>C633</f>
        <v>태경비케이</v>
      </c>
      <c r="P633" s="126">
        <f t="shared" ref="P633:P646" si="976">SUMIF($B$70:$B$85,O633,$I$70:$I$85)</f>
        <v>0</v>
      </c>
      <c r="Q633" s="111">
        <f t="shared" ref="Q633:Q647" si="977">SUMIF($B$70:$B$85,O633,$AZ$70:$AZ$85)</f>
        <v>0</v>
      </c>
      <c r="R633" s="126" t="str">
        <f t="shared" si="961"/>
        <v/>
      </c>
      <c r="S633" s="122"/>
      <c r="T633" s="125" t="str">
        <f t="shared" ref="T633:V647" si="978">O633</f>
        <v>태경비케이</v>
      </c>
      <c r="U633" s="126">
        <f t="shared" si="978"/>
        <v>0</v>
      </c>
      <c r="V633" s="111">
        <f t="shared" si="978"/>
        <v>0</v>
      </c>
      <c r="W633" s="127" t="str">
        <f t="shared" si="963"/>
        <v/>
      </c>
      <c r="X633" s="148">
        <f t="shared" ref="X633:X647" si="979">F633/1000</f>
        <v>0</v>
      </c>
      <c r="Y633" s="111"/>
      <c r="Z633" s="155" t="str">
        <f t="shared" si="965"/>
        <v/>
      </c>
      <c r="AN633" s="335"/>
      <c r="AO633" s="336">
        <f>X633-Y633</f>
        <v>0</v>
      </c>
      <c r="AP633" s="452"/>
    </row>
    <row r="634" spans="2:43" ht="17.45" hidden="1" customHeight="1" outlineLevel="1">
      <c r="B634" s="1172"/>
      <c r="C634" s="110" t="s">
        <v>78</v>
      </c>
      <c r="D634" s="111">
        <f t="shared" si="968"/>
        <v>0</v>
      </c>
      <c r="E634" s="111">
        <f t="shared" si="969"/>
        <v>0</v>
      </c>
      <c r="F634" s="111">
        <f t="shared" si="970"/>
        <v>0</v>
      </c>
      <c r="G634" s="112" t="str">
        <f t="shared" si="957"/>
        <v/>
      </c>
      <c r="H634" s="112" t="str">
        <f t="shared" si="971"/>
        <v/>
      </c>
      <c r="I634" s="112" t="str">
        <f t="shared" si="972"/>
        <v/>
      </c>
      <c r="J634" s="111">
        <f t="shared" si="973"/>
        <v>0</v>
      </c>
      <c r="K634" s="111">
        <f t="shared" si="974"/>
        <v>0</v>
      </c>
      <c r="L634" s="111">
        <f t="shared" si="975"/>
        <v>0</v>
      </c>
      <c r="O634" s="125" t="str">
        <f t="shared" ref="O634:O647" si="980">C634</f>
        <v>삼영산업</v>
      </c>
      <c r="P634" s="126">
        <f t="shared" si="976"/>
        <v>0</v>
      </c>
      <c r="Q634" s="111">
        <f t="shared" si="977"/>
        <v>0</v>
      </c>
      <c r="R634" s="126" t="str">
        <f t="shared" si="961"/>
        <v/>
      </c>
      <c r="S634" s="122"/>
      <c r="T634" s="125" t="str">
        <f t="shared" si="978"/>
        <v>삼영산업</v>
      </c>
      <c r="U634" s="126">
        <f t="shared" si="978"/>
        <v>0</v>
      </c>
      <c r="V634" s="111">
        <f t="shared" si="978"/>
        <v>0</v>
      </c>
      <c r="W634" s="127" t="str">
        <f t="shared" si="963"/>
        <v/>
      </c>
      <c r="X634" s="148">
        <f t="shared" si="979"/>
        <v>0</v>
      </c>
      <c r="Y634" s="111"/>
      <c r="Z634" s="155" t="str">
        <f t="shared" si="965"/>
        <v/>
      </c>
      <c r="AN634" s="335"/>
      <c r="AO634" s="336">
        <f t="shared" ref="AO634:AO635" si="981">X634-Y634</f>
        <v>0</v>
      </c>
      <c r="AP634" s="452"/>
    </row>
    <row r="635" spans="2:43" ht="17.45" hidden="1" customHeight="1" outlineLevel="1">
      <c r="B635" s="1172"/>
      <c r="C635" s="110" t="s">
        <v>176</v>
      </c>
      <c r="D635" s="111">
        <f t="shared" si="968"/>
        <v>0</v>
      </c>
      <c r="E635" s="111">
        <f t="shared" si="969"/>
        <v>0</v>
      </c>
      <c r="F635" s="111">
        <f t="shared" si="970"/>
        <v>0</v>
      </c>
      <c r="G635" s="112" t="str">
        <f t="shared" si="957"/>
        <v/>
      </c>
      <c r="H635" s="112" t="str">
        <f t="shared" si="971"/>
        <v/>
      </c>
      <c r="I635" s="112" t="str">
        <f t="shared" si="972"/>
        <v/>
      </c>
      <c r="J635" s="111">
        <f t="shared" si="973"/>
        <v>0</v>
      </c>
      <c r="K635" s="111">
        <f t="shared" si="974"/>
        <v>0</v>
      </c>
      <c r="L635" s="111">
        <f t="shared" si="975"/>
        <v>0</v>
      </c>
      <c r="O635" s="125" t="str">
        <f t="shared" si="980"/>
        <v>고려시멘트</v>
      </c>
      <c r="P635" s="126">
        <f t="shared" si="976"/>
        <v>0</v>
      </c>
      <c r="Q635" s="111">
        <f t="shared" si="977"/>
        <v>0</v>
      </c>
      <c r="R635" s="126" t="str">
        <f t="shared" si="961"/>
        <v/>
      </c>
      <c r="S635" s="122"/>
      <c r="T635" s="125" t="str">
        <f t="shared" si="978"/>
        <v>고려시멘트</v>
      </c>
      <c r="U635" s="126">
        <f t="shared" si="978"/>
        <v>0</v>
      </c>
      <c r="V635" s="111">
        <f t="shared" si="978"/>
        <v>0</v>
      </c>
      <c r="W635" s="127" t="str">
        <f t="shared" si="963"/>
        <v/>
      </c>
      <c r="X635" s="148">
        <f t="shared" si="979"/>
        <v>0</v>
      </c>
      <c r="Y635" s="111"/>
      <c r="Z635" s="155" t="str">
        <f t="shared" si="965"/>
        <v/>
      </c>
      <c r="AN635" s="335"/>
      <c r="AO635" s="336">
        <f t="shared" si="981"/>
        <v>0</v>
      </c>
      <c r="AP635" s="452"/>
    </row>
    <row r="636" spans="2:43" ht="17.45" hidden="1" customHeight="1" outlineLevel="1">
      <c r="B636" s="1172"/>
      <c r="C636" s="110" t="s">
        <v>63</v>
      </c>
      <c r="D636" s="111">
        <f t="shared" si="968"/>
        <v>0</v>
      </c>
      <c r="E636" s="111">
        <f t="shared" si="969"/>
        <v>0</v>
      </c>
      <c r="F636" s="111">
        <f t="shared" si="970"/>
        <v>0</v>
      </c>
      <c r="G636" s="112" t="str">
        <f t="shared" si="957"/>
        <v/>
      </c>
      <c r="H636" s="112" t="str">
        <f t="shared" si="971"/>
        <v/>
      </c>
      <c r="I636" s="112" t="str">
        <f t="shared" si="972"/>
        <v/>
      </c>
      <c r="J636" s="111">
        <f t="shared" si="973"/>
        <v>0</v>
      </c>
      <c r="K636" s="111">
        <f t="shared" si="974"/>
        <v>0</v>
      </c>
      <c r="L636" s="111">
        <f t="shared" si="975"/>
        <v>0</v>
      </c>
      <c r="O636" s="125" t="str">
        <f t="shared" si="980"/>
        <v>청해실업</v>
      </c>
      <c r="P636" s="126">
        <f t="shared" si="976"/>
        <v>0</v>
      </c>
      <c r="Q636" s="111">
        <f t="shared" si="977"/>
        <v>0</v>
      </c>
      <c r="R636" s="126" t="str">
        <f t="shared" si="961"/>
        <v/>
      </c>
      <c r="S636" s="122"/>
      <c r="T636" s="125" t="str">
        <f t="shared" si="978"/>
        <v>청해실업</v>
      </c>
      <c r="U636" s="126">
        <f t="shared" si="978"/>
        <v>0</v>
      </c>
      <c r="V636" s="111">
        <f t="shared" si="978"/>
        <v>0</v>
      </c>
      <c r="W636" s="127" t="str">
        <f t="shared" si="963"/>
        <v/>
      </c>
      <c r="X636" s="148">
        <f t="shared" si="979"/>
        <v>0</v>
      </c>
      <c r="Y636" s="111"/>
      <c r="Z636" s="155" t="str">
        <f t="shared" si="965"/>
        <v/>
      </c>
      <c r="AN636" s="339"/>
      <c r="AO636" s="340">
        <f t="shared" ref="AO636" si="982">X636-AN636</f>
        <v>0</v>
      </c>
      <c r="AP636" s="454"/>
      <c r="AQ636" s="240" t="s">
        <v>30</v>
      </c>
    </row>
    <row r="637" spans="2:43" ht="17.45" hidden="1" customHeight="1" outlineLevel="1">
      <c r="B637" s="1172"/>
      <c r="C637" s="110" t="s">
        <v>64</v>
      </c>
      <c r="D637" s="111">
        <f t="shared" si="968"/>
        <v>0</v>
      </c>
      <c r="E637" s="111">
        <f t="shared" si="969"/>
        <v>0</v>
      </c>
      <c r="F637" s="111">
        <f t="shared" si="970"/>
        <v>0</v>
      </c>
      <c r="G637" s="112" t="str">
        <f t="shared" si="957"/>
        <v/>
      </c>
      <c r="H637" s="112" t="str">
        <f t="shared" si="971"/>
        <v/>
      </c>
      <c r="I637" s="112" t="str">
        <f t="shared" si="972"/>
        <v/>
      </c>
      <c r="J637" s="111">
        <f t="shared" si="973"/>
        <v>0</v>
      </c>
      <c r="K637" s="111">
        <f t="shared" si="974"/>
        <v>0</v>
      </c>
      <c r="L637" s="111">
        <f t="shared" si="975"/>
        <v>0</v>
      </c>
      <c r="O637" s="125" t="str">
        <f t="shared" si="980"/>
        <v>한화에너지</v>
      </c>
      <c r="P637" s="126">
        <f t="shared" si="976"/>
        <v>0</v>
      </c>
      <c r="Q637" s="111">
        <f t="shared" si="977"/>
        <v>0</v>
      </c>
      <c r="R637" s="126" t="str">
        <f t="shared" si="961"/>
        <v/>
      </c>
      <c r="S637" s="122"/>
      <c r="T637" s="125" t="str">
        <f t="shared" si="978"/>
        <v>한화에너지</v>
      </c>
      <c r="U637" s="126">
        <f t="shared" si="978"/>
        <v>0</v>
      </c>
      <c r="V637" s="111">
        <f t="shared" si="978"/>
        <v>0</v>
      </c>
      <c r="W637" s="127" t="str">
        <f t="shared" si="963"/>
        <v/>
      </c>
      <c r="X637" s="148">
        <f t="shared" si="979"/>
        <v>0</v>
      </c>
      <c r="Y637" s="111"/>
      <c r="Z637" s="155" t="str">
        <f t="shared" si="965"/>
        <v/>
      </c>
      <c r="AN637" s="335"/>
      <c r="AO637" s="336">
        <f t="shared" ref="AO637:AO647" si="983">X637-Y637</f>
        <v>0</v>
      </c>
      <c r="AP637" s="452"/>
    </row>
    <row r="638" spans="2:43" ht="17.45" hidden="1" customHeight="1" outlineLevel="1">
      <c r="B638" s="1172"/>
      <c r="C638" s="110" t="s">
        <v>178</v>
      </c>
      <c r="D638" s="111">
        <f t="shared" si="968"/>
        <v>0</v>
      </c>
      <c r="E638" s="111">
        <f t="shared" si="969"/>
        <v>0</v>
      </c>
      <c r="F638" s="111">
        <f t="shared" si="970"/>
        <v>0</v>
      </c>
      <c r="G638" s="112" t="str">
        <f t="shared" si="957"/>
        <v/>
      </c>
      <c r="H638" s="112" t="str">
        <f t="shared" si="971"/>
        <v/>
      </c>
      <c r="I638" s="112" t="str">
        <f t="shared" si="972"/>
        <v/>
      </c>
      <c r="J638" s="111">
        <f t="shared" si="973"/>
        <v>0</v>
      </c>
      <c r="K638" s="111">
        <f t="shared" si="974"/>
        <v>0</v>
      </c>
      <c r="L638" s="111">
        <f t="shared" si="975"/>
        <v>0</v>
      </c>
      <c r="O638" s="125" t="str">
        <f t="shared" si="980"/>
        <v>금호석유화학</v>
      </c>
      <c r="P638" s="126">
        <f t="shared" si="976"/>
        <v>0</v>
      </c>
      <c r="Q638" s="111">
        <f t="shared" si="977"/>
        <v>0</v>
      </c>
      <c r="R638" s="126" t="str">
        <f t="shared" si="961"/>
        <v/>
      </c>
      <c r="S638" s="122"/>
      <c r="T638" s="125" t="str">
        <f t="shared" si="978"/>
        <v>금호석유화학</v>
      </c>
      <c r="U638" s="126">
        <f t="shared" si="978"/>
        <v>0</v>
      </c>
      <c r="V638" s="111">
        <f t="shared" si="978"/>
        <v>0</v>
      </c>
      <c r="W638" s="127" t="str">
        <f t="shared" si="963"/>
        <v/>
      </c>
      <c r="X638" s="148">
        <f t="shared" si="979"/>
        <v>0</v>
      </c>
      <c r="Y638" s="111"/>
      <c r="Z638" s="155" t="str">
        <f t="shared" si="965"/>
        <v/>
      </c>
      <c r="AN638" s="335"/>
      <c r="AO638" s="336">
        <f t="shared" si="983"/>
        <v>0</v>
      </c>
      <c r="AP638" s="452"/>
    </row>
    <row r="639" spans="2:43" ht="17.45" hidden="1" customHeight="1" outlineLevel="1">
      <c r="B639" s="1172"/>
      <c r="C639" s="110" t="s">
        <v>65</v>
      </c>
      <c r="D639" s="111">
        <f t="shared" si="968"/>
        <v>0</v>
      </c>
      <c r="E639" s="111">
        <f t="shared" si="969"/>
        <v>0</v>
      </c>
      <c r="F639" s="111">
        <f t="shared" si="970"/>
        <v>0</v>
      </c>
      <c r="G639" s="112" t="str">
        <f t="shared" si="957"/>
        <v/>
      </c>
      <c r="H639" s="112" t="str">
        <f t="shared" si="971"/>
        <v/>
      </c>
      <c r="I639" s="112" t="str">
        <f t="shared" si="972"/>
        <v/>
      </c>
      <c r="J639" s="111">
        <f t="shared" si="973"/>
        <v>0</v>
      </c>
      <c r="K639" s="111">
        <f t="shared" si="974"/>
        <v>0</v>
      </c>
      <c r="L639" s="111">
        <f>J639+K639</f>
        <v>0</v>
      </c>
      <c r="O639" s="125" t="str">
        <f t="shared" si="980"/>
        <v>LG상사</v>
      </c>
      <c r="P639" s="126">
        <f t="shared" si="976"/>
        <v>0</v>
      </c>
      <c r="Q639" s="111">
        <f t="shared" si="977"/>
        <v>0</v>
      </c>
      <c r="R639" s="126" t="str">
        <f t="shared" si="961"/>
        <v/>
      </c>
      <c r="S639" s="122"/>
      <c r="T639" s="125" t="str">
        <f t="shared" si="978"/>
        <v>LG상사</v>
      </c>
      <c r="U639" s="126">
        <f>P639</f>
        <v>0</v>
      </c>
      <c r="V639" s="111">
        <f t="shared" si="978"/>
        <v>0</v>
      </c>
      <c r="W639" s="127" t="str">
        <f t="shared" si="963"/>
        <v/>
      </c>
      <c r="X639" s="148">
        <f t="shared" si="979"/>
        <v>0</v>
      </c>
      <c r="Y639" s="111"/>
      <c r="Z639" s="155" t="str">
        <f t="shared" si="965"/>
        <v/>
      </c>
      <c r="AN639" s="335"/>
      <c r="AO639" s="336">
        <f t="shared" si="983"/>
        <v>0</v>
      </c>
      <c r="AP639" s="452"/>
    </row>
    <row r="640" spans="2:43" ht="17.45" hidden="1" customHeight="1" outlineLevel="1">
      <c r="B640" s="1172"/>
      <c r="C640" s="110" t="s">
        <v>66</v>
      </c>
      <c r="D640" s="111">
        <f t="shared" si="968"/>
        <v>0</v>
      </c>
      <c r="E640" s="111">
        <f t="shared" si="969"/>
        <v>0</v>
      </c>
      <c r="F640" s="111">
        <f t="shared" si="970"/>
        <v>0</v>
      </c>
      <c r="G640" s="112" t="str">
        <f>IFERROR(D640/F640,"")</f>
        <v/>
      </c>
      <c r="H640" s="112" t="str">
        <f t="shared" si="971"/>
        <v/>
      </c>
      <c r="I640" s="112" t="str">
        <f t="shared" si="972"/>
        <v/>
      </c>
      <c r="J640" s="111">
        <f t="shared" si="973"/>
        <v>0</v>
      </c>
      <c r="K640" s="111">
        <f t="shared" si="974"/>
        <v>0</v>
      </c>
      <c r="L640" s="111">
        <f t="shared" si="975"/>
        <v>0</v>
      </c>
      <c r="O640" s="125" t="str">
        <f t="shared" si="980"/>
        <v>LG화학</v>
      </c>
      <c r="P640" s="126">
        <f t="shared" si="976"/>
        <v>0</v>
      </c>
      <c r="Q640" s="111">
        <f t="shared" si="977"/>
        <v>0</v>
      </c>
      <c r="R640" s="126" t="str">
        <f t="shared" si="961"/>
        <v/>
      </c>
      <c r="S640" s="122"/>
      <c r="T640" s="125" t="str">
        <f t="shared" si="978"/>
        <v>LG화학</v>
      </c>
      <c r="U640" s="126">
        <f t="shared" si="978"/>
        <v>0</v>
      </c>
      <c r="V640" s="111">
        <f t="shared" si="978"/>
        <v>0</v>
      </c>
      <c r="W640" s="127" t="str">
        <f t="shared" si="963"/>
        <v/>
      </c>
      <c r="X640" s="148">
        <f t="shared" si="979"/>
        <v>0</v>
      </c>
      <c r="Y640" s="111"/>
      <c r="Z640" s="155" t="str">
        <f t="shared" si="965"/>
        <v/>
      </c>
      <c r="AN640" s="335"/>
      <c r="AO640" s="336">
        <f t="shared" si="983"/>
        <v>0</v>
      </c>
      <c r="AP640" s="452"/>
    </row>
    <row r="641" spans="2:43" ht="17.45" hidden="1" customHeight="1" outlineLevel="1">
      <c r="B641" s="1172"/>
      <c r="C641" s="110" t="s">
        <v>67</v>
      </c>
      <c r="D641" s="111">
        <f t="shared" si="968"/>
        <v>0</v>
      </c>
      <c r="E641" s="111">
        <f t="shared" si="969"/>
        <v>52500</v>
      </c>
      <c r="F641" s="111">
        <f t="shared" si="970"/>
        <v>52500</v>
      </c>
      <c r="G641" s="112">
        <f t="shared" ref="G641:G649" si="984">IFERROR(D641/F641,"")</f>
        <v>0</v>
      </c>
      <c r="H641" s="112">
        <f t="shared" si="971"/>
        <v>1</v>
      </c>
      <c r="I641" s="112">
        <f t="shared" si="972"/>
        <v>1</v>
      </c>
      <c r="J641" s="111">
        <f t="shared" si="973"/>
        <v>0</v>
      </c>
      <c r="K641" s="111">
        <f t="shared" si="974"/>
        <v>1</v>
      </c>
      <c r="L641" s="111">
        <f t="shared" si="975"/>
        <v>1</v>
      </c>
      <c r="O641" s="125" t="str">
        <f t="shared" si="980"/>
        <v>OCI SE</v>
      </c>
      <c r="P641" s="126">
        <f t="shared" si="976"/>
        <v>6.4097222222189885</v>
      </c>
      <c r="Q641" s="111">
        <f t="shared" si="977"/>
        <v>1</v>
      </c>
      <c r="R641" s="126">
        <f t="shared" si="961"/>
        <v>6.4097222222189885</v>
      </c>
      <c r="S641" s="122"/>
      <c r="T641" s="125" t="str">
        <f t="shared" si="978"/>
        <v>OCI SE</v>
      </c>
      <c r="U641" s="126">
        <f t="shared" si="978"/>
        <v>6.4097222222189885</v>
      </c>
      <c r="V641" s="111">
        <f t="shared" si="978"/>
        <v>1</v>
      </c>
      <c r="W641" s="127">
        <f t="shared" si="963"/>
        <v>6.4097222222189885</v>
      </c>
      <c r="X641" s="148">
        <f t="shared" si="979"/>
        <v>52.5</v>
      </c>
      <c r="Y641" s="111"/>
      <c r="Z641" s="155" t="str">
        <f t="shared" si="965"/>
        <v/>
      </c>
      <c r="AN641" s="335"/>
      <c r="AO641" s="336">
        <f t="shared" si="983"/>
        <v>52.5</v>
      </c>
      <c r="AP641" s="452"/>
    </row>
    <row r="642" spans="2:43" ht="17.45" hidden="1" customHeight="1" outlineLevel="1">
      <c r="B642" s="1172"/>
      <c r="C642" s="110" t="s">
        <v>37</v>
      </c>
      <c r="D642" s="111">
        <f t="shared" si="968"/>
        <v>0</v>
      </c>
      <c r="E642" s="111">
        <f t="shared" si="969"/>
        <v>0</v>
      </c>
      <c r="F642" s="111">
        <f t="shared" si="970"/>
        <v>0</v>
      </c>
      <c r="G642" s="112" t="str">
        <f t="shared" si="984"/>
        <v/>
      </c>
      <c r="H642" s="112" t="str">
        <f t="shared" si="971"/>
        <v/>
      </c>
      <c r="I642" s="112" t="str">
        <f t="shared" si="972"/>
        <v/>
      </c>
      <c r="J642" s="111">
        <f t="shared" si="973"/>
        <v>0</v>
      </c>
      <c r="K642" s="111">
        <f t="shared" si="974"/>
        <v>0</v>
      </c>
      <c r="L642" s="111">
        <f t="shared" si="975"/>
        <v>0</v>
      </c>
      <c r="O642" s="125" t="str">
        <f t="shared" si="980"/>
        <v>청해소재</v>
      </c>
      <c r="P642" s="126">
        <f t="shared" si="976"/>
        <v>0</v>
      </c>
      <c r="Q642" s="111">
        <f t="shared" si="977"/>
        <v>0</v>
      </c>
      <c r="R642" s="126" t="str">
        <f t="shared" si="961"/>
        <v/>
      </c>
      <c r="S642" s="122"/>
      <c r="T642" s="125" t="str">
        <f t="shared" si="978"/>
        <v>청해소재</v>
      </c>
      <c r="U642" s="126">
        <f t="shared" si="978"/>
        <v>0</v>
      </c>
      <c r="V642" s="111">
        <f t="shared" si="978"/>
        <v>0</v>
      </c>
      <c r="W642" s="127" t="str">
        <f t="shared" si="963"/>
        <v/>
      </c>
      <c r="X642" s="148">
        <f t="shared" si="979"/>
        <v>0</v>
      </c>
      <c r="Y642" s="111"/>
      <c r="Z642" s="155" t="str">
        <f>IFERROR(IF(X642=0,"",X642/Y642),"")</f>
        <v/>
      </c>
      <c r="AN642" s="335"/>
      <c r="AO642" s="336">
        <f t="shared" si="983"/>
        <v>0</v>
      </c>
      <c r="AP642" s="452"/>
      <c r="AQ642" s="240" t="s">
        <v>157</v>
      </c>
    </row>
    <row r="643" spans="2:43" ht="17.45" hidden="1" customHeight="1" outlineLevel="1">
      <c r="B643" s="1172"/>
      <c r="C643" s="110" t="s">
        <v>365</v>
      </c>
      <c r="D643" s="111">
        <f t="shared" si="968"/>
        <v>0</v>
      </c>
      <c r="E643" s="111">
        <f t="shared" si="969"/>
        <v>0</v>
      </c>
      <c r="F643" s="111">
        <f t="shared" si="970"/>
        <v>0</v>
      </c>
      <c r="G643" s="112" t="str">
        <f t="shared" si="984"/>
        <v/>
      </c>
      <c r="H643" s="112" t="str">
        <f>IFERROR(E643/F643,"")</f>
        <v/>
      </c>
      <c r="I643" s="112" t="str">
        <f>IFERROR(G643+H643,"")</f>
        <v/>
      </c>
      <c r="J643" s="111">
        <f t="shared" si="973"/>
        <v>0</v>
      </c>
      <c r="K643" s="111">
        <f t="shared" si="974"/>
        <v>0</v>
      </c>
      <c r="L643" s="111">
        <f t="shared" si="975"/>
        <v>0</v>
      </c>
      <c r="O643" s="125" t="str">
        <f t="shared" si="980"/>
        <v>김천에너지</v>
      </c>
      <c r="P643" s="126">
        <f t="shared" si="976"/>
        <v>0</v>
      </c>
      <c r="Q643" s="111">
        <f t="shared" si="977"/>
        <v>0</v>
      </c>
      <c r="R643" s="126" t="str">
        <f t="shared" si="961"/>
        <v/>
      </c>
      <c r="S643" s="122"/>
      <c r="T643" s="125" t="str">
        <f t="shared" si="978"/>
        <v>김천에너지</v>
      </c>
      <c r="U643" s="126">
        <f t="shared" si="978"/>
        <v>0</v>
      </c>
      <c r="V643" s="111">
        <f t="shared" si="978"/>
        <v>0</v>
      </c>
      <c r="W643" s="127" t="str">
        <f t="shared" si="963"/>
        <v/>
      </c>
      <c r="X643" s="148">
        <f t="shared" si="979"/>
        <v>0</v>
      </c>
      <c r="Y643" s="111"/>
      <c r="Z643" s="155" t="str">
        <f t="shared" ref="Z643:Z652" si="985">IFERROR(IF(X643=0,"",X643/Y643),"")</f>
        <v/>
      </c>
      <c r="AN643" s="335"/>
      <c r="AO643" s="336">
        <f t="shared" si="983"/>
        <v>0</v>
      </c>
      <c r="AP643" s="452"/>
    </row>
    <row r="644" spans="2:43" ht="17.45" hidden="1" customHeight="1" outlineLevel="1">
      <c r="B644" s="1172"/>
      <c r="C644" s="110" t="s">
        <v>107</v>
      </c>
      <c r="D644" s="111">
        <f t="shared" si="968"/>
        <v>0</v>
      </c>
      <c r="E644" s="111">
        <f t="shared" si="969"/>
        <v>0</v>
      </c>
      <c r="F644" s="111">
        <f t="shared" si="970"/>
        <v>0</v>
      </c>
      <c r="G644" s="112" t="str">
        <f t="shared" si="984"/>
        <v/>
      </c>
      <c r="H644" s="112" t="str">
        <f t="shared" ref="H644:H647" si="986">IFERROR(E644/F644,"")</f>
        <v/>
      </c>
      <c r="I644" s="112" t="str">
        <f t="shared" ref="I644:I647" si="987">IFERROR(G644+H644,"")</f>
        <v/>
      </c>
      <c r="J644" s="111">
        <f t="shared" si="973"/>
        <v>0</v>
      </c>
      <c r="K644" s="111">
        <f t="shared" si="974"/>
        <v>0</v>
      </c>
      <c r="L644" s="111">
        <f t="shared" si="975"/>
        <v>0</v>
      </c>
      <c r="O644" s="125" t="str">
        <f t="shared" si="980"/>
        <v>대구염색공단</v>
      </c>
      <c r="P644" s="126">
        <f t="shared" si="976"/>
        <v>0</v>
      </c>
      <c r="Q644" s="111">
        <f t="shared" si="977"/>
        <v>0</v>
      </c>
      <c r="R644" s="126" t="str">
        <f t="shared" si="961"/>
        <v/>
      </c>
      <c r="S644" s="122"/>
      <c r="T644" s="125" t="str">
        <f t="shared" si="978"/>
        <v>대구염색공단</v>
      </c>
      <c r="U644" s="126">
        <f t="shared" si="978"/>
        <v>0</v>
      </c>
      <c r="V644" s="111">
        <f t="shared" si="978"/>
        <v>0</v>
      </c>
      <c r="W644" s="127" t="str">
        <f t="shared" si="963"/>
        <v/>
      </c>
      <c r="X644" s="148">
        <f t="shared" si="979"/>
        <v>0</v>
      </c>
      <c r="Y644" s="111"/>
      <c r="Z644" s="155" t="str">
        <f t="shared" si="985"/>
        <v/>
      </c>
      <c r="AN644" s="335"/>
      <c r="AO644" s="336">
        <f t="shared" si="983"/>
        <v>0</v>
      </c>
      <c r="AP644" s="452"/>
    </row>
    <row r="645" spans="2:43" ht="17.45" hidden="1" customHeight="1" outlineLevel="1">
      <c r="B645" s="1172"/>
      <c r="C645" s="110" t="s">
        <v>108</v>
      </c>
      <c r="D645" s="111">
        <f t="shared" si="968"/>
        <v>0</v>
      </c>
      <c r="E645" s="111">
        <f t="shared" si="969"/>
        <v>0</v>
      </c>
      <c r="F645" s="111">
        <f t="shared" si="970"/>
        <v>0</v>
      </c>
      <c r="G645" s="112" t="str">
        <f t="shared" si="984"/>
        <v/>
      </c>
      <c r="H645" s="112" t="str">
        <f t="shared" si="986"/>
        <v/>
      </c>
      <c r="I645" s="112" t="str">
        <f t="shared" si="987"/>
        <v/>
      </c>
      <c r="J645" s="111">
        <f t="shared" si="973"/>
        <v>0</v>
      </c>
      <c r="K645" s="111">
        <f t="shared" si="974"/>
        <v>0</v>
      </c>
      <c r="L645" s="111">
        <f t="shared" si="975"/>
        <v>0</v>
      </c>
      <c r="O645" s="125" t="str">
        <f t="shared" si="980"/>
        <v>SNNC(니켈)</v>
      </c>
      <c r="P645" s="126">
        <f t="shared" si="976"/>
        <v>0</v>
      </c>
      <c r="Q645" s="111">
        <f t="shared" si="977"/>
        <v>0</v>
      </c>
      <c r="R645" s="126" t="str">
        <f t="shared" si="961"/>
        <v/>
      </c>
      <c r="S645" s="122"/>
      <c r="T645" s="125" t="str">
        <f t="shared" si="978"/>
        <v>SNNC(니켈)</v>
      </c>
      <c r="U645" s="126">
        <f t="shared" si="978"/>
        <v>0</v>
      </c>
      <c r="V645" s="111">
        <f t="shared" si="978"/>
        <v>0</v>
      </c>
      <c r="W645" s="127" t="str">
        <f t="shared" si="963"/>
        <v/>
      </c>
      <c r="X645" s="148">
        <f t="shared" si="979"/>
        <v>0</v>
      </c>
      <c r="Y645" s="111"/>
      <c r="Z645" s="155" t="str">
        <f t="shared" si="985"/>
        <v/>
      </c>
      <c r="AN645" s="335"/>
      <c r="AO645" s="336">
        <f t="shared" si="983"/>
        <v>0</v>
      </c>
      <c r="AP645" s="452"/>
    </row>
    <row r="646" spans="2:43" ht="17.45" hidden="1" customHeight="1" outlineLevel="1">
      <c r="B646" s="1172"/>
      <c r="C646" s="110" t="s">
        <v>130</v>
      </c>
      <c r="D646" s="111">
        <f t="shared" si="968"/>
        <v>0</v>
      </c>
      <c r="E646" s="111">
        <f t="shared" si="969"/>
        <v>0</v>
      </c>
      <c r="F646" s="111">
        <f t="shared" si="970"/>
        <v>0</v>
      </c>
      <c r="G646" s="112" t="str">
        <f t="shared" si="984"/>
        <v/>
      </c>
      <c r="H646" s="112" t="str">
        <f t="shared" si="986"/>
        <v/>
      </c>
      <c r="I646" s="112" t="str">
        <f t="shared" si="987"/>
        <v/>
      </c>
      <c r="J646" s="111">
        <f t="shared" si="973"/>
        <v>0</v>
      </c>
      <c r="K646" s="111">
        <f t="shared" si="974"/>
        <v>0</v>
      </c>
      <c r="L646" s="111">
        <f t="shared" si="975"/>
        <v>0</v>
      </c>
      <c r="O646" s="125" t="str">
        <f t="shared" si="980"/>
        <v>SK-N(고려시멘트)</v>
      </c>
      <c r="P646" s="126">
        <f t="shared" si="976"/>
        <v>0</v>
      </c>
      <c r="Q646" s="111">
        <f t="shared" si="977"/>
        <v>0</v>
      </c>
      <c r="R646" s="126" t="str">
        <f t="shared" si="961"/>
        <v/>
      </c>
      <c r="S646" s="122"/>
      <c r="T646" s="125" t="str">
        <f t="shared" si="978"/>
        <v>SK-N(고려시멘트)</v>
      </c>
      <c r="U646" s="126">
        <f t="shared" si="978"/>
        <v>0</v>
      </c>
      <c r="V646" s="111">
        <f t="shared" si="978"/>
        <v>0</v>
      </c>
      <c r="W646" s="127" t="str">
        <f t="shared" si="963"/>
        <v/>
      </c>
      <c r="X646" s="148">
        <f t="shared" si="979"/>
        <v>0</v>
      </c>
      <c r="Y646" s="111"/>
      <c r="Z646" s="155" t="str">
        <f t="shared" si="985"/>
        <v/>
      </c>
      <c r="AN646" s="335"/>
      <c r="AO646" s="336">
        <f t="shared" si="983"/>
        <v>0</v>
      </c>
      <c r="AP646" s="452"/>
    </row>
    <row r="647" spans="2:43" ht="17.45" hidden="1" customHeight="1" outlineLevel="1">
      <c r="B647" s="1172"/>
      <c r="C647" s="110" t="s">
        <v>68</v>
      </c>
      <c r="D647" s="111">
        <f t="shared" si="968"/>
        <v>55000</v>
      </c>
      <c r="E647" s="111">
        <f t="shared" si="969"/>
        <v>0</v>
      </c>
      <c r="F647" s="111">
        <f t="shared" si="970"/>
        <v>55000</v>
      </c>
      <c r="G647" s="112">
        <f t="shared" si="984"/>
        <v>1</v>
      </c>
      <c r="H647" s="112">
        <f t="shared" si="986"/>
        <v>0</v>
      </c>
      <c r="I647" s="112">
        <f t="shared" si="987"/>
        <v>1</v>
      </c>
      <c r="J647" s="111">
        <f t="shared" si="973"/>
        <v>1</v>
      </c>
      <c r="K647" s="111">
        <f t="shared" si="974"/>
        <v>0</v>
      </c>
      <c r="L647" s="111">
        <f t="shared" si="975"/>
        <v>1</v>
      </c>
      <c r="O647" s="125" t="str">
        <f t="shared" si="980"/>
        <v>SNNC</v>
      </c>
      <c r="P647" s="126">
        <f>SUMIF($B$70:$B$85,O647,$I$70:$I$85)/2</f>
        <v>5.5645833333328483</v>
      </c>
      <c r="Q647" s="111">
        <f t="shared" si="977"/>
        <v>1</v>
      </c>
      <c r="R647" s="126">
        <f t="shared" si="961"/>
        <v>5.5645833333328483</v>
      </c>
      <c r="S647" s="122"/>
      <c r="T647" s="125" t="str">
        <f t="shared" si="978"/>
        <v>SNNC</v>
      </c>
      <c r="U647" s="126">
        <f t="shared" si="978"/>
        <v>5.5645833333328483</v>
      </c>
      <c r="V647" s="111">
        <f t="shared" si="978"/>
        <v>1</v>
      </c>
      <c r="W647" s="127">
        <f t="shared" si="963"/>
        <v>5.5645833333328483</v>
      </c>
      <c r="X647" s="148">
        <f t="shared" si="979"/>
        <v>55</v>
      </c>
      <c r="Y647" s="111"/>
      <c r="Z647" s="155" t="str">
        <f t="shared" si="985"/>
        <v/>
      </c>
      <c r="AN647" s="335"/>
      <c r="AO647" s="336">
        <f t="shared" si="983"/>
        <v>55</v>
      </c>
      <c r="AP647" s="452"/>
    </row>
    <row r="648" spans="2:43" ht="17.45" hidden="1" customHeight="1" outlineLevel="1" thickBot="1">
      <c r="B648" s="1172"/>
      <c r="C648" s="113" t="s">
        <v>61</v>
      </c>
      <c r="D648" s="114">
        <f>SUM(D633:D647)</f>
        <v>55000</v>
      </c>
      <c r="E648" s="179">
        <f>SUM(E633:E647)</f>
        <v>52500</v>
      </c>
      <c r="F648" s="114">
        <f>SUM(F633:F647)</f>
        <v>107500</v>
      </c>
      <c r="G648" s="115">
        <f t="shared" si="984"/>
        <v>0.51162790697674421</v>
      </c>
      <c r="H648" s="185">
        <f>IFERROR(E648/F648,"")</f>
        <v>0.48837209302325579</v>
      </c>
      <c r="I648" s="115">
        <f>IFERROR(G648+H648,"")</f>
        <v>1</v>
      </c>
      <c r="J648" s="114">
        <f t="shared" ref="J648:L648" si="988">SUM(J633:J647)</f>
        <v>1</v>
      </c>
      <c r="K648" s="114">
        <f t="shared" si="988"/>
        <v>1</v>
      </c>
      <c r="L648" s="114">
        <f t="shared" si="988"/>
        <v>2</v>
      </c>
      <c r="O648" s="128" t="s">
        <v>61</v>
      </c>
      <c r="P648" s="129">
        <f>SUM(P633:P647)</f>
        <v>11.974305555551837</v>
      </c>
      <c r="Q648" s="114">
        <f>SUM(Q633:Q647)</f>
        <v>2</v>
      </c>
      <c r="R648" s="129">
        <f t="shared" si="961"/>
        <v>5.9871527777759184</v>
      </c>
      <c r="S648" s="122"/>
      <c r="T648" s="128" t="s">
        <v>61</v>
      </c>
      <c r="U648" s="129">
        <f>SUM(U633:U647)</f>
        <v>11.974305555551837</v>
      </c>
      <c r="V648" s="114">
        <f>SUM(V633:V647)</f>
        <v>2</v>
      </c>
      <c r="W648" s="130">
        <f>IFERROR(U648/V648,"")</f>
        <v>5.9871527777759184</v>
      </c>
      <c r="X648" s="179">
        <f>SUM(X633:X647)</f>
        <v>107.5</v>
      </c>
      <c r="Y648" s="114">
        <f>SUM(Y633:Y647)</f>
        <v>0</v>
      </c>
      <c r="Z648" s="176" t="str">
        <f t="shared" si="985"/>
        <v/>
      </c>
      <c r="AN648" s="341">
        <f>SUM(AN633:AN647)</f>
        <v>0</v>
      </c>
      <c r="AO648" s="341">
        <f>SUM(AO633:AO647)</f>
        <v>107.5</v>
      </c>
      <c r="AP648" s="455"/>
    </row>
    <row r="649" spans="2:43" ht="17.45" hidden="1" customHeight="1" outlineLevel="1" thickBot="1">
      <c r="B649" s="1106" t="s">
        <v>57</v>
      </c>
      <c r="C649" s="1106"/>
      <c r="D649" s="147">
        <f>SUM(D648,D632)</f>
        <v>143000</v>
      </c>
      <c r="E649" s="182">
        <f>SUM(E648,E632)</f>
        <v>209450</v>
      </c>
      <c r="F649" s="149">
        <f>SUM(F648,F632)</f>
        <v>352450</v>
      </c>
      <c r="G649" s="183">
        <f t="shared" si="984"/>
        <v>0.40573130940558944</v>
      </c>
      <c r="H649" s="186">
        <f>IFERROR(E649/F649,"")</f>
        <v>0.59426869059441056</v>
      </c>
      <c r="I649" s="184">
        <f>IFERROR(G649+H649,"")</f>
        <v>1</v>
      </c>
      <c r="J649" s="116">
        <f t="shared" ref="J649:L649" si="989">SUM(J648,J632)</f>
        <v>2</v>
      </c>
      <c r="K649" s="116">
        <f t="shared" si="989"/>
        <v>4</v>
      </c>
      <c r="L649" s="116">
        <f t="shared" si="989"/>
        <v>6</v>
      </c>
      <c r="O649" s="131" t="s">
        <v>79</v>
      </c>
      <c r="P649" s="132">
        <f>SUM(P648,P632)</f>
        <v>45.307638888887595</v>
      </c>
      <c r="Q649" s="116">
        <f>SUM(Q648,Q632)</f>
        <v>6</v>
      </c>
      <c r="R649" s="132">
        <f>IFERROR(P649/Q649,"")</f>
        <v>7.5512731481479323</v>
      </c>
      <c r="S649" s="122"/>
      <c r="T649" s="131" t="s">
        <v>76</v>
      </c>
      <c r="U649" s="132">
        <f>SUM(U648,U632)</f>
        <v>45.307638888887595</v>
      </c>
      <c r="V649" s="147">
        <f>SUM(V648,V632)</f>
        <v>6</v>
      </c>
      <c r="W649" s="173">
        <f t="shared" ref="W649:W650" si="990">IFERROR(U649/V649,"")</f>
        <v>7.5512731481479323</v>
      </c>
      <c r="X649" s="182">
        <f>SUM(X632,X648)</f>
        <v>352.45</v>
      </c>
      <c r="Y649" s="175">
        <f>SUM(Y632,Y648)</f>
        <v>0</v>
      </c>
      <c r="Z649" s="178" t="str">
        <f t="shared" si="985"/>
        <v/>
      </c>
      <c r="AN649" s="342">
        <f>SUM(AN632,AN648)</f>
        <v>0</v>
      </c>
      <c r="AO649" s="342">
        <f>SUM(AO632,AO648)</f>
        <v>352.45</v>
      </c>
      <c r="AP649" s="456"/>
    </row>
    <row r="650" spans="2:43" ht="17.45" hidden="1" customHeight="1" outlineLevel="1">
      <c r="D650" s="344" t="str">
        <f>IF(D649=L85,"","CHECK")</f>
        <v/>
      </c>
      <c r="E650" s="344" t="str">
        <f>IF(E649=M85,"","CHECK")</f>
        <v>CHECK</v>
      </c>
      <c r="F650" s="344" t="str">
        <f>IF(F649=N85,"","CHECK")</f>
        <v>CHECK</v>
      </c>
      <c r="O650" s="134" t="s">
        <v>77</v>
      </c>
      <c r="P650" s="126"/>
      <c r="Q650" s="126"/>
      <c r="R650" s="126" t="str">
        <f>IFERROR(P650/Q650,"")</f>
        <v/>
      </c>
      <c r="S650" s="122"/>
      <c r="T650" s="134" t="s">
        <v>77</v>
      </c>
      <c r="U650" s="126"/>
      <c r="V650" s="111"/>
      <c r="W650" s="135" t="str">
        <f t="shared" si="990"/>
        <v/>
      </c>
      <c r="X650" s="180"/>
      <c r="Y650" s="126"/>
      <c r="Z650" s="181" t="str">
        <f t="shared" si="985"/>
        <v/>
      </c>
      <c r="AN650" s="335"/>
      <c r="AO650" s="336">
        <f t="shared" ref="AO650:AO651" si="991">X650-Y650</f>
        <v>0</v>
      </c>
      <c r="AP650" s="452"/>
    </row>
    <row r="651" spans="2:43" ht="17.45" hidden="1" customHeight="1" outlineLevel="1">
      <c r="T651" s="345" t="s">
        <v>109</v>
      </c>
      <c r="U651" s="345"/>
      <c r="V651" s="328"/>
      <c r="W651" s="355"/>
      <c r="X651" s="355">
        <f>G666</f>
        <v>45.939140000000002</v>
      </c>
      <c r="Y651" s="347"/>
      <c r="Z651" s="155" t="str">
        <f t="shared" si="985"/>
        <v/>
      </c>
      <c r="AN651" s="335"/>
      <c r="AO651" s="336">
        <f t="shared" si="991"/>
        <v>45.939140000000002</v>
      </c>
      <c r="AP651" s="452"/>
    </row>
    <row r="652" spans="2:43" ht="17.45" hidden="1" customHeight="1" outlineLevel="1">
      <c r="B652" s="1173" t="s">
        <v>80</v>
      </c>
      <c r="C652" s="1177" t="s">
        <v>52</v>
      </c>
      <c r="D652" s="1177"/>
      <c r="E652" s="1177"/>
      <c r="F652" s="1177" t="s">
        <v>73</v>
      </c>
      <c r="G652" s="1177" t="s">
        <v>75</v>
      </c>
      <c r="H652" s="1177" t="s">
        <v>95</v>
      </c>
      <c r="I652" s="119"/>
      <c r="J652" s="1173" t="s">
        <v>132</v>
      </c>
      <c r="K652" s="1174" t="s">
        <v>124</v>
      </c>
      <c r="L652" s="1174"/>
      <c r="M652" s="1174"/>
      <c r="N652" s="1174" t="s">
        <v>75</v>
      </c>
      <c r="O652" s="1174"/>
      <c r="P652" s="1174"/>
      <c r="Q652" s="1175" t="s">
        <v>72</v>
      </c>
      <c r="R652" s="1175" t="s">
        <v>73</v>
      </c>
      <c r="S652" s="1175" t="s">
        <v>74</v>
      </c>
      <c r="T652" s="262" t="s">
        <v>110</v>
      </c>
      <c r="U652" s="262"/>
      <c r="V652" s="334"/>
      <c r="W652" s="356"/>
      <c r="X652" s="356">
        <f>SUM(X649,X650,X651)</f>
        <v>398.38914</v>
      </c>
      <c r="Y652" s="354">
        <f>SUM(Y649,Y651)</f>
        <v>0</v>
      </c>
      <c r="Z652" s="158" t="str">
        <f t="shared" si="985"/>
        <v/>
      </c>
      <c r="AN652" s="342">
        <f>SUM(AN649,AN651)</f>
        <v>0</v>
      </c>
      <c r="AO652" s="342">
        <f>SUM(AO649,AO651)</f>
        <v>398.38914</v>
      </c>
      <c r="AP652" s="456"/>
    </row>
    <row r="653" spans="2:43" ht="17.45" hidden="1" customHeight="1" outlineLevel="1">
      <c r="B653" s="1173"/>
      <c r="C653" s="628" t="s">
        <v>55</v>
      </c>
      <c r="D653" s="628" t="s">
        <v>56</v>
      </c>
      <c r="E653" s="628" t="s">
        <v>57</v>
      </c>
      <c r="F653" s="1177"/>
      <c r="G653" s="1177"/>
      <c r="H653" s="1177"/>
      <c r="I653" s="119"/>
      <c r="J653" s="1173"/>
      <c r="K653" s="627" t="s">
        <v>125</v>
      </c>
      <c r="L653" s="627" t="s">
        <v>126</v>
      </c>
      <c r="M653" s="627" t="s">
        <v>123</v>
      </c>
      <c r="N653" s="627" t="s">
        <v>125</v>
      </c>
      <c r="O653" s="627" t="s">
        <v>126</v>
      </c>
      <c r="P653" s="627" t="s">
        <v>123</v>
      </c>
      <c r="Q653" s="1176"/>
      <c r="R653" s="1176"/>
      <c r="S653" s="1176"/>
      <c r="T653" s="57"/>
      <c r="U653" s="57"/>
      <c r="V653" s="57"/>
      <c r="W653" s="57"/>
      <c r="X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  <c r="AN653" s="57"/>
      <c r="AO653" s="57"/>
      <c r="AP653" s="57"/>
      <c r="AQ653" s="57"/>
    </row>
    <row r="654" spans="2:43" ht="17.45" hidden="1" customHeight="1" outlineLevel="1">
      <c r="B654" s="139" t="s">
        <v>81</v>
      </c>
      <c r="C654" s="111">
        <f t="shared" ref="C654:C664" si="992">SUMIF($R$70:$R$85,B654,$L$70:$L$85)</f>
        <v>0</v>
      </c>
      <c r="D654" s="111">
        <f t="shared" ref="D654:D664" si="993">SUMIF($R$70:$R$85,B654,$M$70:$M$85)</f>
        <v>209450</v>
      </c>
      <c r="E654" s="111">
        <f>C654+D654</f>
        <v>209450</v>
      </c>
      <c r="F654" s="111">
        <f t="shared" ref="F654:F664" si="994">SUMIF($R$70:$R$85,B654,$AZ$70:$AZ$85)</f>
        <v>4</v>
      </c>
      <c r="G654" s="111">
        <f>E654/1000</f>
        <v>209.45</v>
      </c>
      <c r="H654" s="111"/>
      <c r="I654" s="119"/>
      <c r="J654" s="139" t="s">
        <v>117</v>
      </c>
      <c r="K654" s="111">
        <f t="shared" ref="K654:K661" si="995">SUMIF($Q$70:$Q$85,J654,$L$70:$L$85)</f>
        <v>0</v>
      </c>
      <c r="L654" s="111">
        <f t="shared" ref="L654:L661" si="996">SUMIF($Q$70:$Q$85,J654,$M$70:$M$85)</f>
        <v>0</v>
      </c>
      <c r="M654" s="202">
        <f>K654+L654</f>
        <v>0</v>
      </c>
      <c r="N654" s="202">
        <f>K654/1000</f>
        <v>0</v>
      </c>
      <c r="O654" s="202">
        <f>L654/1000</f>
        <v>0</v>
      </c>
      <c r="P654" s="202">
        <f>N654+O654</f>
        <v>0</v>
      </c>
      <c r="Q654" s="358">
        <f t="shared" ref="Q654:Q661" si="997">SUMIF($Q$70:$Q$86,J654,$I$70:$I$86)</f>
        <v>0</v>
      </c>
      <c r="R654" s="111">
        <f t="shared" ref="R654:R661" si="998">SUMIF($Q$70:$Q$86,J654,$AZ$70:$AZ$86)</f>
        <v>0</v>
      </c>
      <c r="S654" s="126" t="str">
        <f>IFERROR(Q654/R654,"")</f>
        <v/>
      </c>
      <c r="T654" s="57"/>
      <c r="U654" s="57"/>
      <c r="V654" s="57"/>
      <c r="W654" s="57"/>
      <c r="X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  <c r="AN654" s="57"/>
      <c r="AO654" s="57"/>
      <c r="AP654" s="57"/>
      <c r="AQ654" s="57"/>
    </row>
    <row r="655" spans="2:43" ht="17.45" hidden="1" customHeight="1" outlineLevel="1">
      <c r="B655" s="139" t="s">
        <v>82</v>
      </c>
      <c r="C655" s="111">
        <f t="shared" si="992"/>
        <v>55000</v>
      </c>
      <c r="D655" s="111">
        <f t="shared" si="993"/>
        <v>0</v>
      </c>
      <c r="E655" s="111">
        <f t="shared" ref="E655:E664" si="999">C655+D655</f>
        <v>55000</v>
      </c>
      <c r="F655" s="111">
        <f t="shared" si="994"/>
        <v>1</v>
      </c>
      <c r="G655" s="111">
        <f t="shared" ref="G655:G664" si="1000">E655/1000</f>
        <v>55</v>
      </c>
      <c r="H655" s="111"/>
      <c r="I655" s="119"/>
      <c r="J655" s="139" t="s">
        <v>118</v>
      </c>
      <c r="K655" s="111">
        <f t="shared" si="995"/>
        <v>0</v>
      </c>
      <c r="L655" s="111">
        <f t="shared" si="996"/>
        <v>73950</v>
      </c>
      <c r="M655" s="202">
        <f t="shared" ref="M655:M661" si="1001">K655+L655</f>
        <v>73950</v>
      </c>
      <c r="N655" s="202">
        <f t="shared" ref="N655:O661" si="1002">K655/1000</f>
        <v>0</v>
      </c>
      <c r="O655" s="202">
        <f t="shared" si="1002"/>
        <v>73.95</v>
      </c>
      <c r="P655" s="202">
        <f t="shared" ref="P655:P661" si="1003">N655+O655</f>
        <v>73.95</v>
      </c>
      <c r="Q655" s="358">
        <f t="shared" si="997"/>
        <v>14.841666666667152</v>
      </c>
      <c r="R655" s="111">
        <f t="shared" si="998"/>
        <v>1</v>
      </c>
      <c r="S655" s="126">
        <f t="shared" ref="S655:S661" si="1004">IFERROR(Q655/R655,"")</f>
        <v>14.841666666667152</v>
      </c>
      <c r="T655" s="57"/>
      <c r="U655" s="57"/>
      <c r="V655" s="57"/>
      <c r="W655" s="57"/>
      <c r="X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  <c r="AN655" s="57"/>
      <c r="AO655" s="57"/>
      <c r="AP655" s="57"/>
      <c r="AQ655" s="57"/>
    </row>
    <row r="656" spans="2:43" ht="17.45" hidden="1" customHeight="1" outlineLevel="1">
      <c r="B656" s="139" t="s">
        <v>83</v>
      </c>
      <c r="C656" s="111">
        <f t="shared" si="992"/>
        <v>88000</v>
      </c>
      <c r="D656" s="111">
        <f t="shared" si="993"/>
        <v>0</v>
      </c>
      <c r="E656" s="111">
        <f t="shared" si="999"/>
        <v>88000</v>
      </c>
      <c r="F656" s="111">
        <f t="shared" si="994"/>
        <v>1</v>
      </c>
      <c r="G656" s="111">
        <f t="shared" si="1000"/>
        <v>88</v>
      </c>
      <c r="H656" s="111"/>
      <c r="I656" s="119"/>
      <c r="J656" s="139" t="s">
        <v>119</v>
      </c>
      <c r="K656" s="111">
        <f t="shared" si="995"/>
        <v>0</v>
      </c>
      <c r="L656" s="111">
        <f t="shared" si="996"/>
        <v>0</v>
      </c>
      <c r="M656" s="202">
        <f t="shared" si="1001"/>
        <v>0</v>
      </c>
      <c r="N656" s="202">
        <f t="shared" si="1002"/>
        <v>0</v>
      </c>
      <c r="O656" s="202">
        <f t="shared" si="1002"/>
        <v>0</v>
      </c>
      <c r="P656" s="202">
        <f t="shared" si="1003"/>
        <v>0</v>
      </c>
      <c r="Q656" s="358">
        <f t="shared" si="997"/>
        <v>0</v>
      </c>
      <c r="R656" s="111">
        <f t="shared" si="998"/>
        <v>0</v>
      </c>
      <c r="S656" s="126" t="str">
        <f t="shared" si="1004"/>
        <v/>
      </c>
      <c r="T656" s="57"/>
      <c r="U656" s="57"/>
      <c r="V656" s="57"/>
      <c r="W656" s="57"/>
      <c r="X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  <c r="AN656" s="57"/>
      <c r="AO656" s="57"/>
      <c r="AP656" s="57"/>
      <c r="AQ656" s="57"/>
    </row>
    <row r="657" spans="2:43" ht="17.45" hidden="1" customHeight="1" outlineLevel="1">
      <c r="B657" s="139" t="s">
        <v>84</v>
      </c>
      <c r="C657" s="111">
        <f t="shared" si="992"/>
        <v>0</v>
      </c>
      <c r="D657" s="111">
        <f t="shared" si="993"/>
        <v>0</v>
      </c>
      <c r="E657" s="111">
        <f t="shared" si="999"/>
        <v>0</v>
      </c>
      <c r="F657" s="111">
        <f t="shared" si="994"/>
        <v>0</v>
      </c>
      <c r="G657" s="111">
        <f t="shared" si="1000"/>
        <v>0</v>
      </c>
      <c r="H657" s="111"/>
      <c r="I657" s="119"/>
      <c r="J657" s="139" t="s">
        <v>113</v>
      </c>
      <c r="K657" s="111">
        <f t="shared" si="995"/>
        <v>0</v>
      </c>
      <c r="L657" s="111">
        <f t="shared" si="996"/>
        <v>0</v>
      </c>
      <c r="M657" s="202">
        <f t="shared" si="1001"/>
        <v>0</v>
      </c>
      <c r="N657" s="202">
        <f t="shared" si="1002"/>
        <v>0</v>
      </c>
      <c r="O657" s="202">
        <f t="shared" si="1002"/>
        <v>0</v>
      </c>
      <c r="P657" s="202">
        <f t="shared" si="1003"/>
        <v>0</v>
      </c>
      <c r="Q657" s="358">
        <f t="shared" si="997"/>
        <v>0</v>
      </c>
      <c r="R657" s="111">
        <f t="shared" si="998"/>
        <v>0</v>
      </c>
      <c r="S657" s="126" t="str">
        <f t="shared" si="1004"/>
        <v/>
      </c>
      <c r="T657" s="57"/>
      <c r="U657" s="57"/>
      <c r="V657" s="57"/>
      <c r="W657" s="57"/>
      <c r="X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  <c r="AN657" s="57"/>
      <c r="AO657" s="57"/>
      <c r="AP657" s="57"/>
      <c r="AQ657" s="57"/>
    </row>
    <row r="658" spans="2:43" ht="17.45" hidden="1" customHeight="1" outlineLevel="1">
      <c r="B658" s="139" t="s">
        <v>223</v>
      </c>
      <c r="C658" s="111">
        <f t="shared" si="992"/>
        <v>0</v>
      </c>
      <c r="D658" s="111">
        <f t="shared" si="993"/>
        <v>0</v>
      </c>
      <c r="E658" s="111">
        <f t="shared" si="999"/>
        <v>0</v>
      </c>
      <c r="F658" s="111">
        <f t="shared" si="994"/>
        <v>0</v>
      </c>
      <c r="G658" s="111">
        <f t="shared" si="1000"/>
        <v>0</v>
      </c>
      <c r="H658" s="111"/>
      <c r="I658" s="119"/>
      <c r="J658" s="139" t="s">
        <v>120</v>
      </c>
      <c r="K658" s="111">
        <f t="shared" si="995"/>
        <v>143000</v>
      </c>
      <c r="L658" s="111">
        <f t="shared" si="996"/>
        <v>18000</v>
      </c>
      <c r="M658" s="202">
        <f t="shared" si="1001"/>
        <v>161000</v>
      </c>
      <c r="N658" s="202">
        <f t="shared" si="1002"/>
        <v>143</v>
      </c>
      <c r="O658" s="202">
        <f t="shared" si="1002"/>
        <v>18</v>
      </c>
      <c r="P658" s="202">
        <f t="shared" si="1003"/>
        <v>161</v>
      </c>
      <c r="Q658" s="358">
        <f t="shared" si="997"/>
        <v>17.541666666671517</v>
      </c>
      <c r="R658" s="111">
        <f t="shared" si="998"/>
        <v>3</v>
      </c>
      <c r="S658" s="126">
        <f t="shared" si="1004"/>
        <v>5.8472222222238388</v>
      </c>
      <c r="T658" s="57"/>
      <c r="U658" s="57"/>
      <c r="V658" s="57"/>
      <c r="W658" s="57"/>
      <c r="X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  <c r="AN658" s="57"/>
      <c r="AO658" s="57"/>
      <c r="AP658" s="57"/>
      <c r="AQ658" s="57"/>
    </row>
    <row r="659" spans="2:43" ht="17.45" hidden="1" customHeight="1" outlineLevel="1">
      <c r="B659" s="139" t="s">
        <v>158</v>
      </c>
      <c r="C659" s="111">
        <f t="shared" si="992"/>
        <v>0</v>
      </c>
      <c r="D659" s="111">
        <f t="shared" si="993"/>
        <v>0</v>
      </c>
      <c r="E659" s="111">
        <f t="shared" si="999"/>
        <v>0</v>
      </c>
      <c r="F659" s="111">
        <f t="shared" si="994"/>
        <v>0</v>
      </c>
      <c r="G659" s="111">
        <f t="shared" si="1000"/>
        <v>0</v>
      </c>
      <c r="H659" s="111"/>
      <c r="I659" s="119"/>
      <c r="J659" s="139" t="s">
        <v>121</v>
      </c>
      <c r="K659" s="111">
        <f t="shared" si="995"/>
        <v>0</v>
      </c>
      <c r="L659" s="111">
        <f t="shared" si="996"/>
        <v>0</v>
      </c>
      <c r="M659" s="202">
        <f t="shared" si="1001"/>
        <v>0</v>
      </c>
      <c r="N659" s="202">
        <f t="shared" si="1002"/>
        <v>0</v>
      </c>
      <c r="O659" s="202">
        <f t="shared" si="1002"/>
        <v>0</v>
      </c>
      <c r="P659" s="202">
        <f t="shared" si="1003"/>
        <v>0</v>
      </c>
      <c r="Q659" s="358">
        <f t="shared" si="997"/>
        <v>0</v>
      </c>
      <c r="R659" s="111">
        <f t="shared" si="998"/>
        <v>0</v>
      </c>
      <c r="S659" s="126" t="str">
        <f t="shared" si="1004"/>
        <v/>
      </c>
      <c r="T659" s="57"/>
      <c r="U659" s="57"/>
      <c r="V659" s="57"/>
      <c r="W659" s="57"/>
      <c r="X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  <c r="AN659" s="57"/>
      <c r="AO659" s="57"/>
      <c r="AP659" s="57"/>
      <c r="AQ659" s="57"/>
    </row>
    <row r="660" spans="2:43" ht="17.45" hidden="1" customHeight="1" outlineLevel="1">
      <c r="B660" s="139" t="s">
        <v>85</v>
      </c>
      <c r="C660" s="111">
        <f t="shared" si="992"/>
        <v>0</v>
      </c>
      <c r="D660" s="111">
        <f t="shared" si="993"/>
        <v>0</v>
      </c>
      <c r="E660" s="111">
        <f t="shared" si="999"/>
        <v>0</v>
      </c>
      <c r="F660" s="111">
        <f t="shared" si="994"/>
        <v>0</v>
      </c>
      <c r="G660" s="111">
        <f t="shared" si="1000"/>
        <v>0</v>
      </c>
      <c r="H660" s="111"/>
      <c r="I660" s="119"/>
      <c r="J660" s="139" t="s">
        <v>122</v>
      </c>
      <c r="K660" s="111">
        <f t="shared" si="995"/>
        <v>0</v>
      </c>
      <c r="L660" s="111">
        <f t="shared" si="996"/>
        <v>117500</v>
      </c>
      <c r="M660" s="202">
        <f t="shared" si="1001"/>
        <v>117500</v>
      </c>
      <c r="N660" s="202">
        <f t="shared" si="1002"/>
        <v>0</v>
      </c>
      <c r="O660" s="202">
        <f t="shared" si="1002"/>
        <v>117.5</v>
      </c>
      <c r="P660" s="202">
        <f t="shared" si="1003"/>
        <v>117.5</v>
      </c>
      <c r="Q660" s="358">
        <f t="shared" si="997"/>
        <v>18.488888888881775</v>
      </c>
      <c r="R660" s="111">
        <f t="shared" si="998"/>
        <v>2</v>
      </c>
      <c r="S660" s="126">
        <f t="shared" si="1004"/>
        <v>9.2444444444408873</v>
      </c>
      <c r="T660" s="57"/>
      <c r="U660" s="57"/>
      <c r="V660" s="57"/>
      <c r="W660" s="57"/>
      <c r="X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  <c r="AN660" s="57"/>
      <c r="AO660" s="57"/>
      <c r="AP660" s="57"/>
      <c r="AQ660" s="57"/>
    </row>
    <row r="661" spans="2:43" ht="17.45" hidden="1" customHeight="1" outlineLevel="1">
      <c r="B661" s="139" t="s">
        <v>96</v>
      </c>
      <c r="C661" s="111">
        <f t="shared" si="992"/>
        <v>0</v>
      </c>
      <c r="D661" s="111">
        <f t="shared" si="993"/>
        <v>0</v>
      </c>
      <c r="E661" s="111">
        <f t="shared" si="999"/>
        <v>0</v>
      </c>
      <c r="F661" s="111">
        <f t="shared" si="994"/>
        <v>0</v>
      </c>
      <c r="G661" s="111">
        <f t="shared" si="1000"/>
        <v>0</v>
      </c>
      <c r="H661" s="142" t="s">
        <v>30</v>
      </c>
      <c r="I661" s="119"/>
      <c r="J661" s="139" t="s">
        <v>162</v>
      </c>
      <c r="K661" s="111">
        <f t="shared" si="995"/>
        <v>0</v>
      </c>
      <c r="L661" s="111">
        <f t="shared" si="996"/>
        <v>7954</v>
      </c>
      <c r="M661" s="202">
        <f t="shared" si="1001"/>
        <v>7954</v>
      </c>
      <c r="N661" s="202">
        <f t="shared" si="1002"/>
        <v>0</v>
      </c>
      <c r="O661" s="202">
        <f t="shared" si="1002"/>
        <v>7.9539999999999997</v>
      </c>
      <c r="P661" s="202">
        <f t="shared" si="1003"/>
        <v>7.9539999999999997</v>
      </c>
      <c r="Q661" s="358">
        <f t="shared" si="997"/>
        <v>0</v>
      </c>
      <c r="R661" s="111">
        <f t="shared" si="998"/>
        <v>1</v>
      </c>
      <c r="S661" s="126">
        <f t="shared" si="1004"/>
        <v>0</v>
      </c>
      <c r="T661" s="57"/>
      <c r="U661" s="57"/>
      <c r="V661" s="57"/>
      <c r="W661" s="57"/>
      <c r="X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  <c r="AN661" s="57"/>
      <c r="AO661" s="57"/>
      <c r="AP661" s="57"/>
      <c r="AQ661" s="57"/>
    </row>
    <row r="662" spans="2:43" ht="17.45" hidden="1" customHeight="1" outlineLevel="1">
      <c r="B662" s="139" t="s">
        <v>86</v>
      </c>
      <c r="C662" s="111">
        <f t="shared" si="992"/>
        <v>0</v>
      </c>
      <c r="D662" s="111">
        <f t="shared" si="993"/>
        <v>0</v>
      </c>
      <c r="E662" s="111">
        <f t="shared" si="999"/>
        <v>0</v>
      </c>
      <c r="F662" s="111">
        <f t="shared" si="994"/>
        <v>0</v>
      </c>
      <c r="G662" s="111">
        <f t="shared" si="1000"/>
        <v>0</v>
      </c>
      <c r="H662" s="111"/>
      <c r="I662" s="119"/>
      <c r="J662" s="232" t="s">
        <v>123</v>
      </c>
      <c r="K662" s="203">
        <f>SUM(K654:K661)</f>
        <v>143000</v>
      </c>
      <c r="L662" s="203">
        <f t="shared" ref="L662:M662" si="1005">SUM(L654:L661)</f>
        <v>217404</v>
      </c>
      <c r="M662" s="203">
        <f t="shared" si="1005"/>
        <v>360404</v>
      </c>
      <c r="N662" s="203">
        <f>SUM(N654:N661)</f>
        <v>143</v>
      </c>
      <c r="O662" s="203">
        <f t="shared" ref="O662:P662" si="1006">SUM(O654:O661)</f>
        <v>217.404</v>
      </c>
      <c r="P662" s="203">
        <f t="shared" si="1006"/>
        <v>360.404</v>
      </c>
      <c r="Q662" s="359">
        <f>SUM(Q654:Q661)</f>
        <v>50.872222222220444</v>
      </c>
      <c r="R662" s="359">
        <f>SUM(R654:R661)</f>
        <v>7</v>
      </c>
      <c r="S662" s="359">
        <f>IFERROR(Q662/R662,"")</f>
        <v>7.2674603174600634</v>
      </c>
      <c r="T662" s="57"/>
      <c r="U662" s="57"/>
      <c r="V662" s="57"/>
      <c r="W662" s="57"/>
      <c r="X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  <c r="AN662" s="57"/>
      <c r="AO662" s="57"/>
      <c r="AP662" s="57"/>
      <c r="AQ662" s="57"/>
    </row>
    <row r="663" spans="2:43" ht="17.45" hidden="1" customHeight="1" outlineLevel="1">
      <c r="B663" s="139" t="s">
        <v>169</v>
      </c>
      <c r="C663" s="111">
        <f t="shared" si="992"/>
        <v>0</v>
      </c>
      <c r="D663" s="111">
        <f t="shared" si="993"/>
        <v>0</v>
      </c>
      <c r="E663" s="111">
        <f t="shared" si="999"/>
        <v>0</v>
      </c>
      <c r="F663" s="111">
        <f t="shared" si="994"/>
        <v>0</v>
      </c>
      <c r="G663" s="168">
        <f t="shared" si="1000"/>
        <v>0</v>
      </c>
      <c r="H663" s="111"/>
      <c r="I663" s="119"/>
      <c r="K663" s="343" t="str">
        <f>IF(K662=D649,"","CHECK")</f>
        <v/>
      </c>
      <c r="L663" s="343" t="str">
        <f>IF(L662=E649,"","CHECK")</f>
        <v>CHECK</v>
      </c>
      <c r="M663" s="343" t="str">
        <f>IF(M662=F649,"","CHECK")</f>
        <v>CHECK</v>
      </c>
      <c r="S663" s="343" t="str">
        <f>IF(S662=I675,"","CHECK")</f>
        <v>CHECK</v>
      </c>
      <c r="T663" s="57"/>
      <c r="U663" s="57"/>
      <c r="V663" s="57"/>
      <c r="W663" s="57"/>
      <c r="X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  <c r="AN663" s="57"/>
      <c r="AO663" s="57"/>
      <c r="AP663" s="57"/>
      <c r="AQ663" s="57"/>
    </row>
    <row r="664" spans="2:43" ht="17.45" hidden="1" customHeight="1" outlineLevel="1" thickBot="1">
      <c r="B664" s="139" t="s">
        <v>155</v>
      </c>
      <c r="C664" s="111">
        <f t="shared" si="992"/>
        <v>0</v>
      </c>
      <c r="D664" s="111">
        <f t="shared" si="993"/>
        <v>0</v>
      </c>
      <c r="E664" s="111">
        <f t="shared" si="999"/>
        <v>0</v>
      </c>
      <c r="F664" s="111">
        <f t="shared" si="994"/>
        <v>0</v>
      </c>
      <c r="G664" s="168">
        <f t="shared" si="1000"/>
        <v>0</v>
      </c>
      <c r="H664" s="111"/>
      <c r="I664" s="119"/>
      <c r="L664" s="283"/>
      <c r="M664" s="220"/>
      <c r="P664" s="360" t="s">
        <v>161</v>
      </c>
      <c r="Q664" s="359">
        <f>SUM(Q654:Q659)</f>
        <v>32.383333333338669</v>
      </c>
      <c r="R664" s="359">
        <f>SUM(R654:R659)</f>
        <v>4</v>
      </c>
      <c r="S664" s="359">
        <f>IFERROR(Q664/R664,"")</f>
        <v>8.0958333333346673</v>
      </c>
      <c r="T664" s="57"/>
      <c r="U664" s="57"/>
      <c r="V664" s="57"/>
      <c r="W664" s="57"/>
      <c r="X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  <c r="AN664" s="57"/>
      <c r="AO664" s="57"/>
      <c r="AP664" s="57"/>
      <c r="AQ664" s="57"/>
    </row>
    <row r="665" spans="2:43" ht="17.45" hidden="1" customHeight="1" outlineLevel="1" thickBot="1">
      <c r="B665" s="113" t="s">
        <v>61</v>
      </c>
      <c r="C665" s="114">
        <f>SUM(C654:C664)</f>
        <v>143000</v>
      </c>
      <c r="D665" s="114">
        <f t="shared" ref="D665:E665" si="1007">SUM(D654:D664)</f>
        <v>209450</v>
      </c>
      <c r="E665" s="114">
        <f t="shared" si="1007"/>
        <v>352450</v>
      </c>
      <c r="F665" s="166">
        <f>SUM(F654:F664)</f>
        <v>6</v>
      </c>
      <c r="G665" s="170">
        <f>SUM(G654:G664)</f>
        <v>352.45</v>
      </c>
      <c r="H665" s="167"/>
      <c r="I665" s="119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57"/>
      <c r="AP665" s="57"/>
      <c r="AQ665" s="57"/>
    </row>
    <row r="666" spans="2:43" ht="17.45" hidden="1" customHeight="1" outlineLevel="1">
      <c r="B666" s="151" t="s">
        <v>87</v>
      </c>
      <c r="C666" s="152"/>
      <c r="D666" s="152"/>
      <c r="E666" s="153">
        <f>$W$274</f>
        <v>45939.14</v>
      </c>
      <c r="F666" s="143"/>
      <c r="G666" s="169">
        <f t="shared" ref="G666" si="1008">E666/1000</f>
        <v>45.939140000000002</v>
      </c>
      <c r="H666" s="145"/>
      <c r="I666" s="119"/>
      <c r="T666" s="57"/>
      <c r="U666" s="57"/>
      <c r="V666" s="57"/>
      <c r="W666" s="57"/>
      <c r="X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57"/>
      <c r="AP666" s="57"/>
      <c r="AQ666" s="57"/>
    </row>
    <row r="667" spans="2:43" ht="17.45" hidden="1" customHeight="1" outlineLevel="1">
      <c r="B667" s="151" t="s">
        <v>57</v>
      </c>
      <c r="C667" s="152"/>
      <c r="D667" s="152"/>
      <c r="E667" s="140">
        <f>SUM(E665:E666)</f>
        <v>398389.14</v>
      </c>
      <c r="F667" s="122"/>
      <c r="G667" s="140">
        <f>SUM(G665:G666)</f>
        <v>398.38914</v>
      </c>
      <c r="H667" s="343" t="str">
        <f>IF(G667=K274,"","CHECK")</f>
        <v>CHECK</v>
      </c>
      <c r="I667" s="119"/>
      <c r="T667" s="57"/>
      <c r="U667" s="57"/>
      <c r="V667" s="57"/>
      <c r="W667" s="57"/>
      <c r="X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57"/>
      <c r="AP667" s="57"/>
      <c r="AQ667" s="57"/>
    </row>
    <row r="668" spans="2:43" ht="17.45" hidden="1" customHeight="1" outlineLevel="1">
      <c r="B668" s="137"/>
      <c r="C668" s="122"/>
      <c r="D668" s="122"/>
      <c r="E668" s="154"/>
      <c r="F668" s="122"/>
      <c r="G668" s="122"/>
      <c r="H668" s="137"/>
      <c r="I668" s="119"/>
      <c r="T668" s="57"/>
      <c r="U668" s="57"/>
      <c r="V668" s="57"/>
      <c r="W668" s="57"/>
      <c r="X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  <c r="AN668" s="57"/>
      <c r="AO668" s="57"/>
      <c r="AP668" s="57"/>
      <c r="AQ668" s="57"/>
    </row>
    <row r="669" spans="2:43" ht="17.45" hidden="1" customHeight="1" outlineLevel="1">
      <c r="B669" s="1173" t="s">
        <v>88</v>
      </c>
      <c r="C669" s="1177" t="s">
        <v>52</v>
      </c>
      <c r="D669" s="1177"/>
      <c r="E669" s="1177"/>
      <c r="F669" s="1177" t="s">
        <v>73</v>
      </c>
      <c r="G669" s="1177" t="s">
        <v>75</v>
      </c>
      <c r="H669" s="1168" t="s">
        <v>72</v>
      </c>
      <c r="I669" s="1168"/>
      <c r="T669" s="57"/>
      <c r="U669" s="57"/>
      <c r="V669" s="57"/>
      <c r="W669" s="57"/>
      <c r="X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  <c r="AN669" s="57"/>
      <c r="AO669" s="57"/>
      <c r="AP669" s="57"/>
      <c r="AQ669" s="57"/>
    </row>
    <row r="670" spans="2:43" ht="17.45" hidden="1" customHeight="1" outlineLevel="1">
      <c r="B670" s="1173"/>
      <c r="C670" s="628" t="s">
        <v>55</v>
      </c>
      <c r="D670" s="628" t="s">
        <v>56</v>
      </c>
      <c r="E670" s="628" t="s">
        <v>57</v>
      </c>
      <c r="F670" s="1177"/>
      <c r="G670" s="1177"/>
      <c r="H670" s="626" t="s">
        <v>89</v>
      </c>
      <c r="I670" s="626" t="s">
        <v>90</v>
      </c>
    </row>
    <row r="671" spans="2:43" ht="17.45" hidden="1" customHeight="1" outlineLevel="1">
      <c r="B671" s="138" t="s">
        <v>91</v>
      </c>
      <c r="C671" s="111">
        <f>SUMIF($V$70:$V$85,B671,$L$70:$L$85)</f>
        <v>55000</v>
      </c>
      <c r="D671" s="111">
        <f>SUMIF($V$70:$V$85,B671,$M$70:$M$85)</f>
        <v>0</v>
      </c>
      <c r="E671" s="111">
        <f>C671+D671</f>
        <v>55000</v>
      </c>
      <c r="F671" s="111">
        <f>SUMIF($V$70:$V$85,B671,$AZ$70:$AZ$85)</f>
        <v>1</v>
      </c>
      <c r="G671" s="111">
        <f>E671/1000</f>
        <v>55</v>
      </c>
      <c r="H671" s="126">
        <f>SUMIF($V$70:$V$85,B671,$I$70:$I$85)</f>
        <v>11.129166666665697</v>
      </c>
      <c r="I671" s="141">
        <f>IFERROR(H671/F671,"")</f>
        <v>11.129166666665697</v>
      </c>
    </row>
    <row r="672" spans="2:43" ht="17.45" hidden="1" customHeight="1" outlineLevel="1">
      <c r="B672" s="138" t="s">
        <v>92</v>
      </c>
      <c r="C672" s="111">
        <f>SUMIF($V$70:$V$85,B672,$L$70:$L$85)</f>
        <v>88000</v>
      </c>
      <c r="D672" s="111">
        <f>SUMIF($V$70:$V$85,B672,$M$70:$M$85)</f>
        <v>209450</v>
      </c>
      <c r="E672" s="111">
        <f t="shared" ref="E672:E674" si="1009">C672+D672</f>
        <v>297450</v>
      </c>
      <c r="F672" s="111">
        <f>SUMIF($V$70:$V$85,B672,$AZ$70:$AZ$85)</f>
        <v>5</v>
      </c>
      <c r="G672" s="111">
        <f t="shared" ref="G672:G674" si="1010">E672/1000</f>
        <v>297.45</v>
      </c>
      <c r="H672" s="126">
        <f>SUMIF($V$70:$V$85,B672,$I$70:$I$85)</f>
        <v>39.743055555554747</v>
      </c>
      <c r="I672" s="141">
        <f t="shared" ref="I672:I673" si="1011">IFERROR(H672/F672,"")</f>
        <v>7.9486111111109494</v>
      </c>
    </row>
    <row r="673" spans="2:43" ht="17.45" hidden="1" customHeight="1" outlineLevel="1">
      <c r="B673" s="138" t="s">
        <v>93</v>
      </c>
      <c r="C673" s="111">
        <f>SUMIF($V$70:$V$85,B673,$L$70:$L$85)</f>
        <v>0</v>
      </c>
      <c r="D673" s="111">
        <f>SUMIF($V$70:$V$85,B673,$M$70:$M$85)</f>
        <v>0</v>
      </c>
      <c r="E673" s="111">
        <f t="shared" si="1009"/>
        <v>0</v>
      </c>
      <c r="F673" s="111">
        <f>SUMIF($V$70:$V$85,B673,$AZ$70:$AZ$85)</f>
        <v>0</v>
      </c>
      <c r="G673" s="111">
        <f t="shared" si="1010"/>
        <v>0</v>
      </c>
      <c r="H673" s="126">
        <f>SUMIF($V$70:$V$85,B673,$I$70:$I$85)</f>
        <v>0</v>
      </c>
      <c r="I673" s="141" t="str">
        <f t="shared" si="1011"/>
        <v/>
      </c>
    </row>
    <row r="674" spans="2:43" ht="17.45" hidden="1" customHeight="1" outlineLevel="1" thickBot="1">
      <c r="B674" s="138" t="s">
        <v>94</v>
      </c>
      <c r="C674" s="111">
        <f>SUMIF($V$70:$V$85,B674,$L$70:$L$85)</f>
        <v>0</v>
      </c>
      <c r="D674" s="111">
        <f>SUMIF($V$70:$V$85,B674,$M$70:$M$85)</f>
        <v>0</v>
      </c>
      <c r="E674" s="111">
        <f t="shared" si="1009"/>
        <v>0</v>
      </c>
      <c r="F674" s="111">
        <f>SUMIF($V$70:$V$85,B674,$AZ$70:$AZ$85)</f>
        <v>0</v>
      </c>
      <c r="G674" s="111">
        <f t="shared" si="1010"/>
        <v>0</v>
      </c>
      <c r="H674" s="126">
        <f>SUMIF($V$70:$V$85,B674,$I$70:$I$85)</f>
        <v>0</v>
      </c>
      <c r="I674" s="190" t="str">
        <f>IFERROR(H674/F674,"")</f>
        <v/>
      </c>
    </row>
    <row r="675" spans="2:43" ht="17.45" hidden="1" customHeight="1" outlineLevel="1" thickBot="1">
      <c r="B675" s="113" t="s">
        <v>61</v>
      </c>
      <c r="C675" s="114">
        <f>SUM(C671:C674)</f>
        <v>143000</v>
      </c>
      <c r="D675" s="114">
        <f t="shared" ref="D675:F675" si="1012">SUM(D671:D674)</f>
        <v>209450</v>
      </c>
      <c r="E675" s="114">
        <f t="shared" si="1012"/>
        <v>352450</v>
      </c>
      <c r="F675" s="114">
        <f t="shared" si="1012"/>
        <v>6</v>
      </c>
      <c r="G675" s="114">
        <f>SUM(G671:G674)</f>
        <v>352.45</v>
      </c>
      <c r="H675" s="189">
        <f>SUM(H671:H674)</f>
        <v>50.872222222220444</v>
      </c>
      <c r="I675" s="191">
        <f>IFERROR(H675/F675,"")</f>
        <v>8.4787037037034079</v>
      </c>
    </row>
    <row r="676" spans="2:43" ht="17.45" hidden="1" customHeight="1" outlineLevel="1"/>
    <row r="677" spans="2:43" ht="17.45" customHeight="1" collapsed="1">
      <c r="B677" s="329" t="s">
        <v>260</v>
      </c>
      <c r="O677" s="122"/>
      <c r="P677" s="122"/>
      <c r="Q677" s="122"/>
      <c r="R677" s="123"/>
      <c r="S677" s="331"/>
      <c r="T677" s="124"/>
      <c r="U677" s="332"/>
      <c r="V677" s="332"/>
      <c r="W677" s="245"/>
      <c r="X677" s="245"/>
      <c r="Y677" s="333"/>
    </row>
    <row r="678" spans="2:43" ht="17.45" hidden="1" customHeight="1" outlineLevel="1">
      <c r="B678" s="1173" t="s">
        <v>51</v>
      </c>
      <c r="C678" s="1173"/>
      <c r="D678" s="1168" t="s">
        <v>52</v>
      </c>
      <c r="E678" s="1168"/>
      <c r="F678" s="1168"/>
      <c r="G678" s="1168" t="s">
        <v>53</v>
      </c>
      <c r="H678" s="1168"/>
      <c r="I678" s="1168"/>
      <c r="J678" s="1168" t="s">
        <v>54</v>
      </c>
      <c r="K678" s="1168"/>
      <c r="L678" s="1168"/>
      <c r="O678" s="1168" t="s">
        <v>71</v>
      </c>
      <c r="P678" s="1168" t="s">
        <v>72</v>
      </c>
      <c r="Q678" s="1168" t="s">
        <v>73</v>
      </c>
      <c r="R678" s="1168" t="s">
        <v>74</v>
      </c>
      <c r="S678" s="122"/>
      <c r="T678" s="1168" t="s">
        <v>71</v>
      </c>
      <c r="U678" s="1168" t="s">
        <v>72</v>
      </c>
      <c r="V678" s="1168" t="s">
        <v>73</v>
      </c>
      <c r="W678" s="1168" t="s">
        <v>74</v>
      </c>
      <c r="X678" s="1168" t="s">
        <v>75</v>
      </c>
      <c r="Y678" s="1169" t="str">
        <f>RIGHT(B677,3)&amp;" 목표(ST)"</f>
        <v xml:space="preserve"> 6월 목표(ST)</v>
      </c>
      <c r="Z678" s="1170" t="s">
        <v>111</v>
      </c>
    </row>
    <row r="679" spans="2:43" ht="17.45" hidden="1" customHeight="1" outlineLevel="1">
      <c r="B679" s="1173"/>
      <c r="C679" s="1173"/>
      <c r="D679" s="626" t="s">
        <v>55</v>
      </c>
      <c r="E679" s="626" t="s">
        <v>56</v>
      </c>
      <c r="F679" s="626" t="s">
        <v>57</v>
      </c>
      <c r="G679" s="626" t="s">
        <v>55</v>
      </c>
      <c r="H679" s="626" t="s">
        <v>56</v>
      </c>
      <c r="I679" s="626" t="s">
        <v>57</v>
      </c>
      <c r="J679" s="626" t="s">
        <v>55</v>
      </c>
      <c r="K679" s="626" t="s">
        <v>56</v>
      </c>
      <c r="L679" s="626" t="s">
        <v>57</v>
      </c>
      <c r="O679" s="1168"/>
      <c r="P679" s="1168"/>
      <c r="Q679" s="1168"/>
      <c r="R679" s="1168"/>
      <c r="S679" s="122"/>
      <c r="T679" s="1168"/>
      <c r="U679" s="1168"/>
      <c r="V679" s="1168"/>
      <c r="W679" s="1168"/>
      <c r="X679" s="1168"/>
      <c r="Y679" s="1168"/>
      <c r="Z679" s="1168"/>
      <c r="AN679" s="361" t="s">
        <v>164</v>
      </c>
      <c r="AO679" s="362" t="s">
        <v>156</v>
      </c>
      <c r="AP679" s="457"/>
    </row>
    <row r="680" spans="2:43" ht="17.45" hidden="1" customHeight="1" outlineLevel="1">
      <c r="B680" s="1171" t="s">
        <v>58</v>
      </c>
      <c r="C680" s="110" t="s">
        <v>179</v>
      </c>
      <c r="D680" s="111">
        <f t="shared" ref="D680:D685" si="1013">SUMIF($B$87:$B$98,C680,$L$87:$L$100)</f>
        <v>0</v>
      </c>
      <c r="E680" s="111">
        <f t="shared" ref="E680:E685" si="1014">SUMIF($B$87:$B$98,C680,$M$87:$M$98)</f>
        <v>0</v>
      </c>
      <c r="F680" s="111">
        <f>D680+E680</f>
        <v>0</v>
      </c>
      <c r="G680" s="112" t="str">
        <f>IFERROR(D680/F680,"")</f>
        <v/>
      </c>
      <c r="H680" s="112" t="str">
        <f>IFERROR(E680/F680,"")</f>
        <v/>
      </c>
      <c r="I680" s="112" t="str">
        <f t="shared" ref="I680:I684" si="1015">IFERROR(G680+H680,"")</f>
        <v/>
      </c>
      <c r="J680" s="111">
        <f t="shared" ref="J680:J685" si="1016">SUMIF($B$87:$B$98,C680,$AX$87:$AX$98)</f>
        <v>0</v>
      </c>
      <c r="K680" s="111">
        <f t="shared" ref="K680:K685" si="1017">SUMIF($B$87:$B$98,C680,$AY$87:$AY$98)</f>
        <v>0</v>
      </c>
      <c r="L680" s="111">
        <f>J680+K680</f>
        <v>0</v>
      </c>
      <c r="O680" s="125" t="str">
        <f>C680</f>
        <v>SGC에너지</v>
      </c>
      <c r="P680" s="126">
        <f t="shared" ref="P680:P685" si="1018">SUMIF($B$87:$B$98,O680,$I$87:$I$98)</f>
        <v>0</v>
      </c>
      <c r="Q680" s="111">
        <f t="shared" ref="Q680:Q685" si="1019">SUMIF($B$87:$B$98,O680,$AZ$87:$AZ$98)</f>
        <v>0</v>
      </c>
      <c r="R680" s="126" t="str">
        <f>IFERROR(P680/Q680,"")</f>
        <v/>
      </c>
      <c r="S680" s="122"/>
      <c r="T680" s="125" t="str">
        <f>O680</f>
        <v>SGC에너지</v>
      </c>
      <c r="U680" s="126">
        <f>P680</f>
        <v>0</v>
      </c>
      <c r="V680" s="111">
        <f>Q680</f>
        <v>0</v>
      </c>
      <c r="W680" s="127" t="str">
        <f>IFERROR(U680/V680,"")</f>
        <v/>
      </c>
      <c r="X680" s="148">
        <f>F680/1000</f>
        <v>0</v>
      </c>
      <c r="Y680" s="111"/>
      <c r="Z680" s="155" t="str">
        <f>IFERROR(IF(X680=0,"",X680/Y680),"")</f>
        <v/>
      </c>
      <c r="AN680" s="335">
        <f t="shared" ref="AN680:AN685" si="1020">AN518+Y572+Y626+Y680</f>
        <v>0</v>
      </c>
      <c r="AO680" s="336">
        <f>X680-Y680</f>
        <v>0</v>
      </c>
      <c r="AP680" s="452"/>
    </row>
    <row r="681" spans="2:43" ht="17.45" hidden="1" customHeight="1" outlineLevel="1">
      <c r="B681" s="1172"/>
      <c r="C681" s="110" t="s">
        <v>59</v>
      </c>
      <c r="D681" s="111">
        <f t="shared" si="1013"/>
        <v>0</v>
      </c>
      <c r="E681" s="111">
        <f t="shared" si="1014"/>
        <v>30000</v>
      </c>
      <c r="F681" s="111">
        <f t="shared" ref="F681:F685" si="1021">D681+E681</f>
        <v>30000</v>
      </c>
      <c r="G681" s="112">
        <f t="shared" ref="G681:G693" si="1022">IFERROR(D681/F681,"")</f>
        <v>0</v>
      </c>
      <c r="H681" s="112">
        <f t="shared" ref="H681:H684" si="1023">IFERROR(E681/F681,"")</f>
        <v>1</v>
      </c>
      <c r="I681" s="112">
        <f t="shared" si="1015"/>
        <v>1</v>
      </c>
      <c r="J681" s="111">
        <f t="shared" si="1016"/>
        <v>0</v>
      </c>
      <c r="K681" s="111">
        <f t="shared" si="1017"/>
        <v>1</v>
      </c>
      <c r="L681" s="111">
        <f t="shared" ref="L681:L684" si="1024">J681+K681</f>
        <v>1</v>
      </c>
      <c r="O681" s="125" t="str">
        <f t="shared" ref="O681:O685" si="1025">C681</f>
        <v>남동발전</v>
      </c>
      <c r="P681" s="126">
        <f t="shared" si="1018"/>
        <v>0.86250000000291038</v>
      </c>
      <c r="Q681" s="111">
        <f t="shared" si="1019"/>
        <v>1</v>
      </c>
      <c r="R681" s="126">
        <f t="shared" ref="R681:R702" si="1026">IFERROR(P681/Q681,"")</f>
        <v>0.86250000000291038</v>
      </c>
      <c r="S681" s="122"/>
      <c r="T681" s="125" t="str">
        <f t="shared" ref="T681:V685" si="1027">O681</f>
        <v>남동발전</v>
      </c>
      <c r="U681" s="126">
        <f t="shared" si="1027"/>
        <v>0.86250000000291038</v>
      </c>
      <c r="V681" s="111">
        <f t="shared" si="1027"/>
        <v>1</v>
      </c>
      <c r="W681" s="127">
        <f t="shared" ref="W681:W701" si="1028">IFERROR(U681/V681,"")</f>
        <v>0.86250000000291038</v>
      </c>
      <c r="X681" s="148">
        <f t="shared" ref="X681:X685" si="1029">F681/1000</f>
        <v>30</v>
      </c>
      <c r="Y681" s="111"/>
      <c r="Z681" s="155" t="str">
        <f t="shared" ref="Z681:Z695" si="1030">IFERROR(IF(X681=0,"",X681/Y681),"")</f>
        <v/>
      </c>
      <c r="AN681" s="335">
        <f t="shared" si="1020"/>
        <v>0</v>
      </c>
      <c r="AO681" s="336">
        <f t="shared" ref="AO681:AO685" si="1031">X681-Y681</f>
        <v>30</v>
      </c>
      <c r="AP681" s="452"/>
    </row>
    <row r="682" spans="2:43" ht="17.45" hidden="1" customHeight="1" outlineLevel="1">
      <c r="B682" s="1172"/>
      <c r="C682" s="110" t="s">
        <v>60</v>
      </c>
      <c r="D682" s="111">
        <f t="shared" si="1013"/>
        <v>0</v>
      </c>
      <c r="E682" s="111">
        <f t="shared" si="1014"/>
        <v>0</v>
      </c>
      <c r="F682" s="111">
        <f t="shared" si="1021"/>
        <v>0</v>
      </c>
      <c r="G682" s="112" t="str">
        <f t="shared" si="1022"/>
        <v/>
      </c>
      <c r="H682" s="112" t="str">
        <f t="shared" si="1023"/>
        <v/>
      </c>
      <c r="I682" s="112" t="str">
        <f t="shared" si="1015"/>
        <v/>
      </c>
      <c r="J682" s="111">
        <f t="shared" si="1016"/>
        <v>0</v>
      </c>
      <c r="K682" s="111">
        <f t="shared" si="1017"/>
        <v>0</v>
      </c>
      <c r="L682" s="111">
        <f t="shared" si="1024"/>
        <v>0</v>
      </c>
      <c r="O682" s="125" t="str">
        <f t="shared" si="1025"/>
        <v>동서발전</v>
      </c>
      <c r="P682" s="126">
        <f t="shared" si="1018"/>
        <v>0</v>
      </c>
      <c r="Q682" s="111">
        <f t="shared" si="1019"/>
        <v>0</v>
      </c>
      <c r="R682" s="126" t="str">
        <f t="shared" si="1026"/>
        <v/>
      </c>
      <c r="S682" s="122"/>
      <c r="T682" s="125" t="str">
        <f t="shared" si="1027"/>
        <v>동서발전</v>
      </c>
      <c r="U682" s="126">
        <f t="shared" si="1027"/>
        <v>0</v>
      </c>
      <c r="V682" s="111">
        <f t="shared" si="1027"/>
        <v>0</v>
      </c>
      <c r="W682" s="127" t="str">
        <f t="shared" si="1028"/>
        <v/>
      </c>
      <c r="X682" s="148">
        <f t="shared" si="1029"/>
        <v>0</v>
      </c>
      <c r="Y682" s="111"/>
      <c r="Z682" s="155" t="str">
        <f t="shared" si="1030"/>
        <v/>
      </c>
      <c r="AN682" s="335">
        <f t="shared" si="1020"/>
        <v>0</v>
      </c>
      <c r="AO682" s="336">
        <f t="shared" si="1031"/>
        <v>0</v>
      </c>
      <c r="AP682" s="452"/>
    </row>
    <row r="683" spans="2:43" ht="17.45" hidden="1" customHeight="1" outlineLevel="1">
      <c r="B683" s="1172"/>
      <c r="C683" s="110" t="s">
        <v>159</v>
      </c>
      <c r="D683" s="111">
        <f t="shared" si="1013"/>
        <v>0</v>
      </c>
      <c r="E683" s="111">
        <f t="shared" si="1014"/>
        <v>0</v>
      </c>
      <c r="F683" s="111">
        <f t="shared" si="1021"/>
        <v>0</v>
      </c>
      <c r="G683" s="112" t="str">
        <f t="shared" si="1022"/>
        <v/>
      </c>
      <c r="H683" s="112" t="str">
        <f t="shared" si="1023"/>
        <v/>
      </c>
      <c r="I683" s="112" t="str">
        <f t="shared" si="1015"/>
        <v/>
      </c>
      <c r="J683" s="111">
        <f t="shared" si="1016"/>
        <v>0</v>
      </c>
      <c r="K683" s="111">
        <f t="shared" si="1017"/>
        <v>0</v>
      </c>
      <c r="L683" s="111">
        <f t="shared" si="1024"/>
        <v>0</v>
      </c>
      <c r="O683" s="125" t="str">
        <f t="shared" si="1025"/>
        <v>미쓰이</v>
      </c>
      <c r="P683" s="126">
        <f t="shared" si="1018"/>
        <v>0</v>
      </c>
      <c r="Q683" s="111">
        <f t="shared" si="1019"/>
        <v>0</v>
      </c>
      <c r="R683" s="126" t="str">
        <f t="shared" si="1026"/>
        <v/>
      </c>
      <c r="S683" s="122"/>
      <c r="T683" s="125" t="str">
        <f t="shared" si="1027"/>
        <v>미쓰이</v>
      </c>
      <c r="U683" s="126">
        <f t="shared" si="1027"/>
        <v>0</v>
      </c>
      <c r="V683" s="111">
        <f t="shared" si="1027"/>
        <v>0</v>
      </c>
      <c r="W683" s="127" t="str">
        <f t="shared" si="1028"/>
        <v/>
      </c>
      <c r="X683" s="148">
        <f t="shared" si="1029"/>
        <v>0</v>
      </c>
      <c r="Y683" s="111"/>
      <c r="Z683" s="155" t="str">
        <f t="shared" si="1030"/>
        <v/>
      </c>
      <c r="AN683" s="335">
        <f t="shared" si="1020"/>
        <v>0</v>
      </c>
      <c r="AO683" s="336">
        <f t="shared" si="1031"/>
        <v>0</v>
      </c>
      <c r="AP683" s="452"/>
    </row>
    <row r="684" spans="2:43" ht="17.45" hidden="1" customHeight="1" outlineLevel="1">
      <c r="B684" s="1172"/>
      <c r="C684" s="110" t="s">
        <v>168</v>
      </c>
      <c r="D684" s="111">
        <f t="shared" si="1013"/>
        <v>0</v>
      </c>
      <c r="E684" s="111">
        <f t="shared" si="1014"/>
        <v>0</v>
      </c>
      <c r="F684" s="111">
        <f t="shared" si="1021"/>
        <v>0</v>
      </c>
      <c r="G684" s="112" t="str">
        <f t="shared" si="1022"/>
        <v/>
      </c>
      <c r="H684" s="112" t="str">
        <f t="shared" si="1023"/>
        <v/>
      </c>
      <c r="I684" s="112" t="str">
        <f t="shared" si="1015"/>
        <v/>
      </c>
      <c r="J684" s="111">
        <f t="shared" si="1016"/>
        <v>0</v>
      </c>
      <c r="K684" s="111">
        <f t="shared" si="1017"/>
        <v>0</v>
      </c>
      <c r="L684" s="111">
        <f t="shared" si="1024"/>
        <v>0</v>
      </c>
      <c r="O684" s="125" t="str">
        <f t="shared" si="1025"/>
        <v>포스코인터</v>
      </c>
      <c r="P684" s="126">
        <f t="shared" si="1018"/>
        <v>0</v>
      </c>
      <c r="Q684" s="111">
        <f t="shared" si="1019"/>
        <v>0</v>
      </c>
      <c r="R684" s="126" t="str">
        <f t="shared" si="1026"/>
        <v/>
      </c>
      <c r="S684" s="122"/>
      <c r="T684" s="125" t="str">
        <f t="shared" si="1027"/>
        <v>포스코인터</v>
      </c>
      <c r="U684" s="126">
        <f t="shared" si="1027"/>
        <v>0</v>
      </c>
      <c r="V684" s="111">
        <f t="shared" si="1027"/>
        <v>0</v>
      </c>
      <c r="W684" s="127" t="str">
        <f t="shared" si="1028"/>
        <v/>
      </c>
      <c r="X684" s="148">
        <f t="shared" si="1029"/>
        <v>0</v>
      </c>
      <c r="Y684" s="111"/>
      <c r="Z684" s="155" t="str">
        <f t="shared" si="1030"/>
        <v/>
      </c>
      <c r="AN684" s="335">
        <f t="shared" si="1020"/>
        <v>0</v>
      </c>
      <c r="AO684" s="336">
        <f t="shared" si="1031"/>
        <v>0</v>
      </c>
      <c r="AP684" s="452"/>
    </row>
    <row r="685" spans="2:43" ht="17.45" hidden="1" customHeight="1" outlineLevel="1">
      <c r="B685" s="1172"/>
      <c r="C685" s="110" t="s">
        <v>154</v>
      </c>
      <c r="D685" s="111">
        <f t="shared" si="1013"/>
        <v>0</v>
      </c>
      <c r="E685" s="111">
        <f t="shared" si="1014"/>
        <v>0</v>
      </c>
      <c r="F685" s="111">
        <f t="shared" si="1021"/>
        <v>0</v>
      </c>
      <c r="G685" s="112" t="str">
        <f t="shared" si="1022"/>
        <v/>
      </c>
      <c r="H685" s="112" t="str">
        <f>IFERROR(E685/F685,"")</f>
        <v/>
      </c>
      <c r="I685" s="112" t="str">
        <f>IFERROR(G685+H685,"")</f>
        <v/>
      </c>
      <c r="J685" s="111">
        <f t="shared" si="1016"/>
        <v>0</v>
      </c>
      <c r="K685" s="111">
        <f t="shared" si="1017"/>
        <v>0</v>
      </c>
      <c r="L685" s="111">
        <f>J685+K685</f>
        <v>0</v>
      </c>
      <c r="O685" s="125" t="str">
        <f t="shared" si="1025"/>
        <v>이노샌드</v>
      </c>
      <c r="P685" s="126">
        <f t="shared" si="1018"/>
        <v>0</v>
      </c>
      <c r="Q685" s="111">
        <f t="shared" si="1019"/>
        <v>0</v>
      </c>
      <c r="R685" s="126" t="str">
        <f t="shared" si="1026"/>
        <v/>
      </c>
      <c r="S685" s="122"/>
      <c r="T685" s="125" t="str">
        <f t="shared" si="1027"/>
        <v>이노샌드</v>
      </c>
      <c r="U685" s="126">
        <f t="shared" si="1027"/>
        <v>0</v>
      </c>
      <c r="V685" s="111">
        <f t="shared" si="1027"/>
        <v>0</v>
      </c>
      <c r="W685" s="127" t="str">
        <f t="shared" si="1028"/>
        <v/>
      </c>
      <c r="X685" s="148">
        <f t="shared" si="1029"/>
        <v>0</v>
      </c>
      <c r="Y685" s="111"/>
      <c r="Z685" s="155" t="str">
        <f t="shared" si="1030"/>
        <v/>
      </c>
      <c r="AN685" s="335">
        <f t="shared" si="1020"/>
        <v>0</v>
      </c>
      <c r="AO685" s="336">
        <f t="shared" si="1031"/>
        <v>0</v>
      </c>
      <c r="AP685" s="452"/>
      <c r="AQ685" s="337"/>
    </row>
    <row r="686" spans="2:43" ht="17.45" hidden="1" customHeight="1" outlineLevel="1">
      <c r="B686" s="1172"/>
      <c r="C686" s="113" t="s">
        <v>61</v>
      </c>
      <c r="D686" s="114">
        <f>SUM(D680:D685)</f>
        <v>0</v>
      </c>
      <c r="E686" s="114">
        <f>SUM(E680:E685)</f>
        <v>30000</v>
      </c>
      <c r="F686" s="114">
        <f>SUM(F680:F685)</f>
        <v>30000</v>
      </c>
      <c r="G686" s="115">
        <f t="shared" si="1022"/>
        <v>0</v>
      </c>
      <c r="H686" s="115">
        <f>IFERROR(E686/F686,"")</f>
        <v>1</v>
      </c>
      <c r="I686" s="115">
        <f>IFERROR(G686+H686,"")</f>
        <v>1</v>
      </c>
      <c r="J686" s="114">
        <f t="shared" ref="J686:L686" si="1032">SUM(J680:J685)</f>
        <v>0</v>
      </c>
      <c r="K686" s="114">
        <f t="shared" si="1032"/>
        <v>1</v>
      </c>
      <c r="L686" s="114">
        <f t="shared" si="1032"/>
        <v>1</v>
      </c>
      <c r="O686" s="128" t="s">
        <v>61</v>
      </c>
      <c r="P686" s="129">
        <f>SUM(P680:P685)</f>
        <v>0.86250000000291038</v>
      </c>
      <c r="Q686" s="114">
        <f>SUM(Q680:Q685)</f>
        <v>1</v>
      </c>
      <c r="R686" s="129">
        <f t="shared" si="1026"/>
        <v>0.86250000000291038</v>
      </c>
      <c r="S686" s="122"/>
      <c r="T686" s="128" t="s">
        <v>61</v>
      </c>
      <c r="U686" s="129">
        <f>SUM(U680:U685)</f>
        <v>0.86250000000291038</v>
      </c>
      <c r="V686" s="114">
        <f>SUM(V680:V685)</f>
        <v>1</v>
      </c>
      <c r="W686" s="129">
        <f t="shared" si="1028"/>
        <v>0.86250000000291038</v>
      </c>
      <c r="X686" s="114">
        <f>SUM(X680:X685)</f>
        <v>30</v>
      </c>
      <c r="Y686" s="114">
        <f>SUM(Y680:Y685)</f>
        <v>0</v>
      </c>
      <c r="Z686" s="156" t="str">
        <f t="shared" si="1030"/>
        <v/>
      </c>
      <c r="AN686" s="338">
        <f>SUM(AN680:AN685)</f>
        <v>0</v>
      </c>
      <c r="AO686" s="338">
        <f>SUM(AO680:AO685)</f>
        <v>30</v>
      </c>
      <c r="AP686" s="453"/>
    </row>
    <row r="687" spans="2:43" ht="17.45" hidden="1" customHeight="1" outlineLevel="1">
      <c r="B687" s="1171" t="s">
        <v>62</v>
      </c>
      <c r="C687" s="110" t="s">
        <v>222</v>
      </c>
      <c r="D687" s="111">
        <f t="shared" ref="D687:D701" si="1033">SUMIF($B$87:$B$98,C687,$L$87:$L$100)</f>
        <v>0</v>
      </c>
      <c r="E687" s="111">
        <f t="shared" ref="E687:E701" si="1034">SUMIF($B$87:$B$98,C687,$M$87:$M$98)</f>
        <v>0</v>
      </c>
      <c r="F687" s="111">
        <f t="shared" ref="F687:F701" si="1035">D687+E687</f>
        <v>0</v>
      </c>
      <c r="G687" s="112" t="str">
        <f t="shared" si="1022"/>
        <v/>
      </c>
      <c r="H687" s="112" t="str">
        <f t="shared" ref="H687:H696" si="1036">IFERROR(E687/F687,"")</f>
        <v/>
      </c>
      <c r="I687" s="112" t="str">
        <f t="shared" ref="I687:I696" si="1037">IFERROR(G687+H687,"")</f>
        <v/>
      </c>
      <c r="J687" s="111">
        <f t="shared" ref="J687:J701" si="1038">SUMIF($B$87:$B$98,C687,$AX$87:$AX$98)</f>
        <v>0</v>
      </c>
      <c r="K687" s="111">
        <f t="shared" ref="K687:K701" si="1039">SUMIF($B$87:$B$98,C687,$AY$87:$AY$98)</f>
        <v>0</v>
      </c>
      <c r="L687" s="111">
        <f t="shared" ref="L687:L701" si="1040">J687+K687</f>
        <v>0</v>
      </c>
      <c r="O687" s="125" t="str">
        <f>C687</f>
        <v>태경비케이</v>
      </c>
      <c r="P687" s="126">
        <f t="shared" ref="P687:P701" si="1041">SUMIF($B$87:$B$98,O687,$I$87:$I$98)</f>
        <v>0</v>
      </c>
      <c r="Q687" s="111">
        <f t="shared" ref="Q687:Q701" si="1042">SUMIF($B$87:$B$98,O687,$AZ$87:$AZ$98)</f>
        <v>0</v>
      </c>
      <c r="R687" s="126" t="str">
        <f t="shared" si="1026"/>
        <v/>
      </c>
      <c r="S687" s="122"/>
      <c r="T687" s="125" t="str">
        <f t="shared" ref="T687:V701" si="1043">O687</f>
        <v>태경비케이</v>
      </c>
      <c r="U687" s="126">
        <f t="shared" si="1043"/>
        <v>0</v>
      </c>
      <c r="V687" s="111">
        <f t="shared" si="1043"/>
        <v>0</v>
      </c>
      <c r="W687" s="127" t="str">
        <f t="shared" si="1028"/>
        <v/>
      </c>
      <c r="X687" s="148">
        <f t="shared" ref="X687:X701" si="1044">F687/1000</f>
        <v>0</v>
      </c>
      <c r="Y687" s="111"/>
      <c r="Z687" s="155" t="str">
        <f t="shared" si="1030"/>
        <v/>
      </c>
      <c r="AN687" s="335">
        <f t="shared" ref="AN687:AN701" si="1045">AN525+Y579+Y633+Y687</f>
        <v>0</v>
      </c>
      <c r="AO687" s="336">
        <f>X687-Y687</f>
        <v>0</v>
      </c>
      <c r="AP687" s="452"/>
    </row>
    <row r="688" spans="2:43" ht="17.45" hidden="1" customHeight="1" outlineLevel="1">
      <c r="B688" s="1172"/>
      <c r="C688" s="110" t="s">
        <v>78</v>
      </c>
      <c r="D688" s="111">
        <f t="shared" si="1033"/>
        <v>0</v>
      </c>
      <c r="E688" s="111">
        <f t="shared" si="1034"/>
        <v>23990</v>
      </c>
      <c r="F688" s="111">
        <f t="shared" si="1035"/>
        <v>23990</v>
      </c>
      <c r="G688" s="112">
        <f t="shared" si="1022"/>
        <v>0</v>
      </c>
      <c r="H688" s="112">
        <f t="shared" si="1036"/>
        <v>1</v>
      </c>
      <c r="I688" s="112">
        <f t="shared" si="1037"/>
        <v>1</v>
      </c>
      <c r="J688" s="111">
        <f t="shared" si="1038"/>
        <v>0</v>
      </c>
      <c r="K688" s="111">
        <f t="shared" si="1039"/>
        <v>1</v>
      </c>
      <c r="L688" s="111">
        <f t="shared" si="1040"/>
        <v>1</v>
      </c>
      <c r="O688" s="125" t="str">
        <f t="shared" ref="O688:O701" si="1046">C688</f>
        <v>삼영산업</v>
      </c>
      <c r="P688" s="126">
        <f t="shared" si="1041"/>
        <v>6.8055555551836733E-2</v>
      </c>
      <c r="Q688" s="111">
        <f t="shared" si="1042"/>
        <v>1</v>
      </c>
      <c r="R688" s="126">
        <f t="shared" si="1026"/>
        <v>6.8055555551836733E-2</v>
      </c>
      <c r="S688" s="122"/>
      <c r="T688" s="125" t="str">
        <f t="shared" si="1043"/>
        <v>삼영산업</v>
      </c>
      <c r="U688" s="126">
        <f t="shared" si="1043"/>
        <v>6.8055555551836733E-2</v>
      </c>
      <c r="V688" s="111">
        <f t="shared" si="1043"/>
        <v>1</v>
      </c>
      <c r="W688" s="127">
        <f t="shared" si="1028"/>
        <v>6.8055555551836733E-2</v>
      </c>
      <c r="X688" s="148">
        <f t="shared" si="1044"/>
        <v>23.99</v>
      </c>
      <c r="Y688" s="111"/>
      <c r="Z688" s="155" t="str">
        <f t="shared" si="1030"/>
        <v/>
      </c>
      <c r="AN688" s="335">
        <f t="shared" si="1045"/>
        <v>0</v>
      </c>
      <c r="AO688" s="336">
        <f t="shared" ref="AO688:AO689" si="1047">X688-Y688</f>
        <v>23.99</v>
      </c>
      <c r="AP688" s="452"/>
    </row>
    <row r="689" spans="2:43" ht="17.45" hidden="1" customHeight="1" outlineLevel="1">
      <c r="B689" s="1172"/>
      <c r="C689" s="110" t="s">
        <v>176</v>
      </c>
      <c r="D689" s="111">
        <f t="shared" si="1033"/>
        <v>0</v>
      </c>
      <c r="E689" s="111">
        <f t="shared" si="1034"/>
        <v>0</v>
      </c>
      <c r="F689" s="111">
        <f t="shared" si="1035"/>
        <v>0</v>
      </c>
      <c r="G689" s="112" t="str">
        <f t="shared" si="1022"/>
        <v/>
      </c>
      <c r="H689" s="112" t="str">
        <f t="shared" si="1036"/>
        <v/>
      </c>
      <c r="I689" s="112" t="str">
        <f t="shared" si="1037"/>
        <v/>
      </c>
      <c r="J689" s="111">
        <f t="shared" si="1038"/>
        <v>0</v>
      </c>
      <c r="K689" s="111">
        <f t="shared" si="1039"/>
        <v>0</v>
      </c>
      <c r="L689" s="111">
        <f t="shared" si="1040"/>
        <v>0</v>
      </c>
      <c r="O689" s="125" t="str">
        <f t="shared" si="1046"/>
        <v>고려시멘트</v>
      </c>
      <c r="P689" s="126">
        <f t="shared" si="1041"/>
        <v>0</v>
      </c>
      <c r="Q689" s="111">
        <f t="shared" si="1042"/>
        <v>0</v>
      </c>
      <c r="R689" s="126" t="str">
        <f t="shared" si="1026"/>
        <v/>
      </c>
      <c r="S689" s="122"/>
      <c r="T689" s="125" t="str">
        <f t="shared" si="1043"/>
        <v>고려시멘트</v>
      </c>
      <c r="U689" s="126">
        <f t="shared" si="1043"/>
        <v>0</v>
      </c>
      <c r="V689" s="111">
        <f t="shared" si="1043"/>
        <v>0</v>
      </c>
      <c r="W689" s="127" t="str">
        <f t="shared" si="1028"/>
        <v/>
      </c>
      <c r="X689" s="148">
        <f t="shared" si="1044"/>
        <v>0</v>
      </c>
      <c r="Y689" s="111"/>
      <c r="Z689" s="155" t="str">
        <f t="shared" si="1030"/>
        <v/>
      </c>
      <c r="AN689" s="335">
        <f t="shared" si="1045"/>
        <v>0</v>
      </c>
      <c r="AO689" s="336">
        <f t="shared" si="1047"/>
        <v>0</v>
      </c>
      <c r="AP689" s="452"/>
    </row>
    <row r="690" spans="2:43" ht="17.45" hidden="1" customHeight="1" outlineLevel="1">
      <c r="B690" s="1172"/>
      <c r="C690" s="110" t="s">
        <v>63</v>
      </c>
      <c r="D690" s="111">
        <f t="shared" si="1033"/>
        <v>0</v>
      </c>
      <c r="E690" s="111">
        <f t="shared" si="1034"/>
        <v>0</v>
      </c>
      <c r="F690" s="111">
        <f t="shared" si="1035"/>
        <v>0</v>
      </c>
      <c r="G690" s="112" t="str">
        <f t="shared" si="1022"/>
        <v/>
      </c>
      <c r="H690" s="112" t="str">
        <f t="shared" si="1036"/>
        <v/>
      </c>
      <c r="I690" s="112" t="str">
        <f t="shared" si="1037"/>
        <v/>
      </c>
      <c r="J690" s="111">
        <f t="shared" si="1038"/>
        <v>0</v>
      </c>
      <c r="K690" s="111">
        <f t="shared" si="1039"/>
        <v>0</v>
      </c>
      <c r="L690" s="111">
        <f t="shared" si="1040"/>
        <v>0</v>
      </c>
      <c r="O690" s="125" t="str">
        <f t="shared" si="1046"/>
        <v>청해실업</v>
      </c>
      <c r="P690" s="126">
        <f t="shared" si="1041"/>
        <v>0</v>
      </c>
      <c r="Q690" s="111">
        <f t="shared" si="1042"/>
        <v>0</v>
      </c>
      <c r="R690" s="126" t="str">
        <f t="shared" si="1026"/>
        <v/>
      </c>
      <c r="S690" s="122"/>
      <c r="T690" s="125" t="str">
        <f t="shared" si="1043"/>
        <v>청해실업</v>
      </c>
      <c r="U690" s="126">
        <f t="shared" si="1043"/>
        <v>0</v>
      </c>
      <c r="V690" s="111">
        <f t="shared" si="1043"/>
        <v>0</v>
      </c>
      <c r="W690" s="127" t="str">
        <f t="shared" si="1028"/>
        <v/>
      </c>
      <c r="X690" s="148">
        <f t="shared" si="1044"/>
        <v>0</v>
      </c>
      <c r="Y690" s="111"/>
      <c r="Z690" s="155" t="str">
        <f t="shared" si="1030"/>
        <v/>
      </c>
      <c r="AN690" s="339">
        <f t="shared" si="1045"/>
        <v>0</v>
      </c>
      <c r="AO690" s="340">
        <f t="shared" ref="AO690" si="1048">X690-AN690</f>
        <v>0</v>
      </c>
      <c r="AP690" s="454"/>
      <c r="AQ690" s="240" t="s">
        <v>30</v>
      </c>
    </row>
    <row r="691" spans="2:43" ht="17.45" hidden="1" customHeight="1" outlineLevel="1">
      <c r="B691" s="1172"/>
      <c r="C691" s="110" t="s">
        <v>64</v>
      </c>
      <c r="D691" s="111">
        <f t="shared" si="1033"/>
        <v>112201</v>
      </c>
      <c r="E691" s="111">
        <f t="shared" si="1034"/>
        <v>0</v>
      </c>
      <c r="F691" s="111">
        <f t="shared" si="1035"/>
        <v>112201</v>
      </c>
      <c r="G691" s="112">
        <f t="shared" si="1022"/>
        <v>1</v>
      </c>
      <c r="H691" s="112">
        <f t="shared" si="1036"/>
        <v>0</v>
      </c>
      <c r="I691" s="112">
        <f t="shared" si="1037"/>
        <v>1</v>
      </c>
      <c r="J691" s="111">
        <f t="shared" si="1038"/>
        <v>2</v>
      </c>
      <c r="K691" s="111">
        <f t="shared" si="1039"/>
        <v>0</v>
      </c>
      <c r="L691" s="111">
        <f t="shared" si="1040"/>
        <v>2</v>
      </c>
      <c r="O691" s="125" t="str">
        <f t="shared" si="1046"/>
        <v>한화에너지</v>
      </c>
      <c r="P691" s="126">
        <f t="shared" si="1041"/>
        <v>9.758333333338669</v>
      </c>
      <c r="Q691" s="111">
        <f t="shared" si="1042"/>
        <v>2</v>
      </c>
      <c r="R691" s="126">
        <f t="shared" si="1026"/>
        <v>4.8791666666693345</v>
      </c>
      <c r="S691" s="122"/>
      <c r="T691" s="125" t="str">
        <f t="shared" si="1043"/>
        <v>한화에너지</v>
      </c>
      <c r="U691" s="126">
        <f t="shared" si="1043"/>
        <v>9.758333333338669</v>
      </c>
      <c r="V691" s="111">
        <f t="shared" si="1043"/>
        <v>2</v>
      </c>
      <c r="W691" s="127">
        <f t="shared" si="1028"/>
        <v>4.8791666666693345</v>
      </c>
      <c r="X691" s="148">
        <f t="shared" si="1044"/>
        <v>112.20099999999999</v>
      </c>
      <c r="Y691" s="111"/>
      <c r="Z691" s="155" t="str">
        <f t="shared" si="1030"/>
        <v/>
      </c>
      <c r="AN691" s="335">
        <f t="shared" si="1045"/>
        <v>0</v>
      </c>
      <c r="AO691" s="336">
        <f t="shared" ref="AO691:AO701" si="1049">X691-Y691</f>
        <v>112.20099999999999</v>
      </c>
      <c r="AP691" s="452"/>
    </row>
    <row r="692" spans="2:43" ht="17.45" hidden="1" customHeight="1" outlineLevel="1">
      <c r="B692" s="1172"/>
      <c r="C692" s="110" t="s">
        <v>178</v>
      </c>
      <c r="D692" s="111">
        <f t="shared" si="1033"/>
        <v>0</v>
      </c>
      <c r="E692" s="111">
        <f t="shared" si="1034"/>
        <v>0</v>
      </c>
      <c r="F692" s="111">
        <f t="shared" si="1035"/>
        <v>0</v>
      </c>
      <c r="G692" s="112" t="str">
        <f t="shared" si="1022"/>
        <v/>
      </c>
      <c r="H692" s="112" t="str">
        <f t="shared" si="1036"/>
        <v/>
      </c>
      <c r="I692" s="112" t="str">
        <f t="shared" si="1037"/>
        <v/>
      </c>
      <c r="J692" s="111">
        <f t="shared" si="1038"/>
        <v>0</v>
      </c>
      <c r="K692" s="111">
        <f t="shared" si="1039"/>
        <v>0</v>
      </c>
      <c r="L692" s="111">
        <f t="shared" si="1040"/>
        <v>0</v>
      </c>
      <c r="O692" s="125" t="str">
        <f t="shared" si="1046"/>
        <v>금호석유화학</v>
      </c>
      <c r="P692" s="126">
        <f t="shared" si="1041"/>
        <v>0</v>
      </c>
      <c r="Q692" s="111">
        <f t="shared" si="1042"/>
        <v>0</v>
      </c>
      <c r="R692" s="126" t="str">
        <f t="shared" si="1026"/>
        <v/>
      </c>
      <c r="S692" s="122"/>
      <c r="T692" s="125" t="str">
        <f t="shared" si="1043"/>
        <v>금호석유화학</v>
      </c>
      <c r="U692" s="126">
        <f t="shared" si="1043"/>
        <v>0</v>
      </c>
      <c r="V692" s="111">
        <f t="shared" si="1043"/>
        <v>0</v>
      </c>
      <c r="W692" s="127" t="str">
        <f t="shared" si="1028"/>
        <v/>
      </c>
      <c r="X692" s="148">
        <f t="shared" si="1044"/>
        <v>0</v>
      </c>
      <c r="Y692" s="111"/>
      <c r="Z692" s="155" t="str">
        <f t="shared" si="1030"/>
        <v/>
      </c>
      <c r="AN692" s="335">
        <f t="shared" si="1045"/>
        <v>0</v>
      </c>
      <c r="AO692" s="336">
        <f t="shared" si="1049"/>
        <v>0</v>
      </c>
      <c r="AP692" s="452"/>
    </row>
    <row r="693" spans="2:43" ht="17.45" hidden="1" customHeight="1" outlineLevel="1">
      <c r="B693" s="1172"/>
      <c r="C693" s="110" t="s">
        <v>65</v>
      </c>
      <c r="D693" s="111">
        <f t="shared" si="1033"/>
        <v>0</v>
      </c>
      <c r="E693" s="111">
        <f t="shared" si="1034"/>
        <v>0</v>
      </c>
      <c r="F693" s="111">
        <f t="shared" si="1035"/>
        <v>0</v>
      </c>
      <c r="G693" s="112" t="str">
        <f t="shared" si="1022"/>
        <v/>
      </c>
      <c r="H693" s="112" t="str">
        <f t="shared" si="1036"/>
        <v/>
      </c>
      <c r="I693" s="112" t="str">
        <f t="shared" si="1037"/>
        <v/>
      </c>
      <c r="J693" s="111">
        <f t="shared" si="1038"/>
        <v>0</v>
      </c>
      <c r="K693" s="111">
        <f t="shared" si="1039"/>
        <v>0</v>
      </c>
      <c r="L693" s="111">
        <f t="shared" si="1040"/>
        <v>0</v>
      </c>
      <c r="O693" s="125" t="str">
        <f t="shared" si="1046"/>
        <v>LG상사</v>
      </c>
      <c r="P693" s="126">
        <f t="shared" si="1041"/>
        <v>0</v>
      </c>
      <c r="Q693" s="111">
        <f t="shared" si="1042"/>
        <v>0</v>
      </c>
      <c r="R693" s="126" t="str">
        <f t="shared" si="1026"/>
        <v/>
      </c>
      <c r="S693" s="122"/>
      <c r="T693" s="125" t="str">
        <f t="shared" si="1043"/>
        <v>LG상사</v>
      </c>
      <c r="U693" s="126">
        <f t="shared" si="1043"/>
        <v>0</v>
      </c>
      <c r="V693" s="111">
        <f t="shared" si="1043"/>
        <v>0</v>
      </c>
      <c r="W693" s="127" t="str">
        <f t="shared" si="1028"/>
        <v/>
      </c>
      <c r="X693" s="148">
        <f t="shared" si="1044"/>
        <v>0</v>
      </c>
      <c r="Y693" s="111"/>
      <c r="Z693" s="155" t="str">
        <f t="shared" si="1030"/>
        <v/>
      </c>
      <c r="AN693" s="335">
        <f t="shared" si="1045"/>
        <v>0</v>
      </c>
      <c r="AO693" s="336">
        <f t="shared" si="1049"/>
        <v>0</v>
      </c>
      <c r="AP693" s="452"/>
    </row>
    <row r="694" spans="2:43" ht="17.45" hidden="1" customHeight="1" outlineLevel="1">
      <c r="B694" s="1172"/>
      <c r="C694" s="110" t="s">
        <v>66</v>
      </c>
      <c r="D694" s="111">
        <f t="shared" si="1033"/>
        <v>0</v>
      </c>
      <c r="E694" s="111">
        <f t="shared" si="1034"/>
        <v>0</v>
      </c>
      <c r="F694" s="111">
        <f t="shared" si="1035"/>
        <v>0</v>
      </c>
      <c r="G694" s="112" t="str">
        <f>IFERROR(D694/F694,"")</f>
        <v/>
      </c>
      <c r="H694" s="112" t="str">
        <f t="shared" si="1036"/>
        <v/>
      </c>
      <c r="I694" s="112" t="str">
        <f t="shared" si="1037"/>
        <v/>
      </c>
      <c r="J694" s="111">
        <f t="shared" si="1038"/>
        <v>0</v>
      </c>
      <c r="K694" s="111">
        <f t="shared" si="1039"/>
        <v>0</v>
      </c>
      <c r="L694" s="111">
        <f t="shared" si="1040"/>
        <v>0</v>
      </c>
      <c r="O694" s="125" t="str">
        <f t="shared" si="1046"/>
        <v>LG화학</v>
      </c>
      <c r="P694" s="126">
        <f t="shared" si="1041"/>
        <v>0</v>
      </c>
      <c r="Q694" s="111">
        <f t="shared" si="1042"/>
        <v>0</v>
      </c>
      <c r="R694" s="126" t="str">
        <f t="shared" si="1026"/>
        <v/>
      </c>
      <c r="S694" s="122"/>
      <c r="T694" s="125" t="str">
        <f t="shared" si="1043"/>
        <v>LG화학</v>
      </c>
      <c r="U694" s="126">
        <f t="shared" si="1043"/>
        <v>0</v>
      </c>
      <c r="V694" s="111">
        <f t="shared" si="1043"/>
        <v>0</v>
      </c>
      <c r="W694" s="127" t="str">
        <f t="shared" si="1028"/>
        <v/>
      </c>
      <c r="X694" s="148">
        <f t="shared" si="1044"/>
        <v>0</v>
      </c>
      <c r="Y694" s="111"/>
      <c r="Z694" s="155" t="str">
        <f t="shared" si="1030"/>
        <v/>
      </c>
      <c r="AN694" s="335">
        <f t="shared" si="1045"/>
        <v>0</v>
      </c>
      <c r="AO694" s="336">
        <f t="shared" si="1049"/>
        <v>0</v>
      </c>
      <c r="AP694" s="452"/>
    </row>
    <row r="695" spans="2:43" ht="17.45" hidden="1" customHeight="1" outlineLevel="1">
      <c r="B695" s="1172"/>
      <c r="C695" s="110" t="s">
        <v>67</v>
      </c>
      <c r="D695" s="111">
        <f t="shared" si="1033"/>
        <v>0</v>
      </c>
      <c r="E695" s="111">
        <f t="shared" si="1034"/>
        <v>0</v>
      </c>
      <c r="F695" s="111">
        <f t="shared" si="1035"/>
        <v>0</v>
      </c>
      <c r="G695" s="112" t="str">
        <f t="shared" ref="G695:G703" si="1050">IFERROR(D695/F695,"")</f>
        <v/>
      </c>
      <c r="H695" s="112" t="str">
        <f t="shared" si="1036"/>
        <v/>
      </c>
      <c r="I695" s="112" t="str">
        <f t="shared" si="1037"/>
        <v/>
      </c>
      <c r="J695" s="111">
        <f t="shared" si="1038"/>
        <v>0</v>
      </c>
      <c r="K695" s="111">
        <f t="shared" si="1039"/>
        <v>0</v>
      </c>
      <c r="L695" s="111">
        <f t="shared" si="1040"/>
        <v>0</v>
      </c>
      <c r="O695" s="125" t="str">
        <f t="shared" si="1046"/>
        <v>OCI SE</v>
      </c>
      <c r="P695" s="126">
        <f t="shared" si="1041"/>
        <v>0</v>
      </c>
      <c r="Q695" s="111">
        <f t="shared" si="1042"/>
        <v>0</v>
      </c>
      <c r="R695" s="126" t="str">
        <f t="shared" si="1026"/>
        <v/>
      </c>
      <c r="S695" s="122"/>
      <c r="T695" s="125" t="str">
        <f t="shared" si="1043"/>
        <v>OCI SE</v>
      </c>
      <c r="U695" s="126">
        <f t="shared" si="1043"/>
        <v>0</v>
      </c>
      <c r="V695" s="111">
        <f t="shared" si="1043"/>
        <v>0</v>
      </c>
      <c r="W695" s="127" t="str">
        <f t="shared" si="1028"/>
        <v/>
      </c>
      <c r="X695" s="148">
        <f t="shared" si="1044"/>
        <v>0</v>
      </c>
      <c r="Y695" s="111"/>
      <c r="Z695" s="155" t="str">
        <f t="shared" si="1030"/>
        <v/>
      </c>
      <c r="AN695" s="335">
        <f t="shared" si="1045"/>
        <v>0</v>
      </c>
      <c r="AO695" s="336">
        <f t="shared" si="1049"/>
        <v>0</v>
      </c>
      <c r="AP695" s="452"/>
    </row>
    <row r="696" spans="2:43" ht="17.45" hidden="1" customHeight="1" outlineLevel="1">
      <c r="B696" s="1172"/>
      <c r="C696" s="110" t="s">
        <v>37</v>
      </c>
      <c r="D696" s="111">
        <f t="shared" si="1033"/>
        <v>0</v>
      </c>
      <c r="E696" s="111">
        <f t="shared" si="1034"/>
        <v>0</v>
      </c>
      <c r="F696" s="111">
        <f t="shared" si="1035"/>
        <v>0</v>
      </c>
      <c r="G696" s="112" t="str">
        <f t="shared" si="1050"/>
        <v/>
      </c>
      <c r="H696" s="112" t="str">
        <f t="shared" si="1036"/>
        <v/>
      </c>
      <c r="I696" s="112" t="str">
        <f t="shared" si="1037"/>
        <v/>
      </c>
      <c r="J696" s="111">
        <f t="shared" si="1038"/>
        <v>0</v>
      </c>
      <c r="K696" s="111">
        <f t="shared" si="1039"/>
        <v>0</v>
      </c>
      <c r="L696" s="111">
        <f t="shared" si="1040"/>
        <v>0</v>
      </c>
      <c r="O696" s="125" t="str">
        <f t="shared" si="1046"/>
        <v>청해소재</v>
      </c>
      <c r="P696" s="126">
        <f t="shared" si="1041"/>
        <v>0</v>
      </c>
      <c r="Q696" s="111">
        <f t="shared" si="1042"/>
        <v>0</v>
      </c>
      <c r="R696" s="126" t="str">
        <f t="shared" si="1026"/>
        <v/>
      </c>
      <c r="S696" s="122"/>
      <c r="T696" s="125" t="str">
        <f t="shared" si="1043"/>
        <v>청해소재</v>
      </c>
      <c r="U696" s="126">
        <f t="shared" si="1043"/>
        <v>0</v>
      </c>
      <c r="V696" s="111">
        <f t="shared" si="1043"/>
        <v>0</v>
      </c>
      <c r="W696" s="127" t="str">
        <f t="shared" si="1028"/>
        <v/>
      </c>
      <c r="X696" s="148">
        <f t="shared" si="1044"/>
        <v>0</v>
      </c>
      <c r="Y696" s="111"/>
      <c r="Z696" s="155" t="str">
        <f>IFERROR(IF(X696=0,"",X696/Y696),"")</f>
        <v/>
      </c>
      <c r="AN696" s="335">
        <f t="shared" si="1045"/>
        <v>0</v>
      </c>
      <c r="AO696" s="336">
        <f t="shared" si="1049"/>
        <v>0</v>
      </c>
      <c r="AP696" s="452"/>
      <c r="AQ696" s="240" t="s">
        <v>157</v>
      </c>
    </row>
    <row r="697" spans="2:43" ht="17.45" hidden="1" customHeight="1" outlineLevel="1">
      <c r="B697" s="1172"/>
      <c r="C697" s="110" t="s">
        <v>365</v>
      </c>
      <c r="D697" s="111">
        <f t="shared" si="1033"/>
        <v>0</v>
      </c>
      <c r="E697" s="111">
        <f t="shared" si="1034"/>
        <v>0</v>
      </c>
      <c r="F697" s="111">
        <f t="shared" si="1035"/>
        <v>0</v>
      </c>
      <c r="G697" s="112" t="str">
        <f t="shared" si="1050"/>
        <v/>
      </c>
      <c r="H697" s="112" t="str">
        <f>IFERROR(E697/F697,"")</f>
        <v/>
      </c>
      <c r="I697" s="112" t="str">
        <f>IFERROR(G697+H697,"")</f>
        <v/>
      </c>
      <c r="J697" s="111">
        <f t="shared" si="1038"/>
        <v>0</v>
      </c>
      <c r="K697" s="111">
        <f t="shared" si="1039"/>
        <v>0</v>
      </c>
      <c r="L697" s="111">
        <f t="shared" si="1040"/>
        <v>0</v>
      </c>
      <c r="O697" s="125" t="str">
        <f t="shared" si="1046"/>
        <v>김천에너지</v>
      </c>
      <c r="P697" s="126">
        <f t="shared" si="1041"/>
        <v>0</v>
      </c>
      <c r="Q697" s="111">
        <f t="shared" si="1042"/>
        <v>0</v>
      </c>
      <c r="R697" s="126" t="str">
        <f t="shared" si="1026"/>
        <v/>
      </c>
      <c r="S697" s="122"/>
      <c r="T697" s="125" t="str">
        <f t="shared" si="1043"/>
        <v>김천에너지</v>
      </c>
      <c r="U697" s="126">
        <f t="shared" si="1043"/>
        <v>0</v>
      </c>
      <c r="V697" s="111">
        <f t="shared" si="1043"/>
        <v>0</v>
      </c>
      <c r="W697" s="127" t="str">
        <f t="shared" si="1028"/>
        <v/>
      </c>
      <c r="X697" s="148">
        <f t="shared" si="1044"/>
        <v>0</v>
      </c>
      <c r="Y697" s="111"/>
      <c r="Z697" s="155" t="str">
        <f t="shared" ref="Z697:Z706" si="1051">IFERROR(IF(X697=0,"",X697/Y697),"")</f>
        <v/>
      </c>
      <c r="AN697" s="335">
        <f t="shared" si="1045"/>
        <v>0</v>
      </c>
      <c r="AO697" s="336">
        <f t="shared" si="1049"/>
        <v>0</v>
      </c>
      <c r="AP697" s="452"/>
    </row>
    <row r="698" spans="2:43" ht="17.45" hidden="1" customHeight="1" outlineLevel="1">
      <c r="B698" s="1172"/>
      <c r="C698" s="110" t="s">
        <v>107</v>
      </c>
      <c r="D698" s="111">
        <f t="shared" si="1033"/>
        <v>0</v>
      </c>
      <c r="E698" s="111">
        <f t="shared" si="1034"/>
        <v>0</v>
      </c>
      <c r="F698" s="111">
        <f t="shared" si="1035"/>
        <v>0</v>
      </c>
      <c r="G698" s="112" t="str">
        <f t="shared" si="1050"/>
        <v/>
      </c>
      <c r="H698" s="112" t="str">
        <f t="shared" ref="H698:H701" si="1052">IFERROR(E698/F698,"")</f>
        <v/>
      </c>
      <c r="I698" s="112" t="str">
        <f t="shared" ref="I698:I701" si="1053">IFERROR(G698+H698,"")</f>
        <v/>
      </c>
      <c r="J698" s="111">
        <f t="shared" si="1038"/>
        <v>0</v>
      </c>
      <c r="K698" s="111">
        <f t="shared" si="1039"/>
        <v>0</v>
      </c>
      <c r="L698" s="111">
        <f t="shared" si="1040"/>
        <v>0</v>
      </c>
      <c r="O698" s="125" t="str">
        <f t="shared" si="1046"/>
        <v>대구염색공단</v>
      </c>
      <c r="P698" s="126">
        <f t="shared" si="1041"/>
        <v>0</v>
      </c>
      <c r="Q698" s="111">
        <f t="shared" si="1042"/>
        <v>0</v>
      </c>
      <c r="R698" s="126" t="str">
        <f t="shared" si="1026"/>
        <v/>
      </c>
      <c r="S698" s="122"/>
      <c r="T698" s="125" t="str">
        <f t="shared" si="1043"/>
        <v>대구염색공단</v>
      </c>
      <c r="U698" s="126">
        <f t="shared" si="1043"/>
        <v>0</v>
      </c>
      <c r="V698" s="111">
        <f t="shared" si="1043"/>
        <v>0</v>
      </c>
      <c r="W698" s="127" t="str">
        <f t="shared" si="1028"/>
        <v/>
      </c>
      <c r="X698" s="148">
        <f t="shared" si="1044"/>
        <v>0</v>
      </c>
      <c r="Y698" s="111"/>
      <c r="Z698" s="155" t="str">
        <f t="shared" si="1051"/>
        <v/>
      </c>
      <c r="AN698" s="335">
        <f t="shared" si="1045"/>
        <v>0</v>
      </c>
      <c r="AO698" s="336">
        <f t="shared" si="1049"/>
        <v>0</v>
      </c>
      <c r="AP698" s="452"/>
    </row>
    <row r="699" spans="2:43" ht="17.45" hidden="1" customHeight="1" outlineLevel="1">
      <c r="B699" s="1172"/>
      <c r="C699" s="110" t="s">
        <v>108</v>
      </c>
      <c r="D699" s="111">
        <f t="shared" si="1033"/>
        <v>0</v>
      </c>
      <c r="E699" s="111">
        <f t="shared" si="1034"/>
        <v>0</v>
      </c>
      <c r="F699" s="111">
        <f t="shared" si="1035"/>
        <v>0</v>
      </c>
      <c r="G699" s="112" t="str">
        <f t="shared" si="1050"/>
        <v/>
      </c>
      <c r="H699" s="112" t="str">
        <f t="shared" si="1052"/>
        <v/>
      </c>
      <c r="I699" s="112" t="str">
        <f t="shared" si="1053"/>
        <v/>
      </c>
      <c r="J699" s="111">
        <f t="shared" si="1038"/>
        <v>0</v>
      </c>
      <c r="K699" s="111">
        <f t="shared" si="1039"/>
        <v>0</v>
      </c>
      <c r="L699" s="111">
        <f t="shared" si="1040"/>
        <v>0</v>
      </c>
      <c r="O699" s="125" t="str">
        <f t="shared" si="1046"/>
        <v>SNNC(니켈)</v>
      </c>
      <c r="P699" s="126">
        <f t="shared" si="1041"/>
        <v>0</v>
      </c>
      <c r="Q699" s="111">
        <f t="shared" si="1042"/>
        <v>0</v>
      </c>
      <c r="R699" s="126" t="str">
        <f t="shared" si="1026"/>
        <v/>
      </c>
      <c r="S699" s="122"/>
      <c r="T699" s="125" t="str">
        <f t="shared" si="1043"/>
        <v>SNNC(니켈)</v>
      </c>
      <c r="U699" s="126">
        <f t="shared" si="1043"/>
        <v>0</v>
      </c>
      <c r="V699" s="111">
        <f t="shared" si="1043"/>
        <v>0</v>
      </c>
      <c r="W699" s="127" t="str">
        <f t="shared" si="1028"/>
        <v/>
      </c>
      <c r="X699" s="148">
        <f t="shared" si="1044"/>
        <v>0</v>
      </c>
      <c r="Y699" s="111"/>
      <c r="Z699" s="155" t="str">
        <f t="shared" si="1051"/>
        <v/>
      </c>
      <c r="AN699" s="335">
        <f t="shared" si="1045"/>
        <v>0</v>
      </c>
      <c r="AO699" s="336">
        <f t="shared" si="1049"/>
        <v>0</v>
      </c>
      <c r="AP699" s="452"/>
    </row>
    <row r="700" spans="2:43" ht="17.45" hidden="1" customHeight="1" outlineLevel="1">
      <c r="B700" s="1172"/>
      <c r="C700" s="110" t="s">
        <v>130</v>
      </c>
      <c r="D700" s="111">
        <f t="shared" si="1033"/>
        <v>0</v>
      </c>
      <c r="E700" s="111">
        <f t="shared" si="1034"/>
        <v>0</v>
      </c>
      <c r="F700" s="111">
        <f t="shared" si="1035"/>
        <v>0</v>
      </c>
      <c r="G700" s="112" t="str">
        <f t="shared" si="1050"/>
        <v/>
      </c>
      <c r="H700" s="112" t="str">
        <f t="shared" si="1052"/>
        <v/>
      </c>
      <c r="I700" s="112" t="str">
        <f t="shared" si="1053"/>
        <v/>
      </c>
      <c r="J700" s="111">
        <f t="shared" si="1038"/>
        <v>0</v>
      </c>
      <c r="K700" s="111">
        <f t="shared" si="1039"/>
        <v>0</v>
      </c>
      <c r="L700" s="111">
        <f t="shared" si="1040"/>
        <v>0</v>
      </c>
      <c r="O700" s="125" t="str">
        <f t="shared" si="1046"/>
        <v>SK-N(고려시멘트)</v>
      </c>
      <c r="P700" s="126">
        <f t="shared" si="1041"/>
        <v>0</v>
      </c>
      <c r="Q700" s="111">
        <f t="shared" si="1042"/>
        <v>0</v>
      </c>
      <c r="R700" s="126" t="str">
        <f t="shared" si="1026"/>
        <v/>
      </c>
      <c r="S700" s="122"/>
      <c r="T700" s="125" t="str">
        <f t="shared" si="1043"/>
        <v>SK-N(고려시멘트)</v>
      </c>
      <c r="U700" s="126">
        <f t="shared" si="1043"/>
        <v>0</v>
      </c>
      <c r="V700" s="111">
        <f t="shared" si="1043"/>
        <v>0</v>
      </c>
      <c r="W700" s="127" t="str">
        <f t="shared" si="1028"/>
        <v/>
      </c>
      <c r="X700" s="148">
        <f t="shared" si="1044"/>
        <v>0</v>
      </c>
      <c r="Y700" s="111"/>
      <c r="Z700" s="155" t="str">
        <f t="shared" si="1051"/>
        <v/>
      </c>
      <c r="AN700" s="335">
        <f t="shared" si="1045"/>
        <v>0</v>
      </c>
      <c r="AO700" s="336">
        <f t="shared" si="1049"/>
        <v>0</v>
      </c>
      <c r="AP700" s="452"/>
    </row>
    <row r="701" spans="2:43" ht="17.45" hidden="1" customHeight="1" outlineLevel="1">
      <c r="B701" s="1172"/>
      <c r="C701" s="110" t="s">
        <v>68</v>
      </c>
      <c r="D701" s="111">
        <f t="shared" si="1033"/>
        <v>0</v>
      </c>
      <c r="E701" s="111">
        <f t="shared" si="1034"/>
        <v>10904</v>
      </c>
      <c r="F701" s="111">
        <f t="shared" si="1035"/>
        <v>10904</v>
      </c>
      <c r="G701" s="112">
        <f t="shared" si="1050"/>
        <v>0</v>
      </c>
      <c r="H701" s="112">
        <f t="shared" si="1052"/>
        <v>1</v>
      </c>
      <c r="I701" s="112">
        <f t="shared" si="1053"/>
        <v>1</v>
      </c>
      <c r="J701" s="111">
        <f t="shared" si="1038"/>
        <v>0</v>
      </c>
      <c r="K701" s="111">
        <f t="shared" si="1039"/>
        <v>1</v>
      </c>
      <c r="L701" s="111">
        <f t="shared" si="1040"/>
        <v>1</v>
      </c>
      <c r="O701" s="125" t="str">
        <f t="shared" si="1046"/>
        <v>SNNC</v>
      </c>
      <c r="P701" s="126">
        <f t="shared" si="1041"/>
        <v>6.25E-2</v>
      </c>
      <c r="Q701" s="111">
        <f t="shared" si="1042"/>
        <v>1</v>
      </c>
      <c r="R701" s="126">
        <f t="shared" si="1026"/>
        <v>6.25E-2</v>
      </c>
      <c r="S701" s="122"/>
      <c r="T701" s="125" t="str">
        <f t="shared" si="1043"/>
        <v>SNNC</v>
      </c>
      <c r="U701" s="126">
        <f t="shared" si="1043"/>
        <v>6.25E-2</v>
      </c>
      <c r="V701" s="111">
        <f t="shared" si="1043"/>
        <v>1</v>
      </c>
      <c r="W701" s="127">
        <f t="shared" si="1028"/>
        <v>6.25E-2</v>
      </c>
      <c r="X701" s="148">
        <f t="shared" si="1044"/>
        <v>10.904</v>
      </c>
      <c r="Y701" s="111"/>
      <c r="Z701" s="155" t="str">
        <f t="shared" si="1051"/>
        <v/>
      </c>
      <c r="AN701" s="335">
        <f t="shared" si="1045"/>
        <v>0</v>
      </c>
      <c r="AO701" s="336">
        <f t="shared" si="1049"/>
        <v>10.904</v>
      </c>
      <c r="AP701" s="452"/>
    </row>
    <row r="702" spans="2:43" ht="17.45" hidden="1" customHeight="1" outlineLevel="1" thickBot="1">
      <c r="B702" s="1172"/>
      <c r="C702" s="113" t="s">
        <v>61</v>
      </c>
      <c r="D702" s="114">
        <f>SUM(D687:D701)</f>
        <v>112201</v>
      </c>
      <c r="E702" s="179">
        <f>SUM(E687:E701)</f>
        <v>34894</v>
      </c>
      <c r="F702" s="114">
        <f>SUM(F687:F701)</f>
        <v>147095</v>
      </c>
      <c r="G702" s="115">
        <f t="shared" si="1050"/>
        <v>0.76277915632754345</v>
      </c>
      <c r="H702" s="185">
        <f>IFERROR(E702/F702,"")</f>
        <v>0.23722084367245658</v>
      </c>
      <c r="I702" s="115">
        <f>IFERROR(G702+H702,"")</f>
        <v>1</v>
      </c>
      <c r="J702" s="114">
        <f t="shared" ref="J702:L702" si="1054">SUM(J687:J701)</f>
        <v>2</v>
      </c>
      <c r="K702" s="114">
        <f t="shared" si="1054"/>
        <v>2</v>
      </c>
      <c r="L702" s="114">
        <f t="shared" si="1054"/>
        <v>4</v>
      </c>
      <c r="O702" s="128" t="s">
        <v>61</v>
      </c>
      <c r="P702" s="129">
        <f>SUM(P687:P701)</f>
        <v>9.8888888888905058</v>
      </c>
      <c r="Q702" s="114">
        <f>SUM(Q687:Q701)</f>
        <v>4</v>
      </c>
      <c r="R702" s="129">
        <f t="shared" si="1026"/>
        <v>2.4722222222226264</v>
      </c>
      <c r="S702" s="122"/>
      <c r="T702" s="128" t="s">
        <v>61</v>
      </c>
      <c r="U702" s="129">
        <f>SUM(U687:U701)</f>
        <v>9.8888888888905058</v>
      </c>
      <c r="V702" s="114">
        <f>SUM(V687:V701)</f>
        <v>4</v>
      </c>
      <c r="W702" s="130">
        <f>IFERROR(U702/V702,"")</f>
        <v>2.4722222222226264</v>
      </c>
      <c r="X702" s="179">
        <f>SUM(X687:X701)</f>
        <v>147.095</v>
      </c>
      <c r="Y702" s="114">
        <f>SUM(Y687:Y701)</f>
        <v>0</v>
      </c>
      <c r="Z702" s="176" t="str">
        <f t="shared" si="1051"/>
        <v/>
      </c>
      <c r="AN702" s="341">
        <f>SUM(AN687:AN701)</f>
        <v>0</v>
      </c>
      <c r="AO702" s="341">
        <f>SUM(AO687:AO701)</f>
        <v>147.095</v>
      </c>
      <c r="AP702" s="455"/>
    </row>
    <row r="703" spans="2:43" ht="17.45" hidden="1" customHeight="1" outlineLevel="1" thickBot="1">
      <c r="B703" s="1106" t="s">
        <v>57</v>
      </c>
      <c r="C703" s="1106"/>
      <c r="D703" s="147">
        <f>SUM(D702,D686)</f>
        <v>112201</v>
      </c>
      <c r="E703" s="182">
        <f>SUM(E702,E686)</f>
        <v>64894</v>
      </c>
      <c r="F703" s="149">
        <f>SUM(F702,F686)</f>
        <v>177095</v>
      </c>
      <c r="G703" s="183">
        <f t="shared" si="1050"/>
        <v>0.6335639063779327</v>
      </c>
      <c r="H703" s="186">
        <f>IFERROR(E703/F703,"")</f>
        <v>0.36643609362206725</v>
      </c>
      <c r="I703" s="184">
        <f>IFERROR(G703+H703,"")</f>
        <v>1</v>
      </c>
      <c r="J703" s="116">
        <f t="shared" ref="J703:L703" si="1055">SUM(J702,J686)</f>
        <v>2</v>
      </c>
      <c r="K703" s="116">
        <f t="shared" si="1055"/>
        <v>3</v>
      </c>
      <c r="L703" s="116">
        <f t="shared" si="1055"/>
        <v>5</v>
      </c>
      <c r="O703" s="131" t="s">
        <v>79</v>
      </c>
      <c r="P703" s="132">
        <f>SUM(P702,P686)</f>
        <v>10.751388888893416</v>
      </c>
      <c r="Q703" s="116">
        <f>SUM(Q702,Q686)</f>
        <v>5</v>
      </c>
      <c r="R703" s="132">
        <f>IFERROR(P703/Q703,"")</f>
        <v>2.1502777777786832</v>
      </c>
      <c r="S703" s="122"/>
      <c r="T703" s="131" t="s">
        <v>76</v>
      </c>
      <c r="U703" s="132">
        <f>SUM(U702,U686)</f>
        <v>10.751388888893416</v>
      </c>
      <c r="V703" s="147">
        <f>SUM(V702,V686)</f>
        <v>5</v>
      </c>
      <c r="W703" s="173">
        <f t="shared" ref="W703:W704" si="1056">IFERROR(U703/V703,"")</f>
        <v>2.1502777777786832</v>
      </c>
      <c r="X703" s="182">
        <f>SUM(X686,X702)</f>
        <v>177.095</v>
      </c>
      <c r="Y703" s="175">
        <f>SUM(Y686,Y702)</f>
        <v>0</v>
      </c>
      <c r="Z703" s="178" t="str">
        <f t="shared" si="1051"/>
        <v/>
      </c>
      <c r="AN703" s="342">
        <f>SUM(AN686,AN702)</f>
        <v>0</v>
      </c>
      <c r="AO703" s="342">
        <f>SUM(AO686,AO702)</f>
        <v>177.095</v>
      </c>
      <c r="AP703" s="456"/>
      <c r="AQ703" s="57"/>
    </row>
    <row r="704" spans="2:43" ht="17.45" hidden="1" customHeight="1" outlineLevel="1">
      <c r="D704" s="344" t="str">
        <f>IF(D703=L98,"","CHECK")</f>
        <v/>
      </c>
      <c r="E704" s="344" t="str">
        <f>IF(E703=M98,"","CHECK")</f>
        <v/>
      </c>
      <c r="F704" s="344" t="str">
        <f>IF(F703=N98,"","CHECK")</f>
        <v/>
      </c>
      <c r="O704" s="134" t="s">
        <v>77</v>
      </c>
      <c r="P704" s="126"/>
      <c r="Q704" s="126"/>
      <c r="R704" s="126" t="str">
        <f>IFERROR(P704/Q704,"")</f>
        <v/>
      </c>
      <c r="S704" s="122"/>
      <c r="T704" s="134" t="s">
        <v>77</v>
      </c>
      <c r="U704" s="126"/>
      <c r="V704" s="111"/>
      <c r="W704" s="135" t="str">
        <f t="shared" si="1056"/>
        <v/>
      </c>
      <c r="X704" s="180"/>
      <c r="Y704" s="126"/>
      <c r="Z704" s="181" t="str">
        <f t="shared" si="1051"/>
        <v/>
      </c>
      <c r="AN704" s="335">
        <f>AN542+Y596+Y650+Y704</f>
        <v>0</v>
      </c>
      <c r="AO704" s="336">
        <f t="shared" ref="AO704:AO705" si="1057">X704-Y704</f>
        <v>0</v>
      </c>
      <c r="AP704" s="452"/>
      <c r="AQ704" s="57"/>
    </row>
    <row r="705" spans="2:43" ht="17.45" hidden="1" customHeight="1" outlineLevel="1">
      <c r="T705" s="345" t="s">
        <v>109</v>
      </c>
      <c r="U705" s="345"/>
      <c r="V705" s="328"/>
      <c r="W705" s="355"/>
      <c r="X705" s="355">
        <f>G720</f>
        <v>16.176779999999997</v>
      </c>
      <c r="Y705" s="347"/>
      <c r="Z705" s="155" t="str">
        <f t="shared" si="1051"/>
        <v/>
      </c>
      <c r="AN705" s="335">
        <f>AN543+Y597+Y651+Y705</f>
        <v>0</v>
      </c>
      <c r="AO705" s="336">
        <f t="shared" si="1057"/>
        <v>16.176779999999997</v>
      </c>
      <c r="AP705" s="452"/>
      <c r="AQ705" s="57"/>
    </row>
    <row r="706" spans="2:43" ht="17.45" hidden="1" customHeight="1" outlineLevel="1">
      <c r="B706" s="1173" t="s">
        <v>80</v>
      </c>
      <c r="C706" s="1177" t="s">
        <v>52</v>
      </c>
      <c r="D706" s="1177"/>
      <c r="E706" s="1177"/>
      <c r="F706" s="1177" t="s">
        <v>73</v>
      </c>
      <c r="G706" s="1177" t="s">
        <v>75</v>
      </c>
      <c r="H706" s="1177" t="s">
        <v>95</v>
      </c>
      <c r="I706" s="119"/>
      <c r="J706" s="1173" t="s">
        <v>132</v>
      </c>
      <c r="K706" s="1174" t="s">
        <v>124</v>
      </c>
      <c r="L706" s="1174"/>
      <c r="M706" s="1174"/>
      <c r="N706" s="1174" t="s">
        <v>75</v>
      </c>
      <c r="O706" s="1174"/>
      <c r="P706" s="1174"/>
      <c r="Q706" s="1175" t="s">
        <v>72</v>
      </c>
      <c r="R706" s="1175" t="s">
        <v>73</v>
      </c>
      <c r="S706" s="1175" t="s">
        <v>74</v>
      </c>
      <c r="T706" s="262" t="s">
        <v>110</v>
      </c>
      <c r="U706" s="262"/>
      <c r="V706" s="334"/>
      <c r="W706" s="356"/>
      <c r="X706" s="356">
        <f>SUM(X703,X704,X705)</f>
        <v>193.27178000000001</v>
      </c>
      <c r="Y706" s="354">
        <f>SUM(Y703,Y705)</f>
        <v>0</v>
      </c>
      <c r="Z706" s="158" t="str">
        <f t="shared" si="1051"/>
        <v/>
      </c>
      <c r="AN706" s="342">
        <f>SUM(AN703,AN705)</f>
        <v>0</v>
      </c>
      <c r="AO706" s="342">
        <f>SUM(AO703,AO705)</f>
        <v>193.27178000000001</v>
      </c>
      <c r="AP706" s="456"/>
      <c r="AQ706" s="57"/>
    </row>
    <row r="707" spans="2:43" ht="17.45" hidden="1" customHeight="1" outlineLevel="1">
      <c r="B707" s="1173"/>
      <c r="C707" s="628" t="s">
        <v>55</v>
      </c>
      <c r="D707" s="628" t="s">
        <v>56</v>
      </c>
      <c r="E707" s="628" t="s">
        <v>57</v>
      </c>
      <c r="F707" s="1177"/>
      <c r="G707" s="1177"/>
      <c r="H707" s="1177"/>
      <c r="I707" s="119"/>
      <c r="J707" s="1173"/>
      <c r="K707" s="627" t="s">
        <v>125</v>
      </c>
      <c r="L707" s="627" t="s">
        <v>126</v>
      </c>
      <c r="M707" s="627" t="s">
        <v>123</v>
      </c>
      <c r="N707" s="627" t="s">
        <v>125</v>
      </c>
      <c r="O707" s="627" t="s">
        <v>126</v>
      </c>
      <c r="P707" s="627" t="s">
        <v>123</v>
      </c>
      <c r="Q707" s="1176"/>
      <c r="R707" s="1176"/>
      <c r="S707" s="1176"/>
      <c r="AQ707" s="57"/>
    </row>
    <row r="708" spans="2:43" ht="17.45" hidden="1" customHeight="1" outlineLevel="1">
      <c r="B708" s="139" t="s">
        <v>81</v>
      </c>
      <c r="C708" s="111">
        <f t="shared" ref="C708:C718" si="1058">SUMIF($R$87:$R$98,B708,$L$87:$L$98)</f>
        <v>35195</v>
      </c>
      <c r="D708" s="111">
        <f t="shared" ref="D708:D718" si="1059">SUMIF($R$87:$R$98,B708,$M$87:$M$98)</f>
        <v>30000</v>
      </c>
      <c r="E708" s="111">
        <f>C708+D708</f>
        <v>65195</v>
      </c>
      <c r="F708" s="111">
        <f t="shared" ref="F708:F718" si="1060">SUMIF($R$87:$R$98,B708,$AZ$87:$AZ$98)</f>
        <v>2</v>
      </c>
      <c r="G708" s="111">
        <f>E708/1000</f>
        <v>65.194999999999993</v>
      </c>
      <c r="H708" s="111"/>
      <c r="I708" s="119"/>
      <c r="J708" s="139" t="s">
        <v>117</v>
      </c>
      <c r="K708" s="111">
        <f t="shared" ref="K708:K715" si="1061">SUMIF($Q$87:$Q$98,J708,$L$87:$L$98)</f>
        <v>0</v>
      </c>
      <c r="L708" s="111">
        <f t="shared" ref="L708:L715" si="1062">SUMIF($Q$87:$Q$98,J708,$M$87:$M$98)</f>
        <v>0</v>
      </c>
      <c r="M708" s="202">
        <f>K708+L708</f>
        <v>0</v>
      </c>
      <c r="N708" s="202">
        <f>K708/1000</f>
        <v>0</v>
      </c>
      <c r="O708" s="202">
        <f>L708/1000</f>
        <v>0</v>
      </c>
      <c r="P708" s="202">
        <f>N708+O708</f>
        <v>0</v>
      </c>
      <c r="Q708" s="358">
        <f t="shared" ref="Q708:Q715" si="1063">SUMIF($Q$87:$Q$98,J708,$I$87:$I$98)</f>
        <v>0</v>
      </c>
      <c r="R708" s="111">
        <f t="shared" ref="R708:R715" si="1064">SUMIF($Q$87:$Q$98,J708,$AZ$87:$AZ$98)</f>
        <v>0</v>
      </c>
      <c r="S708" s="126" t="str">
        <f>IFERROR(Q708/R708,"")</f>
        <v/>
      </c>
      <c r="AQ708" s="57"/>
    </row>
    <row r="709" spans="2:43" ht="17.45" hidden="1" customHeight="1" outlineLevel="1">
      <c r="B709" s="139" t="s">
        <v>82</v>
      </c>
      <c r="C709" s="111">
        <f t="shared" si="1058"/>
        <v>77006</v>
      </c>
      <c r="D709" s="111">
        <f t="shared" si="1059"/>
        <v>0</v>
      </c>
      <c r="E709" s="111">
        <f t="shared" ref="E709:E718" si="1065">C709+D709</f>
        <v>77006</v>
      </c>
      <c r="F709" s="111">
        <f t="shared" si="1060"/>
        <v>1</v>
      </c>
      <c r="G709" s="111">
        <f t="shared" ref="G709:G718" si="1066">E709/1000</f>
        <v>77.006</v>
      </c>
      <c r="H709" s="111"/>
      <c r="I709" s="119"/>
      <c r="J709" s="139" t="s">
        <v>118</v>
      </c>
      <c r="K709" s="111">
        <f t="shared" si="1061"/>
        <v>0</v>
      </c>
      <c r="L709" s="111">
        <f t="shared" si="1062"/>
        <v>10904</v>
      </c>
      <c r="M709" s="202">
        <f t="shared" ref="M709:M715" si="1067">K709+L709</f>
        <v>10904</v>
      </c>
      <c r="N709" s="202">
        <f t="shared" ref="N709:O715" si="1068">K709/1000</f>
        <v>0</v>
      </c>
      <c r="O709" s="202">
        <f t="shared" si="1068"/>
        <v>10.904</v>
      </c>
      <c r="P709" s="202">
        <f t="shared" ref="P709:P715" si="1069">N709+O709</f>
        <v>10.904</v>
      </c>
      <c r="Q709" s="358">
        <f t="shared" si="1063"/>
        <v>6.25E-2</v>
      </c>
      <c r="R709" s="111">
        <f t="shared" si="1064"/>
        <v>1</v>
      </c>
      <c r="S709" s="126">
        <f t="shared" ref="S709:S715" si="1070">IFERROR(Q709/R709,"")</f>
        <v>6.25E-2</v>
      </c>
      <c r="AQ709" s="57"/>
    </row>
    <row r="710" spans="2:43" ht="17.45" hidden="1" customHeight="1" outlineLevel="1">
      <c r="B710" s="139" t="s">
        <v>83</v>
      </c>
      <c r="C710" s="111">
        <f t="shared" si="1058"/>
        <v>0</v>
      </c>
      <c r="D710" s="111">
        <f t="shared" si="1059"/>
        <v>23990</v>
      </c>
      <c r="E710" s="111">
        <f t="shared" si="1065"/>
        <v>23990</v>
      </c>
      <c r="F710" s="111">
        <f t="shared" si="1060"/>
        <v>1</v>
      </c>
      <c r="G710" s="111">
        <f t="shared" si="1066"/>
        <v>23.99</v>
      </c>
      <c r="H710" s="111"/>
      <c r="I710" s="119"/>
      <c r="J710" s="139" t="s">
        <v>119</v>
      </c>
      <c r="K710" s="111">
        <f t="shared" si="1061"/>
        <v>0</v>
      </c>
      <c r="L710" s="111">
        <f t="shared" si="1062"/>
        <v>0</v>
      </c>
      <c r="M710" s="202">
        <f t="shared" si="1067"/>
        <v>0</v>
      </c>
      <c r="N710" s="202">
        <f t="shared" si="1068"/>
        <v>0</v>
      </c>
      <c r="O710" s="202">
        <f t="shared" si="1068"/>
        <v>0</v>
      </c>
      <c r="P710" s="202">
        <f t="shared" si="1069"/>
        <v>0</v>
      </c>
      <c r="Q710" s="358">
        <f t="shared" si="1063"/>
        <v>0</v>
      </c>
      <c r="R710" s="111">
        <f t="shared" si="1064"/>
        <v>0</v>
      </c>
      <c r="S710" s="126" t="str">
        <f t="shared" si="1070"/>
        <v/>
      </c>
      <c r="AQ710" s="57"/>
    </row>
    <row r="711" spans="2:43" ht="17.45" hidden="1" customHeight="1" outlineLevel="1">
      <c r="B711" s="139" t="s">
        <v>84</v>
      </c>
      <c r="C711" s="111">
        <f t="shared" si="1058"/>
        <v>0</v>
      </c>
      <c r="D711" s="111">
        <f t="shared" si="1059"/>
        <v>0</v>
      </c>
      <c r="E711" s="111">
        <f t="shared" si="1065"/>
        <v>0</v>
      </c>
      <c r="F711" s="111">
        <f t="shared" si="1060"/>
        <v>0</v>
      </c>
      <c r="G711" s="111">
        <f t="shared" si="1066"/>
        <v>0</v>
      </c>
      <c r="H711" s="111"/>
      <c r="I711" s="119"/>
      <c r="J711" s="139" t="s">
        <v>113</v>
      </c>
      <c r="K711" s="111">
        <f t="shared" si="1061"/>
        <v>0</v>
      </c>
      <c r="L711" s="111">
        <f t="shared" si="1062"/>
        <v>0</v>
      </c>
      <c r="M711" s="202">
        <f t="shared" si="1067"/>
        <v>0</v>
      </c>
      <c r="N711" s="202">
        <f t="shared" si="1068"/>
        <v>0</v>
      </c>
      <c r="O711" s="202">
        <f t="shared" si="1068"/>
        <v>0</v>
      </c>
      <c r="P711" s="202">
        <f t="shared" si="1069"/>
        <v>0</v>
      </c>
      <c r="Q711" s="358">
        <f t="shared" si="1063"/>
        <v>0</v>
      </c>
      <c r="R711" s="111">
        <f t="shared" si="1064"/>
        <v>0</v>
      </c>
      <c r="S711" s="126" t="str">
        <f t="shared" si="1070"/>
        <v/>
      </c>
      <c r="AQ711" s="57"/>
    </row>
    <row r="712" spans="2:43" ht="17.45" hidden="1" customHeight="1" outlineLevel="1">
      <c r="B712" s="139" t="s">
        <v>223</v>
      </c>
      <c r="C712" s="111">
        <f t="shared" si="1058"/>
        <v>0</v>
      </c>
      <c r="D712" s="111">
        <f t="shared" si="1059"/>
        <v>0</v>
      </c>
      <c r="E712" s="111">
        <f t="shared" si="1065"/>
        <v>0</v>
      </c>
      <c r="F712" s="111">
        <f t="shared" si="1060"/>
        <v>0</v>
      </c>
      <c r="G712" s="111">
        <f t="shared" si="1066"/>
        <v>0</v>
      </c>
      <c r="H712" s="111"/>
      <c r="I712" s="119"/>
      <c r="J712" s="139" t="s">
        <v>120</v>
      </c>
      <c r="K712" s="111">
        <f t="shared" si="1061"/>
        <v>112201</v>
      </c>
      <c r="L712" s="111">
        <f t="shared" si="1062"/>
        <v>53990</v>
      </c>
      <c r="M712" s="202">
        <f t="shared" si="1067"/>
        <v>166191</v>
      </c>
      <c r="N712" s="202">
        <f t="shared" si="1068"/>
        <v>112.20099999999999</v>
      </c>
      <c r="O712" s="202">
        <f t="shared" si="1068"/>
        <v>53.99</v>
      </c>
      <c r="P712" s="202">
        <f t="shared" si="1069"/>
        <v>166.191</v>
      </c>
      <c r="Q712" s="358">
        <f t="shared" si="1063"/>
        <v>10.688888888893416</v>
      </c>
      <c r="R712" s="111">
        <f t="shared" si="1064"/>
        <v>4</v>
      </c>
      <c r="S712" s="126">
        <f t="shared" si="1070"/>
        <v>2.672222222223354</v>
      </c>
      <c r="AQ712" s="57"/>
    </row>
    <row r="713" spans="2:43" ht="17.45" hidden="1" customHeight="1" outlineLevel="1">
      <c r="B713" s="139" t="s">
        <v>158</v>
      </c>
      <c r="C713" s="111">
        <f t="shared" si="1058"/>
        <v>0</v>
      </c>
      <c r="D713" s="111">
        <f t="shared" si="1059"/>
        <v>0</v>
      </c>
      <c r="E713" s="111">
        <f t="shared" si="1065"/>
        <v>0</v>
      </c>
      <c r="F713" s="111">
        <f t="shared" si="1060"/>
        <v>0</v>
      </c>
      <c r="G713" s="111">
        <f t="shared" si="1066"/>
        <v>0</v>
      </c>
      <c r="H713" s="111"/>
      <c r="I713" s="119"/>
      <c r="J713" s="139" t="s">
        <v>121</v>
      </c>
      <c r="K713" s="111">
        <f t="shared" si="1061"/>
        <v>0</v>
      </c>
      <c r="L713" s="111">
        <f t="shared" si="1062"/>
        <v>0</v>
      </c>
      <c r="M713" s="202">
        <f t="shared" si="1067"/>
        <v>0</v>
      </c>
      <c r="N713" s="202">
        <f t="shared" si="1068"/>
        <v>0</v>
      </c>
      <c r="O713" s="202">
        <f t="shared" si="1068"/>
        <v>0</v>
      </c>
      <c r="P713" s="202">
        <f t="shared" si="1069"/>
        <v>0</v>
      </c>
      <c r="Q713" s="358">
        <f t="shared" si="1063"/>
        <v>0</v>
      </c>
      <c r="R713" s="111">
        <f t="shared" si="1064"/>
        <v>0</v>
      </c>
      <c r="S713" s="126" t="str">
        <f t="shared" si="1070"/>
        <v/>
      </c>
      <c r="AQ713" s="57"/>
    </row>
    <row r="714" spans="2:43" ht="17.45" hidden="1" customHeight="1" outlineLevel="1">
      <c r="B714" s="139" t="s">
        <v>85</v>
      </c>
      <c r="C714" s="111">
        <f t="shared" si="1058"/>
        <v>0</v>
      </c>
      <c r="D714" s="111">
        <f t="shared" si="1059"/>
        <v>0</v>
      </c>
      <c r="E714" s="111">
        <f t="shared" si="1065"/>
        <v>0</v>
      </c>
      <c r="F714" s="111">
        <f t="shared" si="1060"/>
        <v>0</v>
      </c>
      <c r="G714" s="111">
        <f t="shared" si="1066"/>
        <v>0</v>
      </c>
      <c r="H714" s="111"/>
      <c r="I714" s="119"/>
      <c r="J714" s="139" t="s">
        <v>122</v>
      </c>
      <c r="K714" s="111">
        <f t="shared" si="1061"/>
        <v>0</v>
      </c>
      <c r="L714" s="111">
        <f t="shared" si="1062"/>
        <v>0</v>
      </c>
      <c r="M714" s="202">
        <f t="shared" si="1067"/>
        <v>0</v>
      </c>
      <c r="N714" s="202">
        <f t="shared" si="1068"/>
        <v>0</v>
      </c>
      <c r="O714" s="202">
        <f t="shared" si="1068"/>
        <v>0</v>
      </c>
      <c r="P714" s="202">
        <f t="shared" si="1069"/>
        <v>0</v>
      </c>
      <c r="Q714" s="358">
        <f t="shared" si="1063"/>
        <v>0</v>
      </c>
      <c r="R714" s="111">
        <f t="shared" si="1064"/>
        <v>0</v>
      </c>
      <c r="S714" s="126" t="str">
        <f t="shared" si="1070"/>
        <v/>
      </c>
      <c r="AQ714" s="57"/>
    </row>
    <row r="715" spans="2:43" ht="17.45" hidden="1" customHeight="1" outlineLevel="1">
      <c r="B715" s="139" t="s">
        <v>96</v>
      </c>
      <c r="C715" s="111">
        <f t="shared" si="1058"/>
        <v>0</v>
      </c>
      <c r="D715" s="111">
        <f t="shared" si="1059"/>
        <v>0</v>
      </c>
      <c r="E715" s="111">
        <f t="shared" si="1065"/>
        <v>0</v>
      </c>
      <c r="F715" s="111">
        <f t="shared" si="1060"/>
        <v>0</v>
      </c>
      <c r="G715" s="111">
        <f t="shared" si="1066"/>
        <v>0</v>
      </c>
      <c r="H715" s="142" t="s">
        <v>30</v>
      </c>
      <c r="I715" s="119"/>
      <c r="J715" s="139" t="s">
        <v>162</v>
      </c>
      <c r="K715" s="111">
        <f t="shared" si="1061"/>
        <v>0</v>
      </c>
      <c r="L715" s="111">
        <f t="shared" si="1062"/>
        <v>0</v>
      </c>
      <c r="M715" s="202">
        <f t="shared" si="1067"/>
        <v>0</v>
      </c>
      <c r="N715" s="202">
        <f t="shared" si="1068"/>
        <v>0</v>
      </c>
      <c r="O715" s="202">
        <f t="shared" si="1068"/>
        <v>0</v>
      </c>
      <c r="P715" s="202">
        <f t="shared" si="1069"/>
        <v>0</v>
      </c>
      <c r="Q715" s="358">
        <f t="shared" si="1063"/>
        <v>0</v>
      </c>
      <c r="R715" s="111">
        <f t="shared" si="1064"/>
        <v>0</v>
      </c>
      <c r="S715" s="126" t="str">
        <f t="shared" si="1070"/>
        <v/>
      </c>
      <c r="AQ715" s="57"/>
    </row>
    <row r="716" spans="2:43" ht="17.45" hidden="1" customHeight="1" outlineLevel="1">
      <c r="B716" s="139" t="s">
        <v>86</v>
      </c>
      <c r="C716" s="111">
        <f t="shared" si="1058"/>
        <v>0</v>
      </c>
      <c r="D716" s="111">
        <f t="shared" si="1059"/>
        <v>0</v>
      </c>
      <c r="E716" s="111">
        <f t="shared" si="1065"/>
        <v>0</v>
      </c>
      <c r="F716" s="111">
        <f t="shared" si="1060"/>
        <v>0</v>
      </c>
      <c r="G716" s="111">
        <f t="shared" si="1066"/>
        <v>0</v>
      </c>
      <c r="H716" s="111"/>
      <c r="I716" s="119"/>
      <c r="J716" s="232" t="s">
        <v>123</v>
      </c>
      <c r="K716" s="203">
        <f>SUM(K708:K715)</f>
        <v>112201</v>
      </c>
      <c r="L716" s="203">
        <f t="shared" ref="L716:M716" si="1071">SUM(L708:L715)</f>
        <v>64894</v>
      </c>
      <c r="M716" s="203">
        <f t="shared" si="1071"/>
        <v>177095</v>
      </c>
      <c r="N716" s="203">
        <f>SUM(N708:N715)</f>
        <v>112.20099999999999</v>
      </c>
      <c r="O716" s="203">
        <f t="shared" ref="O716:P716" si="1072">SUM(O708:O715)</f>
        <v>64.894000000000005</v>
      </c>
      <c r="P716" s="203">
        <f t="shared" si="1072"/>
        <v>177.095</v>
      </c>
      <c r="Q716" s="359">
        <f>SUM(Q708:Q715)</f>
        <v>10.751388888893416</v>
      </c>
      <c r="R716" s="359">
        <f>SUM(R708:R715)</f>
        <v>5</v>
      </c>
      <c r="S716" s="359">
        <f>IFERROR(Q716/R716,"")</f>
        <v>2.1502777777786832</v>
      </c>
      <c r="AQ716" s="57"/>
    </row>
    <row r="717" spans="2:43" ht="17.45" hidden="1" customHeight="1" outlineLevel="1">
      <c r="B717" s="139" t="s">
        <v>169</v>
      </c>
      <c r="C717" s="111">
        <f t="shared" si="1058"/>
        <v>0</v>
      </c>
      <c r="D717" s="111">
        <f t="shared" si="1059"/>
        <v>0</v>
      </c>
      <c r="E717" s="111">
        <f t="shared" si="1065"/>
        <v>0</v>
      </c>
      <c r="F717" s="111">
        <f t="shared" si="1060"/>
        <v>0</v>
      </c>
      <c r="G717" s="168">
        <f t="shared" si="1066"/>
        <v>0</v>
      </c>
      <c r="H717" s="111"/>
      <c r="I717" s="119"/>
      <c r="K717" s="343" t="str">
        <f>IF(K716=D703,"","CHECK")</f>
        <v/>
      </c>
      <c r="L717" s="343" t="str">
        <f>IF(L716=E703,"","CHECK")</f>
        <v/>
      </c>
      <c r="M717" s="343" t="str">
        <f>IF(M716=F703,"","CHECK")</f>
        <v/>
      </c>
      <c r="S717" s="343" t="str">
        <f>IF(S716=I729,"","CHECK")</f>
        <v/>
      </c>
      <c r="AQ717" s="57"/>
    </row>
    <row r="718" spans="2:43" ht="17.45" hidden="1" customHeight="1" outlineLevel="1" thickBot="1">
      <c r="B718" s="139" t="s">
        <v>155</v>
      </c>
      <c r="C718" s="111">
        <f t="shared" si="1058"/>
        <v>0</v>
      </c>
      <c r="D718" s="111">
        <f t="shared" si="1059"/>
        <v>0</v>
      </c>
      <c r="E718" s="111">
        <f t="shared" si="1065"/>
        <v>0</v>
      </c>
      <c r="F718" s="111">
        <f t="shared" si="1060"/>
        <v>0</v>
      </c>
      <c r="G718" s="168">
        <f t="shared" si="1066"/>
        <v>0</v>
      </c>
      <c r="H718" s="111"/>
      <c r="I718" s="119"/>
      <c r="L718" s="283"/>
      <c r="M718" s="220"/>
      <c r="P718" s="360" t="s">
        <v>161</v>
      </c>
      <c r="Q718" s="359">
        <f>SUM(Q708:Q713)</f>
        <v>10.751388888893416</v>
      </c>
      <c r="R718" s="359">
        <f>SUM(R708:R713)</f>
        <v>5</v>
      </c>
      <c r="S718" s="359">
        <f>IFERROR(Q718/R718,"")</f>
        <v>2.1502777777786832</v>
      </c>
      <c r="AQ718" s="57"/>
    </row>
    <row r="719" spans="2:43" ht="17.45" hidden="1" customHeight="1" outlineLevel="1" thickBot="1">
      <c r="B719" s="113" t="s">
        <v>61</v>
      </c>
      <c r="C719" s="114">
        <f>SUM(C708:C718)</f>
        <v>112201</v>
      </c>
      <c r="D719" s="114">
        <f t="shared" ref="D719:E719" si="1073">SUM(D708:D718)</f>
        <v>53990</v>
      </c>
      <c r="E719" s="114">
        <f t="shared" si="1073"/>
        <v>166191</v>
      </c>
      <c r="F719" s="166">
        <f>SUM(F708:F718)</f>
        <v>4</v>
      </c>
      <c r="G719" s="170">
        <f>SUM(G708:G718)</f>
        <v>166.191</v>
      </c>
      <c r="H719" s="167"/>
      <c r="I719" s="119"/>
      <c r="K719" s="57"/>
      <c r="L719" s="57"/>
      <c r="M719" s="57"/>
      <c r="N719" s="57"/>
      <c r="O719" s="57"/>
      <c r="P719" s="57"/>
      <c r="Q719" s="57"/>
      <c r="R719" s="57"/>
      <c r="S719" s="57"/>
      <c r="AQ719" s="57"/>
    </row>
    <row r="720" spans="2:43" ht="17.45" hidden="1" customHeight="1" outlineLevel="1">
      <c r="B720" s="151" t="s">
        <v>87</v>
      </c>
      <c r="C720" s="152"/>
      <c r="D720" s="152"/>
      <c r="E720" s="153">
        <f>$W$284</f>
        <v>16176.779999999999</v>
      </c>
      <c r="F720" s="143"/>
      <c r="G720" s="169">
        <f>E720/1000</f>
        <v>16.176779999999997</v>
      </c>
      <c r="H720" s="145"/>
      <c r="I720" s="119"/>
      <c r="AQ720" s="57"/>
    </row>
    <row r="721" spans="2:43" ht="17.45" hidden="1" customHeight="1" outlineLevel="1">
      <c r="B721" s="151" t="s">
        <v>57</v>
      </c>
      <c r="C721" s="152"/>
      <c r="D721" s="152"/>
      <c r="E721" s="140">
        <f>SUM(E719:E720)</f>
        <v>182367.78</v>
      </c>
      <c r="F721" s="122"/>
      <c r="G721" s="140">
        <f>SUM(G719:G720)</f>
        <v>182.36778000000001</v>
      </c>
      <c r="H721" s="343" t="str">
        <f>IF(G721=K284,"","CHECK")</f>
        <v>CHECK</v>
      </c>
      <c r="I721" s="119"/>
      <c r="AQ721" s="57"/>
    </row>
    <row r="722" spans="2:43" ht="17.45" hidden="1" customHeight="1" outlineLevel="1">
      <c r="B722" s="137"/>
      <c r="C722" s="122"/>
      <c r="D722" s="122"/>
      <c r="E722" s="154"/>
      <c r="F722" s="122"/>
      <c r="G722" s="122"/>
      <c r="H722" s="137"/>
      <c r="I722" s="119"/>
      <c r="AQ722" s="57"/>
    </row>
    <row r="723" spans="2:43" ht="17.45" hidden="1" customHeight="1" outlineLevel="1">
      <c r="B723" s="1173" t="s">
        <v>88</v>
      </c>
      <c r="C723" s="1177" t="s">
        <v>52</v>
      </c>
      <c r="D723" s="1177"/>
      <c r="E723" s="1177"/>
      <c r="F723" s="1177" t="s">
        <v>73</v>
      </c>
      <c r="G723" s="1177" t="s">
        <v>75</v>
      </c>
      <c r="H723" s="1168" t="s">
        <v>72</v>
      </c>
      <c r="I723" s="1168"/>
      <c r="AQ723" s="57"/>
    </row>
    <row r="724" spans="2:43" ht="17.45" hidden="1" customHeight="1" outlineLevel="1">
      <c r="B724" s="1173"/>
      <c r="C724" s="628" t="s">
        <v>55</v>
      </c>
      <c r="D724" s="628" t="s">
        <v>56</v>
      </c>
      <c r="E724" s="628" t="s">
        <v>57</v>
      </c>
      <c r="F724" s="1177"/>
      <c r="G724" s="1177"/>
      <c r="H724" s="626" t="s">
        <v>89</v>
      </c>
      <c r="I724" s="626" t="s">
        <v>90</v>
      </c>
      <c r="AQ724" s="57"/>
    </row>
    <row r="725" spans="2:43" ht="17.45" hidden="1" customHeight="1" outlineLevel="1">
      <c r="B725" s="138" t="s">
        <v>91</v>
      </c>
      <c r="C725" s="111">
        <f>SUMIF($V$87:$V$98,B725,$L$87:$L$98)</f>
        <v>0</v>
      </c>
      <c r="D725" s="111">
        <f>SUMIF($V$87:$V$98,B725,$M$87:$M$98)</f>
        <v>0</v>
      </c>
      <c r="E725" s="111">
        <f>C725+D725</f>
        <v>0</v>
      </c>
      <c r="F725" s="111">
        <f>SUMIF($V$87:$V$98,B725,$AZ$87:$AZ$98)</f>
        <v>0</v>
      </c>
      <c r="G725" s="111">
        <f>E725/1000</f>
        <v>0</v>
      </c>
      <c r="H725" s="126">
        <f>SUMIF($V$87:$V$98,B725,$I$87:$I$98)</f>
        <v>0</v>
      </c>
      <c r="I725" s="141" t="str">
        <f>IFERROR(H725/F725,"")</f>
        <v/>
      </c>
      <c r="AQ725" s="57"/>
    </row>
    <row r="726" spans="2:43" ht="17.45" hidden="1" customHeight="1" outlineLevel="1">
      <c r="B726" s="138" t="s">
        <v>92</v>
      </c>
      <c r="C726" s="111">
        <f>SUMIF($V$87:$V$98,B726,$L$87:$L$98)</f>
        <v>112201</v>
      </c>
      <c r="D726" s="111">
        <f>SUMIF($V$87:$V$98,B726,$M$87:$M$98)</f>
        <v>30000</v>
      </c>
      <c r="E726" s="111">
        <f t="shared" ref="E726:E728" si="1074">C726+D726</f>
        <v>142201</v>
      </c>
      <c r="F726" s="111">
        <f>SUMIF($V$87:$V$98,B726,$AZ$87:$AZ$98)</f>
        <v>3</v>
      </c>
      <c r="G726" s="111">
        <f t="shared" ref="G726:G728" si="1075">E726/1000</f>
        <v>142.20099999999999</v>
      </c>
      <c r="H726" s="126">
        <f>SUMIF($V$87:$V$98,B726,$I$87:$I$98)</f>
        <v>10.620833333341579</v>
      </c>
      <c r="I726" s="141">
        <f t="shared" ref="I726:I727" si="1076">IFERROR(H726/F726,"")</f>
        <v>3.5402777777805263</v>
      </c>
      <c r="AQ726" s="57"/>
    </row>
    <row r="727" spans="2:43" ht="17.45" hidden="1" customHeight="1" outlineLevel="1">
      <c r="B727" s="138" t="s">
        <v>93</v>
      </c>
      <c r="C727" s="111">
        <f>SUMIF($V$87:$V$98,B727,$L$87:$L$98)</f>
        <v>0</v>
      </c>
      <c r="D727" s="111">
        <f>SUMIF($V$87:$V$98,B727,$M$87:$M$98)</f>
        <v>0</v>
      </c>
      <c r="E727" s="111">
        <f t="shared" si="1074"/>
        <v>0</v>
      </c>
      <c r="F727" s="111">
        <f>SUMIF($V$87:$V$98,B727,$AZ$87:$AZ$98)</f>
        <v>0</v>
      </c>
      <c r="G727" s="111">
        <f t="shared" si="1075"/>
        <v>0</v>
      </c>
      <c r="H727" s="126">
        <f>SUMIF($V$87:$V$98,B727,$I$87:$I$98)</f>
        <v>0</v>
      </c>
      <c r="I727" s="141" t="str">
        <f t="shared" si="1076"/>
        <v/>
      </c>
      <c r="AQ727" s="57"/>
    </row>
    <row r="728" spans="2:43" ht="17.45" hidden="1" customHeight="1" outlineLevel="1" thickBot="1">
      <c r="B728" s="138" t="s">
        <v>94</v>
      </c>
      <c r="C728" s="111">
        <f>SUMIF($V$87:$V$98,B728,$L$87:$L$98)</f>
        <v>0</v>
      </c>
      <c r="D728" s="111">
        <f>SUMIF($V$87:$V$98,B728,$M$87:$M$98)</f>
        <v>34894</v>
      </c>
      <c r="E728" s="111">
        <f t="shared" si="1074"/>
        <v>34894</v>
      </c>
      <c r="F728" s="111">
        <f>SUMIF($V$87:$V$98,B728,$AZ$87:$AZ$98)</f>
        <v>2</v>
      </c>
      <c r="G728" s="111">
        <f t="shared" si="1075"/>
        <v>34.893999999999998</v>
      </c>
      <c r="H728" s="126">
        <f>SUMIF($V$87:$V$98,B728,$I$87:$I$98)</f>
        <v>0.13055555555183673</v>
      </c>
      <c r="I728" s="190">
        <f>IFERROR(H728/F728,"")</f>
        <v>6.5277777775918366E-2</v>
      </c>
      <c r="AQ728" s="57"/>
    </row>
    <row r="729" spans="2:43" ht="17.45" hidden="1" customHeight="1" outlineLevel="1" thickBot="1">
      <c r="B729" s="113" t="s">
        <v>61</v>
      </c>
      <c r="C729" s="114">
        <f>SUM(C725:C728)</f>
        <v>112201</v>
      </c>
      <c r="D729" s="114">
        <f t="shared" ref="D729:F729" si="1077">SUM(D725:D728)</f>
        <v>64894</v>
      </c>
      <c r="E729" s="114">
        <f t="shared" si="1077"/>
        <v>177095</v>
      </c>
      <c r="F729" s="114">
        <f t="shared" si="1077"/>
        <v>5</v>
      </c>
      <c r="G729" s="114">
        <f>SUM(G725:G728)</f>
        <v>177.095</v>
      </c>
      <c r="H729" s="189">
        <f>SUM(H725:H728)</f>
        <v>10.751388888893416</v>
      </c>
      <c r="I729" s="191">
        <f>IFERROR(H729/F729,"")</f>
        <v>2.1502777777786832</v>
      </c>
      <c r="AQ729" s="57"/>
    </row>
    <row r="730" spans="2:43" ht="17.45" hidden="1" customHeight="1" outlineLevel="1">
      <c r="AQ730" s="57"/>
    </row>
    <row r="731" spans="2:43" ht="17.45" customHeight="1" collapsed="1">
      <c r="B731" s="329" t="s">
        <v>261</v>
      </c>
      <c r="O731" s="122"/>
      <c r="P731" s="122"/>
      <c r="Q731" s="122"/>
      <c r="R731" s="123"/>
      <c r="S731" s="331"/>
      <c r="T731" s="124"/>
      <c r="U731" s="332"/>
      <c r="V731" s="332"/>
      <c r="W731" s="245"/>
      <c r="X731" s="245"/>
      <c r="Y731" s="333"/>
      <c r="AQ731" s="57"/>
    </row>
    <row r="732" spans="2:43" ht="17.45" hidden="1" customHeight="1" outlineLevel="1">
      <c r="B732" s="1173" t="s">
        <v>51</v>
      </c>
      <c r="C732" s="1173"/>
      <c r="D732" s="1168" t="s">
        <v>52</v>
      </c>
      <c r="E732" s="1168"/>
      <c r="F732" s="1168"/>
      <c r="G732" s="1168" t="s">
        <v>53</v>
      </c>
      <c r="H732" s="1168"/>
      <c r="I732" s="1168"/>
      <c r="J732" s="1168" t="s">
        <v>54</v>
      </c>
      <c r="K732" s="1168"/>
      <c r="L732" s="1168"/>
      <c r="O732" s="1168" t="s">
        <v>71</v>
      </c>
      <c r="P732" s="1168" t="s">
        <v>72</v>
      </c>
      <c r="Q732" s="1168" t="s">
        <v>73</v>
      </c>
      <c r="R732" s="1168" t="s">
        <v>74</v>
      </c>
      <c r="S732" s="122"/>
      <c r="T732" s="1168" t="s">
        <v>71</v>
      </c>
      <c r="U732" s="1168" t="s">
        <v>72</v>
      </c>
      <c r="V732" s="1168" t="s">
        <v>73</v>
      </c>
      <c r="W732" s="1168" t="s">
        <v>74</v>
      </c>
      <c r="X732" s="1168" t="s">
        <v>75</v>
      </c>
      <c r="Y732" s="1169" t="str">
        <f>RIGHT(B731,3)&amp;" 목표(ST)"</f>
        <v xml:space="preserve"> 7월 목표(ST)</v>
      </c>
      <c r="Z732" s="1170" t="s">
        <v>111</v>
      </c>
      <c r="AQ732" s="57"/>
    </row>
    <row r="733" spans="2:43" ht="17.45" hidden="1" customHeight="1" outlineLevel="1">
      <c r="B733" s="1173"/>
      <c r="C733" s="1173"/>
      <c r="D733" s="626" t="s">
        <v>55</v>
      </c>
      <c r="E733" s="626" t="s">
        <v>56</v>
      </c>
      <c r="F733" s="626" t="s">
        <v>57</v>
      </c>
      <c r="G733" s="626" t="s">
        <v>55</v>
      </c>
      <c r="H733" s="626" t="s">
        <v>56</v>
      </c>
      <c r="I733" s="626" t="s">
        <v>57</v>
      </c>
      <c r="J733" s="626" t="s">
        <v>55</v>
      </c>
      <c r="K733" s="626" t="s">
        <v>56</v>
      </c>
      <c r="L733" s="626" t="s">
        <v>57</v>
      </c>
      <c r="O733" s="1168"/>
      <c r="P733" s="1168"/>
      <c r="Q733" s="1168"/>
      <c r="R733" s="1168"/>
      <c r="S733" s="122"/>
      <c r="T733" s="1168"/>
      <c r="U733" s="1168"/>
      <c r="V733" s="1168"/>
      <c r="W733" s="1168"/>
      <c r="X733" s="1168"/>
      <c r="Y733" s="1168"/>
      <c r="Z733" s="1168"/>
      <c r="AN733" s="361"/>
      <c r="AO733" s="362" t="s">
        <v>156</v>
      </c>
      <c r="AP733" s="457"/>
      <c r="AQ733" s="57"/>
    </row>
    <row r="734" spans="2:43" ht="17.45" hidden="1" customHeight="1" outlineLevel="1">
      <c r="B734" s="1171" t="s">
        <v>58</v>
      </c>
      <c r="C734" s="110" t="s">
        <v>179</v>
      </c>
      <c r="D734" s="111">
        <f t="shared" ref="D734:D739" si="1078">SUMIF($B$100:$B$113,C734,$L$100:$L$113)</f>
        <v>0</v>
      </c>
      <c r="E734" s="111">
        <f t="shared" ref="E734:E739" si="1079">SUMIF($B$100:$B$113,C734,$M$100:$M$113)</f>
        <v>52100</v>
      </c>
      <c r="F734" s="111">
        <f>D734+E734</f>
        <v>52100</v>
      </c>
      <c r="G734" s="112">
        <f>IFERROR(D734/F734,"")</f>
        <v>0</v>
      </c>
      <c r="H734" s="112">
        <f>IFERROR(E734/F734,"")</f>
        <v>1</v>
      </c>
      <c r="I734" s="112">
        <f t="shared" ref="I734:I739" si="1080">IFERROR(G734+H734,"")</f>
        <v>1</v>
      </c>
      <c r="J734" s="111">
        <f t="shared" ref="J734:J739" si="1081">SUMIF($B$100:$B$113,C734,$AX$100:$AX$113)</f>
        <v>0</v>
      </c>
      <c r="K734" s="111">
        <f t="shared" ref="K734:K739" si="1082">SUMIF($B$100:$B$113,C734,$AY$100:$AY$113)</f>
        <v>1</v>
      </c>
      <c r="L734" s="111">
        <f>J734+K734</f>
        <v>1</v>
      </c>
      <c r="O734" s="125" t="str">
        <f>C734</f>
        <v>SGC에너지</v>
      </c>
      <c r="P734" s="126">
        <f t="shared" ref="P734:P739" si="1083">SUMIF($B$100:$B$113,O734,$I$100:$I$113)</f>
        <v>5.7375000000029104</v>
      </c>
      <c r="Q734" s="111">
        <f t="shared" ref="Q734:Q739" si="1084">SUMIF($B$100:$B$113,O734,$AZ$100:$AZ$113)</f>
        <v>1</v>
      </c>
      <c r="R734" s="126">
        <f>IFERROR(P734/Q734,"")</f>
        <v>5.7375000000029104</v>
      </c>
      <c r="S734" s="122"/>
      <c r="T734" s="125" t="str">
        <f>O734</f>
        <v>SGC에너지</v>
      </c>
      <c r="U734" s="126">
        <f>P734</f>
        <v>5.7375000000029104</v>
      </c>
      <c r="V734" s="111">
        <f>Q734</f>
        <v>1</v>
      </c>
      <c r="W734" s="127">
        <f>IFERROR(U734/V734,"")</f>
        <v>5.7375000000029104</v>
      </c>
      <c r="X734" s="148">
        <f>F734/1000</f>
        <v>52.1</v>
      </c>
      <c r="Y734" s="335"/>
      <c r="Z734" s="155" t="str">
        <f>IFERROR(IF(X734=0,"",X734/Y734),"")</f>
        <v/>
      </c>
      <c r="AN734" s="335"/>
      <c r="AO734" s="336">
        <f>X734-Y734</f>
        <v>52.1</v>
      </c>
      <c r="AP734" s="452"/>
      <c r="AQ734" s="57"/>
    </row>
    <row r="735" spans="2:43" ht="17.45" hidden="1" customHeight="1" outlineLevel="1">
      <c r="B735" s="1172"/>
      <c r="C735" s="110" t="s">
        <v>59</v>
      </c>
      <c r="D735" s="111">
        <f t="shared" si="1078"/>
        <v>0</v>
      </c>
      <c r="E735" s="111">
        <f t="shared" si="1079"/>
        <v>79055</v>
      </c>
      <c r="F735" s="111">
        <f t="shared" ref="F735:F739" si="1085">D735+E735</f>
        <v>79055</v>
      </c>
      <c r="G735" s="112">
        <f t="shared" ref="G735:G757" si="1086">IFERROR(D735/F735,"")</f>
        <v>0</v>
      </c>
      <c r="H735" s="112">
        <f t="shared" ref="H735:H739" si="1087">IFERROR(E735/F735,"")</f>
        <v>1</v>
      </c>
      <c r="I735" s="112">
        <f t="shared" si="1080"/>
        <v>1</v>
      </c>
      <c r="J735" s="111">
        <f t="shared" si="1081"/>
        <v>0</v>
      </c>
      <c r="K735" s="111">
        <f t="shared" si="1082"/>
        <v>1</v>
      </c>
      <c r="L735" s="111">
        <f t="shared" ref="L735:L739" si="1088">J735+K735</f>
        <v>1</v>
      </c>
      <c r="O735" s="125" t="str">
        <f t="shared" ref="O735:O739" si="1089">C735</f>
        <v>남동발전</v>
      </c>
      <c r="P735" s="126">
        <f t="shared" si="1083"/>
        <v>5.4124999999985448</v>
      </c>
      <c r="Q735" s="111">
        <f t="shared" si="1084"/>
        <v>1</v>
      </c>
      <c r="R735" s="126">
        <f t="shared" ref="R735:R756" si="1090">IFERROR(P735/Q735,"")</f>
        <v>5.4124999999985448</v>
      </c>
      <c r="S735" s="122"/>
      <c r="T735" s="125" t="str">
        <f t="shared" ref="T735:V739" si="1091">O735</f>
        <v>남동발전</v>
      </c>
      <c r="U735" s="126">
        <f t="shared" si="1091"/>
        <v>5.4124999999985448</v>
      </c>
      <c r="V735" s="111">
        <f t="shared" si="1091"/>
        <v>1</v>
      </c>
      <c r="W735" s="127">
        <f t="shared" ref="W735:W755" si="1092">IFERROR(U735/V735,"")</f>
        <v>5.4124999999985448</v>
      </c>
      <c r="X735" s="148">
        <f t="shared" ref="X735:X739" si="1093">F735/1000</f>
        <v>79.055000000000007</v>
      </c>
      <c r="Y735" s="335"/>
      <c r="Z735" s="155" t="str">
        <f t="shared" ref="Z735:Z749" si="1094">IFERROR(IF(X735=0,"",X735/Y735),"")</f>
        <v/>
      </c>
      <c r="AN735" s="335"/>
      <c r="AO735" s="336">
        <f t="shared" ref="AO735:AO739" si="1095">X735-Y735</f>
        <v>79.055000000000007</v>
      </c>
      <c r="AP735" s="452"/>
      <c r="AQ735" s="57"/>
    </row>
    <row r="736" spans="2:43" ht="17.45" hidden="1" customHeight="1" outlineLevel="1">
      <c r="B736" s="1172"/>
      <c r="C736" s="110" t="s">
        <v>60</v>
      </c>
      <c r="D736" s="111">
        <f t="shared" si="1078"/>
        <v>0</v>
      </c>
      <c r="E736" s="111">
        <f t="shared" si="1079"/>
        <v>0</v>
      </c>
      <c r="F736" s="111">
        <f t="shared" si="1085"/>
        <v>0</v>
      </c>
      <c r="G736" s="112" t="str">
        <f t="shared" si="1086"/>
        <v/>
      </c>
      <c r="H736" s="112" t="str">
        <f t="shared" si="1087"/>
        <v/>
      </c>
      <c r="I736" s="112" t="str">
        <f t="shared" si="1080"/>
        <v/>
      </c>
      <c r="J736" s="111">
        <f t="shared" si="1081"/>
        <v>0</v>
      </c>
      <c r="K736" s="111">
        <f t="shared" si="1082"/>
        <v>0</v>
      </c>
      <c r="L736" s="111">
        <f t="shared" si="1088"/>
        <v>0</v>
      </c>
      <c r="O736" s="125" t="str">
        <f t="shared" si="1089"/>
        <v>동서발전</v>
      </c>
      <c r="P736" s="126">
        <f t="shared" si="1083"/>
        <v>0</v>
      </c>
      <c r="Q736" s="111">
        <f t="shared" si="1084"/>
        <v>0</v>
      </c>
      <c r="R736" s="126" t="str">
        <f t="shared" si="1090"/>
        <v/>
      </c>
      <c r="S736" s="122"/>
      <c r="T736" s="125" t="str">
        <f t="shared" si="1091"/>
        <v>동서발전</v>
      </c>
      <c r="U736" s="126">
        <f t="shared" si="1091"/>
        <v>0</v>
      </c>
      <c r="V736" s="111">
        <f t="shared" si="1091"/>
        <v>0</v>
      </c>
      <c r="W736" s="127" t="str">
        <f t="shared" si="1092"/>
        <v/>
      </c>
      <c r="X736" s="148">
        <f t="shared" si="1093"/>
        <v>0</v>
      </c>
      <c r="Y736" s="335"/>
      <c r="Z736" s="155" t="str">
        <f t="shared" si="1094"/>
        <v/>
      </c>
      <c r="AN736" s="335"/>
      <c r="AO736" s="336">
        <f t="shared" si="1095"/>
        <v>0</v>
      </c>
      <c r="AP736" s="452"/>
    </row>
    <row r="737" spans="2:43" ht="17.45" hidden="1" customHeight="1" outlineLevel="1">
      <c r="B737" s="1172"/>
      <c r="C737" s="110" t="s">
        <v>159</v>
      </c>
      <c r="D737" s="111">
        <f t="shared" si="1078"/>
        <v>0</v>
      </c>
      <c r="E737" s="111">
        <f t="shared" si="1079"/>
        <v>0</v>
      </c>
      <c r="F737" s="111">
        <f t="shared" si="1085"/>
        <v>0</v>
      </c>
      <c r="G737" s="112" t="str">
        <f t="shared" si="1086"/>
        <v/>
      </c>
      <c r="H737" s="112" t="str">
        <f t="shared" si="1087"/>
        <v/>
      </c>
      <c r="I737" s="112" t="str">
        <f t="shared" si="1080"/>
        <v/>
      </c>
      <c r="J737" s="111">
        <f t="shared" si="1081"/>
        <v>0</v>
      </c>
      <c r="K737" s="111">
        <f t="shared" si="1082"/>
        <v>0</v>
      </c>
      <c r="L737" s="111">
        <f t="shared" si="1088"/>
        <v>0</v>
      </c>
      <c r="O737" s="125" t="str">
        <f t="shared" si="1089"/>
        <v>미쓰이</v>
      </c>
      <c r="P737" s="126">
        <f t="shared" si="1083"/>
        <v>0</v>
      </c>
      <c r="Q737" s="111">
        <f t="shared" si="1084"/>
        <v>0</v>
      </c>
      <c r="R737" s="126" t="str">
        <f t="shared" si="1090"/>
        <v/>
      </c>
      <c r="S737" s="122"/>
      <c r="T737" s="125" t="str">
        <f t="shared" si="1091"/>
        <v>미쓰이</v>
      </c>
      <c r="U737" s="126">
        <f t="shared" si="1091"/>
        <v>0</v>
      </c>
      <c r="V737" s="111">
        <f t="shared" si="1091"/>
        <v>0</v>
      </c>
      <c r="W737" s="127" t="str">
        <f t="shared" si="1092"/>
        <v/>
      </c>
      <c r="X737" s="148">
        <f t="shared" si="1093"/>
        <v>0</v>
      </c>
      <c r="Y737" s="335"/>
      <c r="Z737" s="155" t="str">
        <f t="shared" si="1094"/>
        <v/>
      </c>
      <c r="AN737" s="335"/>
      <c r="AO737" s="336">
        <f t="shared" si="1095"/>
        <v>0</v>
      </c>
      <c r="AP737" s="452"/>
    </row>
    <row r="738" spans="2:43" ht="17.45" hidden="1" customHeight="1" outlineLevel="1">
      <c r="B738" s="1172"/>
      <c r="C738" s="110" t="s">
        <v>168</v>
      </c>
      <c r="D738" s="111">
        <f t="shared" si="1078"/>
        <v>0</v>
      </c>
      <c r="E738" s="111">
        <f t="shared" si="1079"/>
        <v>0</v>
      </c>
      <c r="F738" s="111">
        <f t="shared" si="1085"/>
        <v>0</v>
      </c>
      <c r="G738" s="112" t="str">
        <f t="shared" si="1086"/>
        <v/>
      </c>
      <c r="H738" s="112" t="str">
        <f t="shared" si="1087"/>
        <v/>
      </c>
      <c r="I738" s="112" t="str">
        <f t="shared" si="1080"/>
        <v/>
      </c>
      <c r="J738" s="111">
        <f t="shared" si="1081"/>
        <v>0</v>
      </c>
      <c r="K738" s="111">
        <f t="shared" si="1082"/>
        <v>0</v>
      </c>
      <c r="L738" s="111">
        <f t="shared" si="1088"/>
        <v>0</v>
      </c>
      <c r="O738" s="125" t="str">
        <f t="shared" si="1089"/>
        <v>포스코인터</v>
      </c>
      <c r="P738" s="126">
        <f t="shared" si="1083"/>
        <v>0</v>
      </c>
      <c r="Q738" s="111">
        <f t="shared" si="1084"/>
        <v>0</v>
      </c>
      <c r="R738" s="126" t="str">
        <f t="shared" si="1090"/>
        <v/>
      </c>
      <c r="S738" s="122"/>
      <c r="T738" s="125" t="str">
        <f t="shared" si="1091"/>
        <v>포스코인터</v>
      </c>
      <c r="U738" s="126">
        <f t="shared" si="1091"/>
        <v>0</v>
      </c>
      <c r="V738" s="111">
        <f t="shared" si="1091"/>
        <v>0</v>
      </c>
      <c r="W738" s="127" t="str">
        <f t="shared" si="1092"/>
        <v/>
      </c>
      <c r="X738" s="148">
        <f t="shared" si="1093"/>
        <v>0</v>
      </c>
      <c r="Y738" s="335"/>
      <c r="Z738" s="155" t="str">
        <f t="shared" si="1094"/>
        <v/>
      </c>
      <c r="AN738" s="335"/>
      <c r="AO738" s="336">
        <f t="shared" si="1095"/>
        <v>0</v>
      </c>
      <c r="AP738" s="452"/>
    </row>
    <row r="739" spans="2:43" ht="17.45" hidden="1" customHeight="1" outlineLevel="1">
      <c r="B739" s="1172"/>
      <c r="C739" s="110" t="s">
        <v>154</v>
      </c>
      <c r="D739" s="111">
        <f t="shared" si="1078"/>
        <v>0</v>
      </c>
      <c r="E739" s="111">
        <f t="shared" si="1079"/>
        <v>0</v>
      </c>
      <c r="F739" s="111">
        <f t="shared" si="1085"/>
        <v>0</v>
      </c>
      <c r="G739" s="112" t="str">
        <f t="shared" si="1086"/>
        <v/>
      </c>
      <c r="H739" s="112" t="str">
        <f t="shared" si="1087"/>
        <v/>
      </c>
      <c r="I739" s="112" t="str">
        <f t="shared" si="1080"/>
        <v/>
      </c>
      <c r="J739" s="111">
        <f t="shared" si="1081"/>
        <v>0</v>
      </c>
      <c r="K739" s="111">
        <f t="shared" si="1082"/>
        <v>0</v>
      </c>
      <c r="L739" s="111">
        <f t="shared" si="1088"/>
        <v>0</v>
      </c>
      <c r="O739" s="125" t="str">
        <f t="shared" si="1089"/>
        <v>이노샌드</v>
      </c>
      <c r="P739" s="126">
        <f t="shared" si="1083"/>
        <v>0</v>
      </c>
      <c r="Q739" s="111">
        <f t="shared" si="1084"/>
        <v>0</v>
      </c>
      <c r="R739" s="126" t="str">
        <f t="shared" si="1090"/>
        <v/>
      </c>
      <c r="S739" s="122"/>
      <c r="T739" s="125" t="str">
        <f t="shared" si="1091"/>
        <v>이노샌드</v>
      </c>
      <c r="U739" s="126">
        <f t="shared" si="1091"/>
        <v>0</v>
      </c>
      <c r="V739" s="111">
        <f t="shared" si="1091"/>
        <v>0</v>
      </c>
      <c r="W739" s="127" t="str">
        <f t="shared" si="1092"/>
        <v/>
      </c>
      <c r="X739" s="148">
        <f t="shared" si="1093"/>
        <v>0</v>
      </c>
      <c r="Y739" s="335"/>
      <c r="Z739" s="155" t="str">
        <f t="shared" si="1094"/>
        <v/>
      </c>
      <c r="AN739" s="335"/>
      <c r="AO739" s="336">
        <f t="shared" si="1095"/>
        <v>0</v>
      </c>
      <c r="AP739" s="452"/>
      <c r="AQ739" s="337"/>
    </row>
    <row r="740" spans="2:43" ht="17.45" hidden="1" customHeight="1" outlineLevel="1">
      <c r="B740" s="1172"/>
      <c r="C740" s="113" t="s">
        <v>61</v>
      </c>
      <c r="D740" s="114">
        <f>SUM(D734:D739)</f>
        <v>0</v>
      </c>
      <c r="E740" s="114">
        <f>SUM(E734:E739)</f>
        <v>131155</v>
      </c>
      <c r="F740" s="114">
        <f>SUM(F734:F739)</f>
        <v>131155</v>
      </c>
      <c r="G740" s="115">
        <f t="shared" si="1086"/>
        <v>0</v>
      </c>
      <c r="H740" s="115">
        <f>IFERROR(E740/F740,"")</f>
        <v>1</v>
      </c>
      <c r="I740" s="115">
        <f>IFERROR(G740+H740,"")</f>
        <v>1</v>
      </c>
      <c r="J740" s="114">
        <f t="shared" ref="J740:L740" si="1096">SUM(J734:J739)</f>
        <v>0</v>
      </c>
      <c r="K740" s="114">
        <f t="shared" si="1096"/>
        <v>2</v>
      </c>
      <c r="L740" s="114">
        <f t="shared" si="1096"/>
        <v>2</v>
      </c>
      <c r="O740" s="128" t="s">
        <v>61</v>
      </c>
      <c r="P740" s="129">
        <f>SUM(P734:P739)</f>
        <v>11.150000000001455</v>
      </c>
      <c r="Q740" s="114">
        <f>SUM(Q734:Q739)</f>
        <v>2</v>
      </c>
      <c r="R740" s="129">
        <f t="shared" si="1090"/>
        <v>5.5750000000007276</v>
      </c>
      <c r="S740" s="122"/>
      <c r="T740" s="128" t="s">
        <v>61</v>
      </c>
      <c r="U740" s="129">
        <f>SUM(U734:U739)</f>
        <v>11.150000000001455</v>
      </c>
      <c r="V740" s="114">
        <f>SUM(V734:V739)</f>
        <v>2</v>
      </c>
      <c r="W740" s="129">
        <f t="shared" si="1092"/>
        <v>5.5750000000007276</v>
      </c>
      <c r="X740" s="114">
        <f>SUM(X734:X739)</f>
        <v>131.155</v>
      </c>
      <c r="Y740" s="114">
        <f>SUM(Y734:Y739)</f>
        <v>0</v>
      </c>
      <c r="Z740" s="156" t="str">
        <f t="shared" si="1094"/>
        <v/>
      </c>
      <c r="AN740" s="338">
        <f>SUM(AN734:AN739)</f>
        <v>0</v>
      </c>
      <c r="AO740" s="338">
        <f>SUM(AO734:AO739)</f>
        <v>131.155</v>
      </c>
      <c r="AP740" s="453"/>
    </row>
    <row r="741" spans="2:43" ht="17.45" hidden="1" customHeight="1" outlineLevel="1">
      <c r="B741" s="1171" t="s">
        <v>62</v>
      </c>
      <c r="C741" s="110" t="s">
        <v>222</v>
      </c>
      <c r="D741" s="111">
        <f t="shared" ref="D741:D755" si="1097">SUMIF($B$100:$B$113,C741,$L$100:$L$113)</f>
        <v>31855</v>
      </c>
      <c r="E741" s="111">
        <f t="shared" ref="E741:E755" si="1098">SUMIF($B$100:$B$113,C741,$M$100:$M$113)</f>
        <v>0</v>
      </c>
      <c r="F741" s="111">
        <f t="shared" ref="F741:F755" si="1099">D741+E741</f>
        <v>31855</v>
      </c>
      <c r="G741" s="112">
        <f t="shared" si="1086"/>
        <v>1</v>
      </c>
      <c r="H741" s="112">
        <f t="shared" ref="H741:H755" si="1100">IFERROR(E741/F741,"")</f>
        <v>0</v>
      </c>
      <c r="I741" s="112">
        <f t="shared" ref="I741:I755" si="1101">IFERROR(G741+H741,"")</f>
        <v>1</v>
      </c>
      <c r="J741" s="111">
        <f t="shared" ref="J741:J755" si="1102">SUMIF($B$100:$B$113,C741,$AX$100:$AX$113)</f>
        <v>1</v>
      </c>
      <c r="K741" s="111">
        <f t="shared" ref="K741:K755" si="1103">SUMIF($B$100:$B$113,C741,$AY$100:$AY$113)</f>
        <v>0</v>
      </c>
      <c r="L741" s="111">
        <f t="shared" ref="L741:L755" si="1104">J741+K741</f>
        <v>1</v>
      </c>
      <c r="O741" s="125" t="str">
        <f>C741</f>
        <v>태경비케이</v>
      </c>
      <c r="P741" s="126">
        <f t="shared" ref="P741:P755" si="1105">SUMIF($B$100:$B$113,O741,$I$100:$I$113)</f>
        <v>4.90625</v>
      </c>
      <c r="Q741" s="111">
        <f t="shared" ref="Q741:Q755" si="1106">SUMIF($B$100:$B$113,O741,$AZ$100:$AZ$113)</f>
        <v>1</v>
      </c>
      <c r="R741" s="126">
        <f t="shared" si="1090"/>
        <v>4.90625</v>
      </c>
      <c r="S741" s="122"/>
      <c r="T741" s="125" t="str">
        <f t="shared" ref="T741:V755" si="1107">O741</f>
        <v>태경비케이</v>
      </c>
      <c r="U741" s="126">
        <f t="shared" si="1107"/>
        <v>4.90625</v>
      </c>
      <c r="V741" s="111">
        <f t="shared" si="1107"/>
        <v>1</v>
      </c>
      <c r="W741" s="127">
        <f t="shared" si="1092"/>
        <v>4.90625</v>
      </c>
      <c r="X741" s="148">
        <f t="shared" ref="X741:X755" si="1108">F741/1000</f>
        <v>31.855</v>
      </c>
      <c r="Y741" s="111"/>
      <c r="Z741" s="155" t="str">
        <f t="shared" si="1094"/>
        <v/>
      </c>
      <c r="AN741" s="335"/>
      <c r="AO741" s="336">
        <f>X741-Y741</f>
        <v>31.855</v>
      </c>
      <c r="AP741" s="452"/>
    </row>
    <row r="742" spans="2:43" ht="17.45" hidden="1" customHeight="1" outlineLevel="1">
      <c r="B742" s="1172"/>
      <c r="C742" s="110" t="s">
        <v>78</v>
      </c>
      <c r="D742" s="111">
        <f t="shared" si="1097"/>
        <v>0</v>
      </c>
      <c r="E742" s="111">
        <f t="shared" si="1098"/>
        <v>0</v>
      </c>
      <c r="F742" s="111">
        <f t="shared" si="1099"/>
        <v>0</v>
      </c>
      <c r="G742" s="112" t="str">
        <f t="shared" si="1086"/>
        <v/>
      </c>
      <c r="H742" s="112" t="str">
        <f t="shared" si="1100"/>
        <v/>
      </c>
      <c r="I742" s="112" t="str">
        <f t="shared" si="1101"/>
        <v/>
      </c>
      <c r="J742" s="111">
        <f t="shared" si="1102"/>
        <v>0</v>
      </c>
      <c r="K742" s="111">
        <f t="shared" si="1103"/>
        <v>0</v>
      </c>
      <c r="L742" s="111">
        <f t="shared" si="1104"/>
        <v>0</v>
      </c>
      <c r="O742" s="125" t="str">
        <f t="shared" ref="O742:O755" si="1109">C742</f>
        <v>삼영산업</v>
      </c>
      <c r="P742" s="126">
        <f t="shared" si="1105"/>
        <v>0</v>
      </c>
      <c r="Q742" s="111">
        <f t="shared" si="1106"/>
        <v>0</v>
      </c>
      <c r="R742" s="126" t="str">
        <f t="shared" si="1090"/>
        <v/>
      </c>
      <c r="S742" s="122"/>
      <c r="T742" s="125" t="str">
        <f t="shared" si="1107"/>
        <v>삼영산업</v>
      </c>
      <c r="U742" s="126">
        <f t="shared" si="1107"/>
        <v>0</v>
      </c>
      <c r="V742" s="111">
        <f t="shared" si="1107"/>
        <v>0</v>
      </c>
      <c r="W742" s="127" t="str">
        <f t="shared" si="1092"/>
        <v/>
      </c>
      <c r="X742" s="148">
        <f t="shared" si="1108"/>
        <v>0</v>
      </c>
      <c r="Y742" s="111"/>
      <c r="Z742" s="155" t="str">
        <f t="shared" si="1094"/>
        <v/>
      </c>
      <c r="AN742" s="335"/>
      <c r="AO742" s="336">
        <f t="shared" ref="AO742:AO743" si="1110">X742-Y742</f>
        <v>0</v>
      </c>
      <c r="AP742" s="452"/>
    </row>
    <row r="743" spans="2:43" ht="17.45" hidden="1" customHeight="1" outlineLevel="1">
      <c r="B743" s="1172"/>
      <c r="C743" s="110" t="s">
        <v>176</v>
      </c>
      <c r="D743" s="111">
        <f t="shared" si="1097"/>
        <v>0</v>
      </c>
      <c r="E743" s="111">
        <f t="shared" si="1098"/>
        <v>0</v>
      </c>
      <c r="F743" s="111">
        <f t="shared" si="1099"/>
        <v>0</v>
      </c>
      <c r="G743" s="112" t="str">
        <f t="shared" si="1086"/>
        <v/>
      </c>
      <c r="H743" s="112" t="str">
        <f t="shared" si="1100"/>
        <v/>
      </c>
      <c r="I743" s="112" t="str">
        <f t="shared" si="1101"/>
        <v/>
      </c>
      <c r="J743" s="111">
        <f t="shared" si="1102"/>
        <v>0</v>
      </c>
      <c r="K743" s="111">
        <f t="shared" si="1103"/>
        <v>0</v>
      </c>
      <c r="L743" s="111">
        <f t="shared" si="1104"/>
        <v>0</v>
      </c>
      <c r="O743" s="125" t="str">
        <f t="shared" si="1109"/>
        <v>고려시멘트</v>
      </c>
      <c r="P743" s="126">
        <f t="shared" si="1105"/>
        <v>0</v>
      </c>
      <c r="Q743" s="111">
        <f t="shared" si="1106"/>
        <v>0</v>
      </c>
      <c r="R743" s="126" t="str">
        <f t="shared" si="1090"/>
        <v/>
      </c>
      <c r="S743" s="122"/>
      <c r="T743" s="125" t="str">
        <f t="shared" si="1107"/>
        <v>고려시멘트</v>
      </c>
      <c r="U743" s="126">
        <f t="shared" si="1107"/>
        <v>0</v>
      </c>
      <c r="V743" s="111">
        <f t="shared" si="1107"/>
        <v>0</v>
      </c>
      <c r="W743" s="127" t="str">
        <f t="shared" si="1092"/>
        <v/>
      </c>
      <c r="X743" s="148">
        <f t="shared" si="1108"/>
        <v>0</v>
      </c>
      <c r="Y743" s="111"/>
      <c r="Z743" s="155" t="str">
        <f t="shared" si="1094"/>
        <v/>
      </c>
      <c r="AN743" s="335"/>
      <c r="AO743" s="336">
        <f t="shared" si="1110"/>
        <v>0</v>
      </c>
      <c r="AP743" s="452"/>
    </row>
    <row r="744" spans="2:43" ht="17.45" hidden="1" customHeight="1" outlineLevel="1">
      <c r="B744" s="1172"/>
      <c r="C744" s="110" t="s">
        <v>63</v>
      </c>
      <c r="D744" s="111">
        <f t="shared" si="1097"/>
        <v>0</v>
      </c>
      <c r="E744" s="111">
        <f t="shared" si="1098"/>
        <v>0</v>
      </c>
      <c r="F744" s="111">
        <f t="shared" si="1099"/>
        <v>0</v>
      </c>
      <c r="G744" s="112" t="str">
        <f t="shared" si="1086"/>
        <v/>
      </c>
      <c r="H744" s="112" t="str">
        <f t="shared" si="1100"/>
        <v/>
      </c>
      <c r="I744" s="112" t="str">
        <f t="shared" si="1101"/>
        <v/>
      </c>
      <c r="J744" s="111">
        <f t="shared" si="1102"/>
        <v>0</v>
      </c>
      <c r="K744" s="111">
        <f t="shared" si="1103"/>
        <v>0</v>
      </c>
      <c r="L744" s="111">
        <f t="shared" si="1104"/>
        <v>0</v>
      </c>
      <c r="O744" s="125" t="str">
        <f t="shared" si="1109"/>
        <v>청해실업</v>
      </c>
      <c r="P744" s="126">
        <f t="shared" si="1105"/>
        <v>0</v>
      </c>
      <c r="Q744" s="111">
        <f t="shared" si="1106"/>
        <v>0</v>
      </c>
      <c r="R744" s="126" t="str">
        <f t="shared" si="1090"/>
        <v/>
      </c>
      <c r="S744" s="122"/>
      <c r="T744" s="125" t="str">
        <f t="shared" si="1107"/>
        <v>청해실업</v>
      </c>
      <c r="U744" s="126">
        <f t="shared" si="1107"/>
        <v>0</v>
      </c>
      <c r="V744" s="111">
        <f t="shared" si="1107"/>
        <v>0</v>
      </c>
      <c r="W744" s="127" t="str">
        <f t="shared" si="1092"/>
        <v/>
      </c>
      <c r="X744" s="148">
        <f t="shared" si="1108"/>
        <v>0</v>
      </c>
      <c r="Y744" s="111"/>
      <c r="Z744" s="155" t="str">
        <f t="shared" si="1094"/>
        <v/>
      </c>
      <c r="AN744" s="339"/>
      <c r="AO744" s="340">
        <f t="shared" ref="AO744" si="1111">X744-AN744</f>
        <v>0</v>
      </c>
      <c r="AP744" s="454"/>
      <c r="AQ744" s="240" t="s">
        <v>30</v>
      </c>
    </row>
    <row r="745" spans="2:43" ht="17.45" hidden="1" customHeight="1" outlineLevel="1">
      <c r="B745" s="1172"/>
      <c r="C745" s="110" t="s">
        <v>64</v>
      </c>
      <c r="D745" s="111">
        <f t="shared" si="1097"/>
        <v>0</v>
      </c>
      <c r="E745" s="111">
        <f t="shared" si="1098"/>
        <v>0</v>
      </c>
      <c r="F745" s="111">
        <f t="shared" si="1099"/>
        <v>0</v>
      </c>
      <c r="G745" s="112" t="str">
        <f t="shared" si="1086"/>
        <v/>
      </c>
      <c r="H745" s="112" t="str">
        <f t="shared" si="1100"/>
        <v/>
      </c>
      <c r="I745" s="112" t="str">
        <f t="shared" si="1101"/>
        <v/>
      </c>
      <c r="J745" s="111">
        <f t="shared" si="1102"/>
        <v>0</v>
      </c>
      <c r="K745" s="111">
        <f t="shared" si="1103"/>
        <v>0</v>
      </c>
      <c r="L745" s="111">
        <f t="shared" si="1104"/>
        <v>0</v>
      </c>
      <c r="O745" s="125" t="str">
        <f t="shared" si="1109"/>
        <v>한화에너지</v>
      </c>
      <c r="P745" s="126">
        <f t="shared" si="1105"/>
        <v>0</v>
      </c>
      <c r="Q745" s="111">
        <f t="shared" si="1106"/>
        <v>0</v>
      </c>
      <c r="R745" s="126" t="str">
        <f t="shared" si="1090"/>
        <v/>
      </c>
      <c r="S745" s="122"/>
      <c r="T745" s="125" t="str">
        <f t="shared" si="1107"/>
        <v>한화에너지</v>
      </c>
      <c r="U745" s="126">
        <f t="shared" si="1107"/>
        <v>0</v>
      </c>
      <c r="V745" s="111">
        <f t="shared" si="1107"/>
        <v>0</v>
      </c>
      <c r="W745" s="127" t="str">
        <f t="shared" si="1092"/>
        <v/>
      </c>
      <c r="X745" s="148">
        <f t="shared" si="1108"/>
        <v>0</v>
      </c>
      <c r="Y745" s="111"/>
      <c r="Z745" s="155" t="str">
        <f t="shared" si="1094"/>
        <v/>
      </c>
      <c r="AN745" s="335"/>
      <c r="AO745" s="336">
        <f t="shared" ref="AO745:AO755" si="1112">X745-Y745</f>
        <v>0</v>
      </c>
      <c r="AP745" s="452"/>
    </row>
    <row r="746" spans="2:43" ht="17.45" hidden="1" customHeight="1" outlineLevel="1">
      <c r="B746" s="1172"/>
      <c r="C746" s="110" t="s">
        <v>178</v>
      </c>
      <c r="D746" s="111">
        <f t="shared" si="1097"/>
        <v>0</v>
      </c>
      <c r="E746" s="111">
        <f t="shared" si="1098"/>
        <v>0</v>
      </c>
      <c r="F746" s="111">
        <f t="shared" si="1099"/>
        <v>0</v>
      </c>
      <c r="G746" s="112" t="str">
        <f t="shared" si="1086"/>
        <v/>
      </c>
      <c r="H746" s="112" t="str">
        <f t="shared" si="1100"/>
        <v/>
      </c>
      <c r="I746" s="112" t="str">
        <f t="shared" si="1101"/>
        <v/>
      </c>
      <c r="J746" s="111">
        <f t="shared" si="1102"/>
        <v>0</v>
      </c>
      <c r="K746" s="111">
        <f t="shared" si="1103"/>
        <v>0</v>
      </c>
      <c r="L746" s="111">
        <f t="shared" si="1104"/>
        <v>0</v>
      </c>
      <c r="O746" s="125" t="str">
        <f t="shared" si="1109"/>
        <v>금호석유화학</v>
      </c>
      <c r="P746" s="126">
        <f t="shared" si="1105"/>
        <v>0</v>
      </c>
      <c r="Q746" s="111">
        <f t="shared" si="1106"/>
        <v>0</v>
      </c>
      <c r="R746" s="126" t="str">
        <f t="shared" si="1090"/>
        <v/>
      </c>
      <c r="S746" s="122"/>
      <c r="T746" s="125" t="str">
        <f t="shared" si="1107"/>
        <v>금호석유화학</v>
      </c>
      <c r="U746" s="126">
        <f t="shared" si="1107"/>
        <v>0</v>
      </c>
      <c r="V746" s="111">
        <f t="shared" si="1107"/>
        <v>0</v>
      </c>
      <c r="W746" s="127" t="str">
        <f t="shared" si="1092"/>
        <v/>
      </c>
      <c r="X746" s="148">
        <f t="shared" si="1108"/>
        <v>0</v>
      </c>
      <c r="Y746" s="111"/>
      <c r="Z746" s="155" t="str">
        <f t="shared" si="1094"/>
        <v/>
      </c>
      <c r="AN746" s="335"/>
      <c r="AO746" s="336">
        <f t="shared" si="1112"/>
        <v>0</v>
      </c>
      <c r="AP746" s="452"/>
    </row>
    <row r="747" spans="2:43" ht="17.45" hidden="1" customHeight="1" outlineLevel="1">
      <c r="B747" s="1172"/>
      <c r="C747" s="110" t="s">
        <v>65</v>
      </c>
      <c r="D747" s="111">
        <f t="shared" si="1097"/>
        <v>0</v>
      </c>
      <c r="E747" s="111">
        <f t="shared" si="1098"/>
        <v>0</v>
      </c>
      <c r="F747" s="111">
        <f t="shared" si="1099"/>
        <v>0</v>
      </c>
      <c r="G747" s="112" t="str">
        <f t="shared" si="1086"/>
        <v/>
      </c>
      <c r="H747" s="112" t="str">
        <f t="shared" si="1100"/>
        <v/>
      </c>
      <c r="I747" s="112" t="str">
        <f t="shared" si="1101"/>
        <v/>
      </c>
      <c r="J747" s="111">
        <f t="shared" si="1102"/>
        <v>0</v>
      </c>
      <c r="K747" s="111">
        <f t="shared" si="1103"/>
        <v>0</v>
      </c>
      <c r="L747" s="111">
        <f t="shared" si="1104"/>
        <v>0</v>
      </c>
      <c r="O747" s="125" t="str">
        <f t="shared" si="1109"/>
        <v>LG상사</v>
      </c>
      <c r="P747" s="126">
        <f t="shared" si="1105"/>
        <v>0</v>
      </c>
      <c r="Q747" s="111">
        <f t="shared" si="1106"/>
        <v>0</v>
      </c>
      <c r="R747" s="126" t="str">
        <f t="shared" si="1090"/>
        <v/>
      </c>
      <c r="S747" s="122"/>
      <c r="T747" s="125" t="str">
        <f t="shared" si="1107"/>
        <v>LG상사</v>
      </c>
      <c r="U747" s="126">
        <f t="shared" si="1107"/>
        <v>0</v>
      </c>
      <c r="V747" s="111">
        <f t="shared" si="1107"/>
        <v>0</v>
      </c>
      <c r="W747" s="127" t="str">
        <f t="shared" si="1092"/>
        <v/>
      </c>
      <c r="X747" s="148">
        <f t="shared" si="1108"/>
        <v>0</v>
      </c>
      <c r="Y747" s="111"/>
      <c r="Z747" s="155" t="str">
        <f t="shared" si="1094"/>
        <v/>
      </c>
      <c r="AN747" s="335"/>
      <c r="AO747" s="336">
        <f t="shared" si="1112"/>
        <v>0</v>
      </c>
      <c r="AP747" s="452"/>
    </row>
    <row r="748" spans="2:43" ht="17.45" hidden="1" customHeight="1" outlineLevel="1">
      <c r="B748" s="1172"/>
      <c r="C748" s="110" t="s">
        <v>66</v>
      </c>
      <c r="D748" s="111">
        <f t="shared" si="1097"/>
        <v>0</v>
      </c>
      <c r="E748" s="111">
        <f t="shared" si="1098"/>
        <v>0</v>
      </c>
      <c r="F748" s="111">
        <f t="shared" si="1099"/>
        <v>0</v>
      </c>
      <c r="G748" s="112" t="str">
        <f t="shared" si="1086"/>
        <v/>
      </c>
      <c r="H748" s="112" t="str">
        <f t="shared" si="1100"/>
        <v/>
      </c>
      <c r="I748" s="112" t="str">
        <f t="shared" si="1101"/>
        <v/>
      </c>
      <c r="J748" s="111">
        <f t="shared" si="1102"/>
        <v>0</v>
      </c>
      <c r="K748" s="111">
        <f t="shared" si="1103"/>
        <v>0</v>
      </c>
      <c r="L748" s="111">
        <f t="shared" si="1104"/>
        <v>0</v>
      </c>
      <c r="O748" s="125" t="str">
        <f t="shared" si="1109"/>
        <v>LG화학</v>
      </c>
      <c r="P748" s="126">
        <f t="shared" si="1105"/>
        <v>0</v>
      </c>
      <c r="Q748" s="111">
        <f t="shared" si="1106"/>
        <v>0</v>
      </c>
      <c r="R748" s="126" t="str">
        <f t="shared" si="1090"/>
        <v/>
      </c>
      <c r="S748" s="122"/>
      <c r="T748" s="125" t="str">
        <f t="shared" si="1107"/>
        <v>LG화학</v>
      </c>
      <c r="U748" s="126">
        <f t="shared" si="1107"/>
        <v>0</v>
      </c>
      <c r="V748" s="111">
        <f t="shared" si="1107"/>
        <v>0</v>
      </c>
      <c r="W748" s="127" t="str">
        <f t="shared" si="1092"/>
        <v/>
      </c>
      <c r="X748" s="148">
        <f t="shared" si="1108"/>
        <v>0</v>
      </c>
      <c r="Y748" s="111"/>
      <c r="Z748" s="155" t="str">
        <f t="shared" si="1094"/>
        <v/>
      </c>
      <c r="AN748" s="335"/>
      <c r="AO748" s="336">
        <f t="shared" si="1112"/>
        <v>0</v>
      </c>
      <c r="AP748" s="452"/>
    </row>
    <row r="749" spans="2:43" ht="17.45" hidden="1" customHeight="1" outlineLevel="1">
      <c r="B749" s="1172"/>
      <c r="C749" s="110" t="s">
        <v>67</v>
      </c>
      <c r="D749" s="111">
        <f t="shared" si="1097"/>
        <v>0</v>
      </c>
      <c r="E749" s="111">
        <f t="shared" si="1098"/>
        <v>0</v>
      </c>
      <c r="F749" s="111">
        <f t="shared" si="1099"/>
        <v>0</v>
      </c>
      <c r="G749" s="112" t="str">
        <f t="shared" si="1086"/>
        <v/>
      </c>
      <c r="H749" s="112" t="str">
        <f t="shared" si="1100"/>
        <v/>
      </c>
      <c r="I749" s="112" t="str">
        <f t="shared" si="1101"/>
        <v/>
      </c>
      <c r="J749" s="111">
        <f t="shared" si="1102"/>
        <v>0</v>
      </c>
      <c r="K749" s="111">
        <f t="shared" si="1103"/>
        <v>0</v>
      </c>
      <c r="L749" s="111">
        <f t="shared" si="1104"/>
        <v>0</v>
      </c>
      <c r="O749" s="125" t="str">
        <f t="shared" si="1109"/>
        <v>OCI SE</v>
      </c>
      <c r="P749" s="126">
        <f t="shared" si="1105"/>
        <v>0</v>
      </c>
      <c r="Q749" s="111">
        <f t="shared" si="1106"/>
        <v>0</v>
      </c>
      <c r="R749" s="126" t="str">
        <f t="shared" si="1090"/>
        <v/>
      </c>
      <c r="S749" s="122"/>
      <c r="T749" s="125" t="str">
        <f t="shared" si="1107"/>
        <v>OCI SE</v>
      </c>
      <c r="U749" s="126">
        <f t="shared" si="1107"/>
        <v>0</v>
      </c>
      <c r="V749" s="111">
        <f t="shared" si="1107"/>
        <v>0</v>
      </c>
      <c r="W749" s="127" t="str">
        <f t="shared" si="1092"/>
        <v/>
      </c>
      <c r="X749" s="148">
        <f t="shared" si="1108"/>
        <v>0</v>
      </c>
      <c r="Y749" s="111"/>
      <c r="Z749" s="155" t="str">
        <f t="shared" si="1094"/>
        <v/>
      </c>
      <c r="AN749" s="335"/>
      <c r="AO749" s="336">
        <f t="shared" si="1112"/>
        <v>0</v>
      </c>
      <c r="AP749" s="452"/>
    </row>
    <row r="750" spans="2:43" ht="17.45" hidden="1" customHeight="1" outlineLevel="1">
      <c r="B750" s="1172"/>
      <c r="C750" s="110" t="s">
        <v>37</v>
      </c>
      <c r="D750" s="111">
        <f t="shared" si="1097"/>
        <v>0</v>
      </c>
      <c r="E750" s="111">
        <f t="shared" si="1098"/>
        <v>0</v>
      </c>
      <c r="F750" s="111">
        <f t="shared" si="1099"/>
        <v>0</v>
      </c>
      <c r="G750" s="112" t="str">
        <f t="shared" si="1086"/>
        <v/>
      </c>
      <c r="H750" s="112" t="str">
        <f t="shared" si="1100"/>
        <v/>
      </c>
      <c r="I750" s="112" t="str">
        <f t="shared" si="1101"/>
        <v/>
      </c>
      <c r="J750" s="111">
        <f t="shared" si="1102"/>
        <v>0</v>
      </c>
      <c r="K750" s="111">
        <f t="shared" si="1103"/>
        <v>0</v>
      </c>
      <c r="L750" s="111">
        <f t="shared" si="1104"/>
        <v>0</v>
      </c>
      <c r="O750" s="125" t="str">
        <f t="shared" si="1109"/>
        <v>청해소재</v>
      </c>
      <c r="P750" s="126">
        <f t="shared" si="1105"/>
        <v>0</v>
      </c>
      <c r="Q750" s="111">
        <f t="shared" si="1106"/>
        <v>0</v>
      </c>
      <c r="R750" s="126" t="str">
        <f t="shared" si="1090"/>
        <v/>
      </c>
      <c r="S750" s="122"/>
      <c r="T750" s="125" t="str">
        <f t="shared" si="1107"/>
        <v>청해소재</v>
      </c>
      <c r="U750" s="126">
        <f t="shared" si="1107"/>
        <v>0</v>
      </c>
      <c r="V750" s="111">
        <f t="shared" si="1107"/>
        <v>0</v>
      </c>
      <c r="W750" s="127" t="str">
        <f t="shared" si="1092"/>
        <v/>
      </c>
      <c r="X750" s="148">
        <f t="shared" si="1108"/>
        <v>0</v>
      </c>
      <c r="Y750" s="111"/>
      <c r="Z750" s="155" t="str">
        <f>IFERROR(IF(X750=0,"",X750/Y750),"")</f>
        <v/>
      </c>
      <c r="AN750" s="335"/>
      <c r="AO750" s="336">
        <f t="shared" si="1112"/>
        <v>0</v>
      </c>
      <c r="AP750" s="452"/>
      <c r="AQ750" s="240" t="s">
        <v>157</v>
      </c>
    </row>
    <row r="751" spans="2:43" ht="17.45" hidden="1" customHeight="1" outlineLevel="1">
      <c r="B751" s="1172"/>
      <c r="C751" s="110" t="s">
        <v>365</v>
      </c>
      <c r="D751" s="111">
        <f t="shared" si="1097"/>
        <v>0</v>
      </c>
      <c r="E751" s="111">
        <f t="shared" si="1098"/>
        <v>0</v>
      </c>
      <c r="F751" s="111">
        <f t="shared" si="1099"/>
        <v>0</v>
      </c>
      <c r="G751" s="112" t="str">
        <f t="shared" si="1086"/>
        <v/>
      </c>
      <c r="H751" s="112" t="str">
        <f t="shared" si="1100"/>
        <v/>
      </c>
      <c r="I751" s="112" t="str">
        <f t="shared" si="1101"/>
        <v/>
      </c>
      <c r="J751" s="111">
        <f t="shared" si="1102"/>
        <v>0</v>
      </c>
      <c r="K751" s="111">
        <f t="shared" si="1103"/>
        <v>0</v>
      </c>
      <c r="L751" s="111">
        <f t="shared" si="1104"/>
        <v>0</v>
      </c>
      <c r="O751" s="125" t="str">
        <f t="shared" si="1109"/>
        <v>김천에너지</v>
      </c>
      <c r="P751" s="126">
        <f t="shared" si="1105"/>
        <v>0</v>
      </c>
      <c r="Q751" s="111">
        <f t="shared" si="1106"/>
        <v>0</v>
      </c>
      <c r="R751" s="126" t="str">
        <f t="shared" si="1090"/>
        <v/>
      </c>
      <c r="S751" s="122"/>
      <c r="T751" s="125" t="str">
        <f t="shared" si="1107"/>
        <v>김천에너지</v>
      </c>
      <c r="U751" s="126">
        <f t="shared" si="1107"/>
        <v>0</v>
      </c>
      <c r="V751" s="111">
        <f t="shared" si="1107"/>
        <v>0</v>
      </c>
      <c r="W751" s="127" t="str">
        <f t="shared" si="1092"/>
        <v/>
      </c>
      <c r="X751" s="148">
        <f t="shared" si="1108"/>
        <v>0</v>
      </c>
      <c r="Y751" s="111"/>
      <c r="Z751" s="155" t="str">
        <f t="shared" ref="Z751:Z760" si="1113">IFERROR(IF(X751=0,"",X751/Y751),"")</f>
        <v/>
      </c>
      <c r="AN751" s="335"/>
      <c r="AO751" s="336">
        <f t="shared" si="1112"/>
        <v>0</v>
      </c>
      <c r="AP751" s="452"/>
    </row>
    <row r="752" spans="2:43" ht="17.45" hidden="1" customHeight="1" outlineLevel="1">
      <c r="B752" s="1172"/>
      <c r="C752" s="110" t="s">
        <v>107</v>
      </c>
      <c r="D752" s="111">
        <f t="shared" si="1097"/>
        <v>0</v>
      </c>
      <c r="E752" s="111">
        <f t="shared" si="1098"/>
        <v>0</v>
      </c>
      <c r="F752" s="111">
        <f t="shared" si="1099"/>
        <v>0</v>
      </c>
      <c r="G752" s="112" t="str">
        <f t="shared" si="1086"/>
        <v/>
      </c>
      <c r="H752" s="112" t="str">
        <f t="shared" si="1100"/>
        <v/>
      </c>
      <c r="I752" s="112" t="str">
        <f t="shared" si="1101"/>
        <v/>
      </c>
      <c r="J752" s="111">
        <f t="shared" si="1102"/>
        <v>0</v>
      </c>
      <c r="K752" s="111">
        <f t="shared" si="1103"/>
        <v>0</v>
      </c>
      <c r="L752" s="111">
        <f t="shared" si="1104"/>
        <v>0</v>
      </c>
      <c r="O752" s="125" t="str">
        <f t="shared" si="1109"/>
        <v>대구염색공단</v>
      </c>
      <c r="P752" s="126">
        <f t="shared" si="1105"/>
        <v>0</v>
      </c>
      <c r="Q752" s="111">
        <f t="shared" si="1106"/>
        <v>0</v>
      </c>
      <c r="R752" s="126" t="str">
        <f t="shared" si="1090"/>
        <v/>
      </c>
      <c r="S752" s="122"/>
      <c r="T752" s="125" t="str">
        <f t="shared" si="1107"/>
        <v>대구염색공단</v>
      </c>
      <c r="U752" s="126">
        <f t="shared" si="1107"/>
        <v>0</v>
      </c>
      <c r="V752" s="111">
        <f t="shared" si="1107"/>
        <v>0</v>
      </c>
      <c r="W752" s="127" t="str">
        <f t="shared" si="1092"/>
        <v/>
      </c>
      <c r="X752" s="148">
        <f t="shared" si="1108"/>
        <v>0</v>
      </c>
      <c r="Y752" s="111"/>
      <c r="Z752" s="155" t="str">
        <f t="shared" si="1113"/>
        <v/>
      </c>
      <c r="AN752" s="335"/>
      <c r="AO752" s="336">
        <f t="shared" si="1112"/>
        <v>0</v>
      </c>
      <c r="AP752" s="452"/>
    </row>
    <row r="753" spans="2:43" ht="17.45" hidden="1" customHeight="1" outlineLevel="1">
      <c r="B753" s="1172"/>
      <c r="C753" s="110" t="s">
        <v>108</v>
      </c>
      <c r="D753" s="111">
        <f t="shared" si="1097"/>
        <v>0</v>
      </c>
      <c r="E753" s="111">
        <f t="shared" si="1098"/>
        <v>0</v>
      </c>
      <c r="F753" s="111">
        <f t="shared" si="1099"/>
        <v>0</v>
      </c>
      <c r="G753" s="112" t="str">
        <f t="shared" si="1086"/>
        <v/>
      </c>
      <c r="H753" s="112" t="str">
        <f t="shared" si="1100"/>
        <v/>
      </c>
      <c r="I753" s="112" t="str">
        <f t="shared" si="1101"/>
        <v/>
      </c>
      <c r="J753" s="111">
        <f t="shared" si="1102"/>
        <v>0</v>
      </c>
      <c r="K753" s="111">
        <f t="shared" si="1103"/>
        <v>0</v>
      </c>
      <c r="L753" s="111">
        <f t="shared" si="1104"/>
        <v>0</v>
      </c>
      <c r="O753" s="125" t="str">
        <f t="shared" si="1109"/>
        <v>SNNC(니켈)</v>
      </c>
      <c r="P753" s="126">
        <f t="shared" si="1105"/>
        <v>0</v>
      </c>
      <c r="Q753" s="111">
        <f t="shared" si="1106"/>
        <v>0</v>
      </c>
      <c r="R753" s="126" t="str">
        <f t="shared" si="1090"/>
        <v/>
      </c>
      <c r="S753" s="122"/>
      <c r="T753" s="125" t="str">
        <f t="shared" si="1107"/>
        <v>SNNC(니켈)</v>
      </c>
      <c r="U753" s="126">
        <f t="shared" si="1107"/>
        <v>0</v>
      </c>
      <c r="V753" s="111">
        <f t="shared" si="1107"/>
        <v>0</v>
      </c>
      <c r="W753" s="127" t="str">
        <f t="shared" si="1092"/>
        <v/>
      </c>
      <c r="X753" s="148">
        <f t="shared" si="1108"/>
        <v>0</v>
      </c>
      <c r="Y753" s="111"/>
      <c r="Z753" s="155" t="str">
        <f t="shared" si="1113"/>
        <v/>
      </c>
      <c r="AN753" s="335"/>
      <c r="AO753" s="336">
        <f t="shared" si="1112"/>
        <v>0</v>
      </c>
      <c r="AP753" s="452"/>
      <c r="AQ753" s="57"/>
    </row>
    <row r="754" spans="2:43" ht="17.45" hidden="1" customHeight="1" outlineLevel="1">
      <c r="B754" s="1172"/>
      <c r="C754" s="110" t="s">
        <v>130</v>
      </c>
      <c r="D754" s="111">
        <f t="shared" si="1097"/>
        <v>0</v>
      </c>
      <c r="E754" s="111">
        <f t="shared" si="1098"/>
        <v>0</v>
      </c>
      <c r="F754" s="111">
        <f t="shared" si="1099"/>
        <v>0</v>
      </c>
      <c r="G754" s="112" t="str">
        <f t="shared" si="1086"/>
        <v/>
      </c>
      <c r="H754" s="112" t="str">
        <f t="shared" si="1100"/>
        <v/>
      </c>
      <c r="I754" s="112" t="str">
        <f t="shared" si="1101"/>
        <v/>
      </c>
      <c r="J754" s="111">
        <f t="shared" si="1102"/>
        <v>0</v>
      </c>
      <c r="K754" s="111">
        <f t="shared" si="1103"/>
        <v>0</v>
      </c>
      <c r="L754" s="111">
        <f t="shared" si="1104"/>
        <v>0</v>
      </c>
      <c r="O754" s="125" t="str">
        <f t="shared" si="1109"/>
        <v>SK-N(고려시멘트)</v>
      </c>
      <c r="P754" s="126">
        <f t="shared" si="1105"/>
        <v>0</v>
      </c>
      <c r="Q754" s="111">
        <f t="shared" si="1106"/>
        <v>0</v>
      </c>
      <c r="R754" s="126" t="str">
        <f t="shared" si="1090"/>
        <v/>
      </c>
      <c r="S754" s="122"/>
      <c r="T754" s="125" t="str">
        <f t="shared" si="1107"/>
        <v>SK-N(고려시멘트)</v>
      </c>
      <c r="U754" s="126">
        <f t="shared" si="1107"/>
        <v>0</v>
      </c>
      <c r="V754" s="111">
        <f t="shared" si="1107"/>
        <v>0</v>
      </c>
      <c r="W754" s="127" t="str">
        <f t="shared" si="1092"/>
        <v/>
      </c>
      <c r="X754" s="148">
        <f t="shared" si="1108"/>
        <v>0</v>
      </c>
      <c r="Y754" s="111"/>
      <c r="Z754" s="155" t="str">
        <f t="shared" si="1113"/>
        <v/>
      </c>
      <c r="AN754" s="335"/>
      <c r="AO754" s="336">
        <f t="shared" si="1112"/>
        <v>0</v>
      </c>
      <c r="AP754" s="452"/>
      <c r="AQ754" s="57"/>
    </row>
    <row r="755" spans="2:43" ht="17.45" hidden="1" customHeight="1" outlineLevel="1">
      <c r="B755" s="1172"/>
      <c r="C755" s="110" t="s">
        <v>68</v>
      </c>
      <c r="D755" s="111">
        <f t="shared" si="1097"/>
        <v>44872</v>
      </c>
      <c r="E755" s="111">
        <f t="shared" si="1098"/>
        <v>0</v>
      </c>
      <c r="F755" s="111">
        <f t="shared" si="1099"/>
        <v>44872</v>
      </c>
      <c r="G755" s="112">
        <f t="shared" si="1086"/>
        <v>1</v>
      </c>
      <c r="H755" s="112">
        <f t="shared" si="1100"/>
        <v>0</v>
      </c>
      <c r="I755" s="112">
        <f t="shared" si="1101"/>
        <v>1</v>
      </c>
      <c r="J755" s="111">
        <f t="shared" si="1102"/>
        <v>1</v>
      </c>
      <c r="K755" s="111">
        <f t="shared" si="1103"/>
        <v>0</v>
      </c>
      <c r="L755" s="111">
        <f t="shared" si="1104"/>
        <v>1</v>
      </c>
      <c r="O755" s="125" t="str">
        <f t="shared" si="1109"/>
        <v>SNNC</v>
      </c>
      <c r="P755" s="126">
        <f t="shared" si="1105"/>
        <v>0.125</v>
      </c>
      <c r="Q755" s="111">
        <f t="shared" si="1106"/>
        <v>1</v>
      </c>
      <c r="R755" s="126">
        <f t="shared" si="1090"/>
        <v>0.125</v>
      </c>
      <c r="S755" s="122"/>
      <c r="T755" s="125" t="str">
        <f t="shared" si="1107"/>
        <v>SNNC</v>
      </c>
      <c r="U755" s="126">
        <f t="shared" si="1107"/>
        <v>0.125</v>
      </c>
      <c r="V755" s="111">
        <f t="shared" si="1107"/>
        <v>1</v>
      </c>
      <c r="W755" s="127">
        <f t="shared" si="1092"/>
        <v>0.125</v>
      </c>
      <c r="X755" s="148">
        <f t="shared" si="1108"/>
        <v>44.872</v>
      </c>
      <c r="Y755" s="111"/>
      <c r="Z755" s="155" t="str">
        <f t="shared" si="1113"/>
        <v/>
      </c>
      <c r="AN755" s="335"/>
      <c r="AO755" s="336">
        <f t="shared" si="1112"/>
        <v>44.872</v>
      </c>
      <c r="AP755" s="452"/>
      <c r="AQ755" s="57"/>
    </row>
    <row r="756" spans="2:43" ht="17.45" hidden="1" customHeight="1" outlineLevel="1" thickBot="1">
      <c r="B756" s="1172"/>
      <c r="C756" s="113" t="s">
        <v>61</v>
      </c>
      <c r="D756" s="114">
        <f>SUM(D741:D755)</f>
        <v>76727</v>
      </c>
      <c r="E756" s="179">
        <f>SUM(E741:E755)</f>
        <v>0</v>
      </c>
      <c r="F756" s="114">
        <f>SUM(F741:F755)</f>
        <v>76727</v>
      </c>
      <c r="G756" s="115">
        <f t="shared" si="1086"/>
        <v>1</v>
      </c>
      <c r="H756" s="185">
        <f>IFERROR(E756/F756,"")</f>
        <v>0</v>
      </c>
      <c r="I756" s="115">
        <f>IFERROR(G756+H756,"")</f>
        <v>1</v>
      </c>
      <c r="J756" s="114">
        <f t="shared" ref="J756:L756" si="1114">SUM(J741:J755)</f>
        <v>2</v>
      </c>
      <c r="K756" s="114">
        <f t="shared" si="1114"/>
        <v>0</v>
      </c>
      <c r="L756" s="114">
        <f t="shared" si="1114"/>
        <v>2</v>
      </c>
      <c r="O756" s="128" t="s">
        <v>61</v>
      </c>
      <c r="P756" s="129">
        <f>SUM(P741:P755)</f>
        <v>5.03125</v>
      </c>
      <c r="Q756" s="114">
        <f>SUM(Q741:Q755)</f>
        <v>2</v>
      </c>
      <c r="R756" s="129">
        <f t="shared" si="1090"/>
        <v>2.515625</v>
      </c>
      <c r="S756" s="122"/>
      <c r="T756" s="128" t="s">
        <v>61</v>
      </c>
      <c r="U756" s="129">
        <f>SUM(U741:U755)</f>
        <v>5.03125</v>
      </c>
      <c r="V756" s="114">
        <f>SUM(V741:V755)</f>
        <v>2</v>
      </c>
      <c r="W756" s="130">
        <f>IFERROR(U756/V756,"")</f>
        <v>2.515625</v>
      </c>
      <c r="X756" s="179">
        <f>SUM(X741:X755)</f>
        <v>76.727000000000004</v>
      </c>
      <c r="Y756" s="114">
        <f>SUM(Y741:Y755)</f>
        <v>0</v>
      </c>
      <c r="Z756" s="176" t="str">
        <f t="shared" si="1113"/>
        <v/>
      </c>
      <c r="AN756" s="341">
        <f>SUM(AN741:AN755)</f>
        <v>0</v>
      </c>
      <c r="AO756" s="341">
        <f>SUM(AO741:AO755)</f>
        <v>76.727000000000004</v>
      </c>
      <c r="AP756" s="455"/>
      <c r="AQ756" s="57"/>
    </row>
    <row r="757" spans="2:43" ht="17.45" hidden="1" customHeight="1" outlineLevel="1" thickBot="1">
      <c r="B757" s="1106" t="s">
        <v>57</v>
      </c>
      <c r="C757" s="1106"/>
      <c r="D757" s="147">
        <f>SUM(D756,D740)</f>
        <v>76727</v>
      </c>
      <c r="E757" s="182">
        <f>SUM(E756,E740)</f>
        <v>131155</v>
      </c>
      <c r="F757" s="149">
        <f>SUM(F756,F740)</f>
        <v>207882</v>
      </c>
      <c r="G757" s="183">
        <f t="shared" si="1086"/>
        <v>0.36908919483168334</v>
      </c>
      <c r="H757" s="186">
        <f>IFERROR(E757/F757,"")</f>
        <v>0.63091080516831666</v>
      </c>
      <c r="I757" s="184">
        <f>IFERROR(G757+H757,"")</f>
        <v>1</v>
      </c>
      <c r="J757" s="116">
        <f t="shared" ref="J757:L757" si="1115">SUM(J756,J740)</f>
        <v>2</v>
      </c>
      <c r="K757" s="116">
        <f t="shared" si="1115"/>
        <v>2</v>
      </c>
      <c r="L757" s="116">
        <f t="shared" si="1115"/>
        <v>4</v>
      </c>
      <c r="O757" s="131" t="s">
        <v>79</v>
      </c>
      <c r="P757" s="132">
        <f>SUM(P756,P740)</f>
        <v>16.181250000001455</v>
      </c>
      <c r="Q757" s="116">
        <f>SUM(Q756,Q740)</f>
        <v>4</v>
      </c>
      <c r="R757" s="132">
        <f>IFERROR(P757/Q757,"")</f>
        <v>4.0453125000003638</v>
      </c>
      <c r="S757" s="122"/>
      <c r="T757" s="131" t="s">
        <v>76</v>
      </c>
      <c r="U757" s="132">
        <f>SUM(U756,U740)</f>
        <v>16.181250000001455</v>
      </c>
      <c r="V757" s="147">
        <f>SUM(V756,V740)</f>
        <v>4</v>
      </c>
      <c r="W757" s="173">
        <f t="shared" ref="W757:W758" si="1116">IFERROR(U757/V757,"")</f>
        <v>4.0453125000003638</v>
      </c>
      <c r="X757" s="182">
        <f>SUM(X740,X756)</f>
        <v>207.88200000000001</v>
      </c>
      <c r="Y757" s="175">
        <f>SUM(Y740,Y756)</f>
        <v>0</v>
      </c>
      <c r="Z757" s="178" t="str">
        <f t="shared" si="1113"/>
        <v/>
      </c>
      <c r="AN757" s="342">
        <f>SUM(AN740,AN756)</f>
        <v>0</v>
      </c>
      <c r="AO757" s="342">
        <f>SUM(AO740,AO756)</f>
        <v>207.88200000000001</v>
      </c>
      <c r="AP757" s="456"/>
      <c r="AQ757" s="57"/>
    </row>
    <row r="758" spans="2:43" ht="17.45" hidden="1" customHeight="1" outlineLevel="1">
      <c r="D758" s="344" t="str">
        <f>IF(D757=L113,"","CHECK")</f>
        <v/>
      </c>
      <c r="E758" s="344" t="str">
        <f>IF(E757=M113,"","CHECK")</f>
        <v/>
      </c>
      <c r="F758" s="344" t="str">
        <f>IF(F757=N113,"","CHECK")</f>
        <v/>
      </c>
      <c r="O758" s="134" t="s">
        <v>77</v>
      </c>
      <c r="P758" s="126"/>
      <c r="Q758" s="126"/>
      <c r="R758" s="126" t="str">
        <f>IFERROR(P758/Q758,"")</f>
        <v/>
      </c>
      <c r="S758" s="122"/>
      <c r="T758" s="134" t="s">
        <v>77</v>
      </c>
      <c r="U758" s="126"/>
      <c r="V758" s="111"/>
      <c r="W758" s="135" t="str">
        <f t="shared" si="1116"/>
        <v/>
      </c>
      <c r="X758" s="180"/>
      <c r="Y758" s="126"/>
      <c r="Z758" s="181" t="str">
        <f t="shared" si="1113"/>
        <v/>
      </c>
      <c r="AN758" s="335"/>
      <c r="AO758" s="336">
        <f t="shared" ref="AO758:AO759" si="1117">X758-Y758</f>
        <v>0</v>
      </c>
      <c r="AP758" s="452"/>
      <c r="AQ758" s="57"/>
    </row>
    <row r="759" spans="2:43" ht="17.45" hidden="1" customHeight="1" outlineLevel="1">
      <c r="T759" s="345" t="s">
        <v>109</v>
      </c>
      <c r="U759" s="345"/>
      <c r="V759" s="328"/>
      <c r="W759" s="355"/>
      <c r="X759" s="355">
        <f>G774</f>
        <v>0</v>
      </c>
      <c r="Y759" s="347"/>
      <c r="Z759" s="155" t="str">
        <f t="shared" si="1113"/>
        <v/>
      </c>
      <c r="AN759" s="335"/>
      <c r="AO759" s="336">
        <f t="shared" si="1117"/>
        <v>0</v>
      </c>
      <c r="AP759" s="452"/>
      <c r="AQ759" s="57"/>
    </row>
    <row r="760" spans="2:43" ht="17.45" hidden="1" customHeight="1" outlineLevel="1">
      <c r="B760" s="1173" t="s">
        <v>80</v>
      </c>
      <c r="C760" s="1177" t="s">
        <v>52</v>
      </c>
      <c r="D760" s="1177"/>
      <c r="E760" s="1177"/>
      <c r="F760" s="1177" t="s">
        <v>73</v>
      </c>
      <c r="G760" s="1177" t="s">
        <v>75</v>
      </c>
      <c r="H760" s="1177" t="s">
        <v>95</v>
      </c>
      <c r="I760" s="119"/>
      <c r="J760" s="1173" t="s">
        <v>132</v>
      </c>
      <c r="K760" s="1174" t="s">
        <v>124</v>
      </c>
      <c r="L760" s="1174"/>
      <c r="M760" s="1174"/>
      <c r="N760" s="1174" t="s">
        <v>75</v>
      </c>
      <c r="O760" s="1174"/>
      <c r="P760" s="1174"/>
      <c r="Q760" s="1175" t="s">
        <v>72</v>
      </c>
      <c r="R760" s="1175" t="s">
        <v>73</v>
      </c>
      <c r="S760" s="1175" t="s">
        <v>74</v>
      </c>
      <c r="T760" s="262" t="s">
        <v>110</v>
      </c>
      <c r="U760" s="262"/>
      <c r="V760" s="334"/>
      <c r="W760" s="356"/>
      <c r="X760" s="356">
        <f>SUM(X757,X758,X759)</f>
        <v>207.88200000000001</v>
      </c>
      <c r="Y760" s="354">
        <f>SUM(Y757,Y759)</f>
        <v>0</v>
      </c>
      <c r="Z760" s="158" t="str">
        <f t="shared" si="1113"/>
        <v/>
      </c>
      <c r="AN760" s="342">
        <f>SUM(AN757,AN759)</f>
        <v>0</v>
      </c>
      <c r="AO760" s="342">
        <f>SUM(AO757,AO759)</f>
        <v>207.88200000000001</v>
      </c>
      <c r="AP760" s="456"/>
      <c r="AQ760" s="57"/>
    </row>
    <row r="761" spans="2:43" ht="17.45" hidden="1" customHeight="1" outlineLevel="1">
      <c r="B761" s="1173"/>
      <c r="C761" s="628" t="s">
        <v>55</v>
      </c>
      <c r="D761" s="628" t="s">
        <v>56</v>
      </c>
      <c r="E761" s="628" t="s">
        <v>57</v>
      </c>
      <c r="F761" s="1177"/>
      <c r="G761" s="1177"/>
      <c r="H761" s="1177"/>
      <c r="I761" s="119"/>
      <c r="J761" s="1173"/>
      <c r="K761" s="627" t="s">
        <v>125</v>
      </c>
      <c r="L761" s="627" t="s">
        <v>126</v>
      </c>
      <c r="M761" s="627" t="s">
        <v>123</v>
      </c>
      <c r="N761" s="627" t="s">
        <v>125</v>
      </c>
      <c r="O761" s="627" t="s">
        <v>126</v>
      </c>
      <c r="P761" s="627" t="s">
        <v>123</v>
      </c>
      <c r="Q761" s="1176"/>
      <c r="R761" s="1176"/>
      <c r="S761" s="1176"/>
      <c r="AQ761" s="57"/>
    </row>
    <row r="762" spans="2:43" ht="17.45" hidden="1" customHeight="1" outlineLevel="1">
      <c r="B762" s="139" t="s">
        <v>81</v>
      </c>
      <c r="C762" s="111">
        <f t="shared" ref="C762:C772" si="1118">SUMIF($R$100:$R$113,B762,$L$100:$L$113)</f>
        <v>0</v>
      </c>
      <c r="D762" s="111">
        <f t="shared" ref="D762:D772" si="1119">SUMIF($R$100:$R$113,B762,$M$100:$M$113)</f>
        <v>79055</v>
      </c>
      <c r="E762" s="111">
        <f>C762+D762</f>
        <v>79055</v>
      </c>
      <c r="F762" s="111">
        <f t="shared" ref="F762:F772" si="1120">SUMIF($R$100:$R$113,B762,$AZ$100:$AZ$113)</f>
        <v>1</v>
      </c>
      <c r="G762" s="111">
        <f>E762/1000</f>
        <v>79.055000000000007</v>
      </c>
      <c r="H762" s="111"/>
      <c r="I762" s="119"/>
      <c r="J762" s="139" t="s">
        <v>117</v>
      </c>
      <c r="K762" s="111">
        <f t="shared" ref="K762:K769" si="1121">SUMIF($Q$100:$Q$113,J762,$L$100:$L$113)</f>
        <v>0</v>
      </c>
      <c r="L762" s="111">
        <f t="shared" ref="L762:L769" si="1122">SUMIF($Q$100:$Q$113,J762,$M$100:$M$113)</f>
        <v>0</v>
      </c>
      <c r="M762" s="202">
        <f>K762+L762</f>
        <v>0</v>
      </c>
      <c r="N762" s="202">
        <f>K762/1000</f>
        <v>0</v>
      </c>
      <c r="O762" s="202">
        <f>L762/1000</f>
        <v>0</v>
      </c>
      <c r="P762" s="202">
        <f>N762+O762</f>
        <v>0</v>
      </c>
      <c r="Q762" s="358">
        <f t="shared" ref="Q762:Q769" si="1123">SUMIF($Q$100:$Q$113,J762,$I$100:$I$113)</f>
        <v>0</v>
      </c>
      <c r="R762" s="111">
        <f t="shared" ref="R762:R769" si="1124">SUMIF($Q$100:$Q$113,J762,$AZ$100:$AZ$113)</f>
        <v>0</v>
      </c>
      <c r="S762" s="126" t="str">
        <f>IFERROR(Q762/R762,"")</f>
        <v/>
      </c>
      <c r="AQ762" s="57"/>
    </row>
    <row r="763" spans="2:43" ht="17.45" hidden="1" customHeight="1" outlineLevel="1">
      <c r="B763" s="139" t="s">
        <v>82</v>
      </c>
      <c r="C763" s="111">
        <f t="shared" si="1118"/>
        <v>44872</v>
      </c>
      <c r="D763" s="111">
        <f t="shared" si="1119"/>
        <v>0</v>
      </c>
      <c r="E763" s="111">
        <f t="shared" ref="E763:E772" si="1125">C763+D763</f>
        <v>44872</v>
      </c>
      <c r="F763" s="111">
        <f t="shared" si="1120"/>
        <v>1</v>
      </c>
      <c r="G763" s="111">
        <f t="shared" ref="G763:G772" si="1126">E763/1000</f>
        <v>44.872</v>
      </c>
      <c r="H763" s="111"/>
      <c r="I763" s="119"/>
      <c r="J763" s="139" t="s">
        <v>118</v>
      </c>
      <c r="K763" s="111">
        <f t="shared" si="1121"/>
        <v>31855</v>
      </c>
      <c r="L763" s="111">
        <f t="shared" si="1122"/>
        <v>79055</v>
      </c>
      <c r="M763" s="202">
        <f t="shared" ref="M763:M769" si="1127">K763+L763</f>
        <v>110910</v>
      </c>
      <c r="N763" s="202">
        <f t="shared" ref="N763:O769" si="1128">K763/1000</f>
        <v>31.855</v>
      </c>
      <c r="O763" s="202">
        <f t="shared" si="1128"/>
        <v>79.055000000000007</v>
      </c>
      <c r="P763" s="202">
        <f t="shared" ref="P763:P769" si="1129">N763+O763</f>
        <v>110.91000000000001</v>
      </c>
      <c r="Q763" s="358">
        <f t="shared" si="1123"/>
        <v>10.318749999998545</v>
      </c>
      <c r="R763" s="111">
        <f t="shared" si="1124"/>
        <v>2</v>
      </c>
      <c r="S763" s="126">
        <f t="shared" ref="S763:S769" si="1130">IFERROR(Q763/R763,"")</f>
        <v>5.1593749999992724</v>
      </c>
      <c r="AQ763" s="57"/>
    </row>
    <row r="764" spans="2:43" ht="17.45" hidden="1" customHeight="1" outlineLevel="1">
      <c r="B764" s="139" t="s">
        <v>83</v>
      </c>
      <c r="C764" s="111">
        <f t="shared" si="1118"/>
        <v>0</v>
      </c>
      <c r="D764" s="111">
        <f t="shared" si="1119"/>
        <v>52100</v>
      </c>
      <c r="E764" s="111">
        <f>C764+D764</f>
        <v>52100</v>
      </c>
      <c r="F764" s="111">
        <f t="shared" si="1120"/>
        <v>1</v>
      </c>
      <c r="G764" s="111">
        <f t="shared" si="1126"/>
        <v>52.1</v>
      </c>
      <c r="H764" s="111"/>
      <c r="I764" s="119"/>
      <c r="J764" s="139" t="s">
        <v>119</v>
      </c>
      <c r="K764" s="111">
        <f t="shared" si="1121"/>
        <v>0</v>
      </c>
      <c r="L764" s="111">
        <f t="shared" si="1122"/>
        <v>0</v>
      </c>
      <c r="M764" s="202">
        <f t="shared" si="1127"/>
        <v>0</v>
      </c>
      <c r="N764" s="202">
        <f t="shared" si="1128"/>
        <v>0</v>
      </c>
      <c r="O764" s="202">
        <f t="shared" si="1128"/>
        <v>0</v>
      </c>
      <c r="P764" s="202">
        <f t="shared" si="1129"/>
        <v>0</v>
      </c>
      <c r="Q764" s="358">
        <f t="shared" si="1123"/>
        <v>0</v>
      </c>
      <c r="R764" s="111">
        <f t="shared" si="1124"/>
        <v>0</v>
      </c>
      <c r="S764" s="126" t="str">
        <f t="shared" si="1130"/>
        <v/>
      </c>
      <c r="AQ764" s="57"/>
    </row>
    <row r="765" spans="2:43" ht="17.45" hidden="1" customHeight="1" outlineLevel="1">
      <c r="B765" s="139" t="s">
        <v>84</v>
      </c>
      <c r="C765" s="111">
        <f t="shared" si="1118"/>
        <v>31855</v>
      </c>
      <c r="D765" s="111">
        <f t="shared" si="1119"/>
        <v>0</v>
      </c>
      <c r="E765" s="111">
        <f t="shared" si="1125"/>
        <v>31855</v>
      </c>
      <c r="F765" s="111">
        <f t="shared" si="1120"/>
        <v>1</v>
      </c>
      <c r="G765" s="111">
        <f t="shared" si="1126"/>
        <v>31.855</v>
      </c>
      <c r="H765" s="111"/>
      <c r="I765" s="119"/>
      <c r="J765" s="139" t="s">
        <v>113</v>
      </c>
      <c r="K765" s="111">
        <f t="shared" si="1121"/>
        <v>0</v>
      </c>
      <c r="L765" s="111">
        <f t="shared" si="1122"/>
        <v>0</v>
      </c>
      <c r="M765" s="202">
        <f t="shared" si="1127"/>
        <v>0</v>
      </c>
      <c r="N765" s="202">
        <f t="shared" si="1128"/>
        <v>0</v>
      </c>
      <c r="O765" s="202">
        <f t="shared" si="1128"/>
        <v>0</v>
      </c>
      <c r="P765" s="202">
        <f t="shared" si="1129"/>
        <v>0</v>
      </c>
      <c r="Q765" s="358">
        <f t="shared" si="1123"/>
        <v>0</v>
      </c>
      <c r="R765" s="111">
        <f t="shared" si="1124"/>
        <v>0</v>
      </c>
      <c r="S765" s="126" t="str">
        <f t="shared" si="1130"/>
        <v/>
      </c>
      <c r="AQ765" s="57"/>
    </row>
    <row r="766" spans="2:43" ht="17.45" hidden="1" customHeight="1" outlineLevel="1">
      <c r="B766" s="139" t="s">
        <v>223</v>
      </c>
      <c r="C766" s="111">
        <f t="shared" si="1118"/>
        <v>0</v>
      </c>
      <c r="D766" s="111">
        <f t="shared" si="1119"/>
        <v>0</v>
      </c>
      <c r="E766" s="111">
        <f t="shared" si="1125"/>
        <v>0</v>
      </c>
      <c r="F766" s="111">
        <f t="shared" si="1120"/>
        <v>0</v>
      </c>
      <c r="G766" s="111">
        <f t="shared" si="1126"/>
        <v>0</v>
      </c>
      <c r="H766" s="111"/>
      <c r="I766" s="119"/>
      <c r="J766" s="139" t="s">
        <v>120</v>
      </c>
      <c r="K766" s="111">
        <f t="shared" si="1121"/>
        <v>0</v>
      </c>
      <c r="L766" s="111">
        <f t="shared" si="1122"/>
        <v>0</v>
      </c>
      <c r="M766" s="202">
        <f t="shared" si="1127"/>
        <v>0</v>
      </c>
      <c r="N766" s="202">
        <f t="shared" si="1128"/>
        <v>0</v>
      </c>
      <c r="O766" s="202">
        <f t="shared" si="1128"/>
        <v>0</v>
      </c>
      <c r="P766" s="202">
        <f t="shared" si="1129"/>
        <v>0</v>
      </c>
      <c r="Q766" s="358">
        <f t="shared" si="1123"/>
        <v>0</v>
      </c>
      <c r="R766" s="111">
        <f t="shared" si="1124"/>
        <v>0</v>
      </c>
      <c r="S766" s="126" t="str">
        <f t="shared" si="1130"/>
        <v/>
      </c>
      <c r="AQ766" s="57"/>
    </row>
    <row r="767" spans="2:43" ht="17.45" hidden="1" customHeight="1" outlineLevel="1">
      <c r="B767" s="139" t="s">
        <v>158</v>
      </c>
      <c r="C767" s="111">
        <f t="shared" si="1118"/>
        <v>0</v>
      </c>
      <c r="D767" s="111">
        <f t="shared" si="1119"/>
        <v>0</v>
      </c>
      <c r="E767" s="111">
        <f t="shared" si="1125"/>
        <v>0</v>
      </c>
      <c r="F767" s="111">
        <f t="shared" si="1120"/>
        <v>0</v>
      </c>
      <c r="G767" s="111">
        <f t="shared" si="1126"/>
        <v>0</v>
      </c>
      <c r="H767" s="111"/>
      <c r="I767" s="119"/>
      <c r="J767" s="139" t="s">
        <v>121</v>
      </c>
      <c r="K767" s="111">
        <f t="shared" si="1121"/>
        <v>44872</v>
      </c>
      <c r="L767" s="111">
        <f t="shared" si="1122"/>
        <v>0</v>
      </c>
      <c r="M767" s="202">
        <f t="shared" si="1127"/>
        <v>44872</v>
      </c>
      <c r="N767" s="202">
        <f t="shared" si="1128"/>
        <v>44.872</v>
      </c>
      <c r="O767" s="202">
        <f t="shared" si="1128"/>
        <v>0</v>
      </c>
      <c r="P767" s="202">
        <f t="shared" si="1129"/>
        <v>44.872</v>
      </c>
      <c r="Q767" s="358">
        <f t="shared" si="1123"/>
        <v>0.20277777777664596</v>
      </c>
      <c r="R767" s="111">
        <f t="shared" si="1124"/>
        <v>1</v>
      </c>
      <c r="S767" s="126">
        <f t="shared" si="1130"/>
        <v>0.20277777777664596</v>
      </c>
      <c r="AQ767" s="57"/>
    </row>
    <row r="768" spans="2:43" ht="17.45" hidden="1" customHeight="1" outlineLevel="1">
      <c r="B768" s="139" t="s">
        <v>85</v>
      </c>
      <c r="C768" s="111">
        <f t="shared" si="1118"/>
        <v>0</v>
      </c>
      <c r="D768" s="111">
        <f t="shared" si="1119"/>
        <v>0</v>
      </c>
      <c r="E768" s="111">
        <f t="shared" si="1125"/>
        <v>0</v>
      </c>
      <c r="F768" s="111">
        <f t="shared" si="1120"/>
        <v>0</v>
      </c>
      <c r="G768" s="111">
        <f t="shared" si="1126"/>
        <v>0</v>
      </c>
      <c r="H768" s="111"/>
      <c r="I768" s="119"/>
      <c r="J768" s="139" t="s">
        <v>122</v>
      </c>
      <c r="K768" s="111">
        <f t="shared" si="1121"/>
        <v>0</v>
      </c>
      <c r="L768" s="111">
        <f t="shared" si="1122"/>
        <v>52100</v>
      </c>
      <c r="M768" s="202">
        <f t="shared" si="1127"/>
        <v>52100</v>
      </c>
      <c r="N768" s="202">
        <f t="shared" si="1128"/>
        <v>0</v>
      </c>
      <c r="O768" s="202">
        <f t="shared" si="1128"/>
        <v>52.1</v>
      </c>
      <c r="P768" s="202">
        <f t="shared" si="1129"/>
        <v>52.1</v>
      </c>
      <c r="Q768" s="358">
        <f t="shared" si="1123"/>
        <v>5.6597222222262644</v>
      </c>
      <c r="R768" s="111">
        <f t="shared" si="1124"/>
        <v>1</v>
      </c>
      <c r="S768" s="126">
        <f t="shared" si="1130"/>
        <v>5.6597222222262644</v>
      </c>
      <c r="AQ768" s="57"/>
    </row>
    <row r="769" spans="2:43" ht="17.45" hidden="1" customHeight="1" outlineLevel="1">
      <c r="B769" s="139" t="s">
        <v>96</v>
      </c>
      <c r="C769" s="111">
        <f t="shared" si="1118"/>
        <v>0</v>
      </c>
      <c r="D769" s="111">
        <f t="shared" si="1119"/>
        <v>0</v>
      </c>
      <c r="E769" s="111">
        <f t="shared" si="1125"/>
        <v>0</v>
      </c>
      <c r="F769" s="111">
        <f t="shared" si="1120"/>
        <v>0</v>
      </c>
      <c r="G769" s="111">
        <f t="shared" si="1126"/>
        <v>0</v>
      </c>
      <c r="H769" s="142" t="s">
        <v>30</v>
      </c>
      <c r="I769" s="119"/>
      <c r="J769" s="139" t="s">
        <v>162</v>
      </c>
      <c r="K769" s="111">
        <f t="shared" si="1121"/>
        <v>0</v>
      </c>
      <c r="L769" s="111">
        <f t="shared" si="1122"/>
        <v>0</v>
      </c>
      <c r="M769" s="202">
        <f t="shared" si="1127"/>
        <v>0</v>
      </c>
      <c r="N769" s="202">
        <f t="shared" si="1128"/>
        <v>0</v>
      </c>
      <c r="O769" s="202">
        <f t="shared" si="1128"/>
        <v>0</v>
      </c>
      <c r="P769" s="202">
        <f t="shared" si="1129"/>
        <v>0</v>
      </c>
      <c r="Q769" s="358">
        <f t="shared" si="1123"/>
        <v>0</v>
      </c>
      <c r="R769" s="111">
        <f t="shared" si="1124"/>
        <v>0</v>
      </c>
      <c r="S769" s="126" t="str">
        <f t="shared" si="1130"/>
        <v/>
      </c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  <c r="AM769" s="57"/>
      <c r="AN769" s="57"/>
      <c r="AO769" s="57"/>
      <c r="AP769" s="57"/>
      <c r="AQ769" s="57"/>
    </row>
    <row r="770" spans="2:43" ht="17.45" hidden="1" customHeight="1" outlineLevel="1">
      <c r="B770" s="139" t="s">
        <v>86</v>
      </c>
      <c r="C770" s="111">
        <f t="shared" si="1118"/>
        <v>0</v>
      </c>
      <c r="D770" s="111">
        <f t="shared" si="1119"/>
        <v>0</v>
      </c>
      <c r="E770" s="111">
        <f t="shared" si="1125"/>
        <v>0</v>
      </c>
      <c r="F770" s="111">
        <f t="shared" si="1120"/>
        <v>0</v>
      </c>
      <c r="G770" s="111">
        <f t="shared" si="1126"/>
        <v>0</v>
      </c>
      <c r="H770" s="111"/>
      <c r="I770" s="119"/>
      <c r="J770" s="232" t="s">
        <v>123</v>
      </c>
      <c r="K770" s="203">
        <f>SUM(K762:K769)</f>
        <v>76727</v>
      </c>
      <c r="L770" s="203">
        <f t="shared" ref="L770:M770" si="1131">SUM(L762:L769)</f>
        <v>131155</v>
      </c>
      <c r="M770" s="203">
        <f t="shared" si="1131"/>
        <v>207882</v>
      </c>
      <c r="N770" s="203">
        <f>SUM(N762:N769)</f>
        <v>76.727000000000004</v>
      </c>
      <c r="O770" s="203">
        <f t="shared" ref="O770:P770" si="1132">SUM(O762:O769)</f>
        <v>131.155</v>
      </c>
      <c r="P770" s="203">
        <f t="shared" si="1132"/>
        <v>207.88200000000001</v>
      </c>
      <c r="Q770" s="359">
        <f>SUM(Q762:Q769)</f>
        <v>16.181250000001455</v>
      </c>
      <c r="R770" s="359">
        <f>SUM(R762:R769)</f>
        <v>4</v>
      </c>
      <c r="S770" s="359">
        <f>IFERROR(Q770/R770,"")</f>
        <v>4.0453125000003638</v>
      </c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  <c r="AM770" s="57"/>
      <c r="AN770" s="57"/>
      <c r="AO770" s="57"/>
      <c r="AP770" s="57"/>
      <c r="AQ770" s="57"/>
    </row>
    <row r="771" spans="2:43" ht="17.45" hidden="1" customHeight="1" outlineLevel="1">
      <c r="B771" s="139" t="s">
        <v>169</v>
      </c>
      <c r="C771" s="111">
        <f t="shared" si="1118"/>
        <v>0</v>
      </c>
      <c r="D771" s="111">
        <f t="shared" si="1119"/>
        <v>0</v>
      </c>
      <c r="E771" s="111">
        <f t="shared" si="1125"/>
        <v>0</v>
      </c>
      <c r="F771" s="111">
        <f t="shared" si="1120"/>
        <v>0</v>
      </c>
      <c r="G771" s="111">
        <f t="shared" si="1126"/>
        <v>0</v>
      </c>
      <c r="H771" s="111"/>
      <c r="I771" s="119"/>
      <c r="K771" s="343" t="str">
        <f>IF(K770=D757,"","CHECK")</f>
        <v/>
      </c>
      <c r="L771" s="343" t="str">
        <f>IF(L770=E757,"","CHECK")</f>
        <v/>
      </c>
      <c r="M771" s="343" t="str">
        <f>IF(M770=F757,"","CHECK")</f>
        <v/>
      </c>
      <c r="S771" s="343" t="str">
        <f>IF(S770=I783,"","CHECK")</f>
        <v/>
      </c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57"/>
      <c r="AP771" s="57"/>
      <c r="AQ771" s="57"/>
    </row>
    <row r="772" spans="2:43" ht="17.45" hidden="1" customHeight="1" outlineLevel="1" thickBot="1">
      <c r="B772" s="139" t="s">
        <v>155</v>
      </c>
      <c r="C772" s="111">
        <f t="shared" si="1118"/>
        <v>0</v>
      </c>
      <c r="D772" s="111">
        <f t="shared" si="1119"/>
        <v>0</v>
      </c>
      <c r="E772" s="111">
        <f t="shared" si="1125"/>
        <v>0</v>
      </c>
      <c r="F772" s="111">
        <f t="shared" si="1120"/>
        <v>0</v>
      </c>
      <c r="G772" s="111">
        <f t="shared" si="1126"/>
        <v>0</v>
      </c>
      <c r="H772" s="111"/>
      <c r="I772" s="119"/>
      <c r="L772" s="283"/>
      <c r="M772" s="220"/>
      <c r="P772" s="360" t="s">
        <v>161</v>
      </c>
      <c r="Q772" s="359">
        <f>SUM(Q762:Q767)</f>
        <v>10.521527777775191</v>
      </c>
      <c r="R772" s="359">
        <f>SUM(R762:R767)</f>
        <v>3</v>
      </c>
      <c r="S772" s="359">
        <f>IFERROR(Q772/R772,"")</f>
        <v>3.5071759259250634</v>
      </c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  <c r="AN772" s="57"/>
      <c r="AO772" s="57"/>
      <c r="AP772" s="57"/>
      <c r="AQ772" s="57"/>
    </row>
    <row r="773" spans="2:43" ht="17.45" hidden="1" customHeight="1" outlineLevel="1" thickBot="1">
      <c r="B773" s="113" t="s">
        <v>61</v>
      </c>
      <c r="C773" s="114">
        <f>SUM(C762:C772)</f>
        <v>76727</v>
      </c>
      <c r="D773" s="114">
        <f t="shared" ref="D773:E773" si="1133">SUM(D762:D772)</f>
        <v>131155</v>
      </c>
      <c r="E773" s="114">
        <f t="shared" si="1133"/>
        <v>207882</v>
      </c>
      <c r="F773" s="166">
        <f>SUM(F762:F772)</f>
        <v>4</v>
      </c>
      <c r="G773" s="170">
        <f>SUM(G762:G772)</f>
        <v>207.88200000000001</v>
      </c>
      <c r="H773" s="167"/>
      <c r="I773" s="119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  <c r="AN773" s="57"/>
      <c r="AO773" s="57"/>
      <c r="AP773" s="57"/>
      <c r="AQ773" s="57"/>
    </row>
    <row r="774" spans="2:43" ht="17.45" hidden="1" customHeight="1" outlineLevel="1">
      <c r="B774" s="151" t="s">
        <v>87</v>
      </c>
      <c r="C774" s="152"/>
      <c r="D774" s="152"/>
      <c r="E774" s="153">
        <f>$W$294</f>
        <v>0</v>
      </c>
      <c r="F774" s="143"/>
      <c r="G774" s="169">
        <f>E774/1000</f>
        <v>0</v>
      </c>
      <c r="H774" s="145"/>
      <c r="I774" s="119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  <c r="AN774" s="57"/>
      <c r="AO774" s="57"/>
      <c r="AP774" s="57"/>
      <c r="AQ774" s="57"/>
    </row>
    <row r="775" spans="2:43" ht="17.45" hidden="1" customHeight="1" outlineLevel="1">
      <c r="B775" s="151" t="s">
        <v>57</v>
      </c>
      <c r="C775" s="152"/>
      <c r="D775" s="152"/>
      <c r="E775" s="140">
        <f>SUM(E773:E774)</f>
        <v>207882</v>
      </c>
      <c r="F775" s="122"/>
      <c r="G775" s="140">
        <f>SUM(G773:G774)</f>
        <v>207.88200000000001</v>
      </c>
      <c r="H775" s="343" t="str">
        <f>IF(G775=K294,"","CHECK")</f>
        <v/>
      </c>
      <c r="I775" s="119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57"/>
      <c r="AP775" s="57"/>
      <c r="AQ775" s="57"/>
    </row>
    <row r="776" spans="2:43" ht="17.45" hidden="1" customHeight="1" outlineLevel="1">
      <c r="B776" s="137"/>
      <c r="C776" s="122"/>
      <c r="D776" s="122"/>
      <c r="E776" s="154"/>
      <c r="F776" s="122"/>
      <c r="G776" s="122"/>
      <c r="H776" s="137"/>
      <c r="I776" s="119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57"/>
      <c r="AP776" s="57"/>
      <c r="AQ776" s="57"/>
    </row>
    <row r="777" spans="2:43" ht="17.45" hidden="1" customHeight="1" outlineLevel="1">
      <c r="B777" s="1173" t="s">
        <v>88</v>
      </c>
      <c r="C777" s="1177" t="s">
        <v>52</v>
      </c>
      <c r="D777" s="1177"/>
      <c r="E777" s="1177"/>
      <c r="F777" s="1177" t="s">
        <v>73</v>
      </c>
      <c r="G777" s="1177" t="s">
        <v>75</v>
      </c>
      <c r="H777" s="1168" t="s">
        <v>72</v>
      </c>
      <c r="I777" s="1168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  <c r="AN777" s="57"/>
      <c r="AO777" s="57"/>
      <c r="AP777" s="57"/>
      <c r="AQ777" s="57"/>
    </row>
    <row r="778" spans="2:43" ht="17.45" hidden="1" customHeight="1" outlineLevel="1">
      <c r="B778" s="1173"/>
      <c r="C778" s="628" t="s">
        <v>55</v>
      </c>
      <c r="D778" s="628" t="s">
        <v>56</v>
      </c>
      <c r="E778" s="628" t="s">
        <v>57</v>
      </c>
      <c r="F778" s="1177"/>
      <c r="G778" s="1177"/>
      <c r="H778" s="626" t="s">
        <v>89</v>
      </c>
      <c r="I778" s="626" t="s">
        <v>90</v>
      </c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  <c r="AN778" s="57"/>
      <c r="AO778" s="57"/>
      <c r="AP778" s="57"/>
      <c r="AQ778" s="57"/>
    </row>
    <row r="779" spans="2:43" ht="17.45" hidden="1" customHeight="1" outlineLevel="1">
      <c r="B779" s="138" t="s">
        <v>91</v>
      </c>
      <c r="C779" s="111">
        <f>SUMIF($V$100:$V$113,B779,$L$100:$L$113)</f>
        <v>44872</v>
      </c>
      <c r="D779" s="111">
        <f>SUMIF($V$100:$V$113,B779,$M$100:$M$113)</f>
        <v>0</v>
      </c>
      <c r="E779" s="111">
        <f>C779+D779</f>
        <v>44872</v>
      </c>
      <c r="F779" s="111">
        <f>SUMIF($V$100:$V$113,B779,$AZ$100:$AZ$113)</f>
        <v>1</v>
      </c>
      <c r="G779" s="111">
        <f>E779/1000</f>
        <v>44.872</v>
      </c>
      <c r="H779" s="126">
        <f>SUMIF($V$100:$V$113,B779,$I$100:$I$113)</f>
        <v>0.125</v>
      </c>
      <c r="I779" s="141">
        <f>IFERROR(H779/F779,"")</f>
        <v>0.125</v>
      </c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  <c r="AN779" s="57"/>
      <c r="AO779" s="57"/>
      <c r="AP779" s="57"/>
      <c r="AQ779" s="57"/>
    </row>
    <row r="780" spans="2:43" ht="17.45" hidden="1" customHeight="1" outlineLevel="1">
      <c r="B780" s="138" t="s">
        <v>92</v>
      </c>
      <c r="C780" s="111">
        <f>SUMIF($V$100:$V$113,B780,$L$100:$L$113)</f>
        <v>0</v>
      </c>
      <c r="D780" s="111">
        <f>SUMIF($V$100:$V$113,B780,$M$100:$M$113)</f>
        <v>131155</v>
      </c>
      <c r="E780" s="111">
        <f t="shared" ref="E780:E782" si="1134">C780+D780</f>
        <v>131155</v>
      </c>
      <c r="F780" s="111">
        <f>SUMIF($V$100:$V$113,B780,$AZ$100:$AZ$113)</f>
        <v>2</v>
      </c>
      <c r="G780" s="111">
        <f t="shared" ref="G780:G782" si="1135">E780/1000</f>
        <v>131.155</v>
      </c>
      <c r="H780" s="126">
        <f>SUMIF($V$100:$V$113,B780,$I$100:$I$113)</f>
        <v>11.150000000001455</v>
      </c>
      <c r="I780" s="141">
        <f t="shared" ref="I780:I782" si="1136">IFERROR(H780/F780,"")</f>
        <v>5.5750000000007276</v>
      </c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  <c r="AN780" s="57"/>
      <c r="AO780" s="57"/>
      <c r="AP780" s="57"/>
      <c r="AQ780" s="57"/>
    </row>
    <row r="781" spans="2:43" ht="17.45" hidden="1" customHeight="1" outlineLevel="1">
      <c r="B781" s="138" t="s">
        <v>93</v>
      </c>
      <c r="C781" s="111">
        <f>SUMIF($V$100:$V$113,B781,$L$100:$L$113)</f>
        <v>0</v>
      </c>
      <c r="D781" s="111">
        <f>SUMIF($V$100:$V$113,B781,$M$100:$M$113)</f>
        <v>0</v>
      </c>
      <c r="E781" s="111">
        <f t="shared" si="1134"/>
        <v>0</v>
      </c>
      <c r="F781" s="111">
        <f>SUMIF($V$100:$V$113,B781,$AZ$100:$AZ$113)</f>
        <v>0</v>
      </c>
      <c r="G781" s="111">
        <f t="shared" si="1135"/>
        <v>0</v>
      </c>
      <c r="H781" s="126">
        <f>SUMIF($V$100:$V$113,B781,$I$100:$I$113)</f>
        <v>0</v>
      </c>
      <c r="I781" s="141" t="str">
        <f t="shared" si="1136"/>
        <v/>
      </c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  <c r="AN781" s="57"/>
      <c r="AO781" s="57"/>
      <c r="AP781" s="57"/>
      <c r="AQ781" s="57"/>
    </row>
    <row r="782" spans="2:43" ht="17.45" hidden="1" customHeight="1" outlineLevel="1" thickBot="1">
      <c r="B782" s="138" t="s">
        <v>94</v>
      </c>
      <c r="C782" s="111">
        <f>SUMIF($V$100:$V$113,B782,$L$100:$L$113)</f>
        <v>31855</v>
      </c>
      <c r="D782" s="111">
        <f>SUMIF($V$100:$V$113,B782,$M$100:$M$113)</f>
        <v>0</v>
      </c>
      <c r="E782" s="111">
        <f t="shared" si="1134"/>
        <v>31855</v>
      </c>
      <c r="F782" s="111">
        <f>SUMIF($V$100:$V$113,B782,$AZ$100:$AZ$113)</f>
        <v>1</v>
      </c>
      <c r="G782" s="111">
        <f t="shared" si="1135"/>
        <v>31.855</v>
      </c>
      <c r="H782" s="126">
        <f>SUMIF($V$100:$V$113,B782,$I$100:$I$113)</f>
        <v>4.90625</v>
      </c>
      <c r="I782" s="141">
        <f t="shared" si="1136"/>
        <v>4.90625</v>
      </c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57"/>
      <c r="AP782" s="57"/>
      <c r="AQ782" s="57"/>
    </row>
    <row r="783" spans="2:43" ht="17.45" hidden="1" customHeight="1" outlineLevel="1" thickBot="1">
      <c r="B783" s="113" t="s">
        <v>61</v>
      </c>
      <c r="C783" s="114">
        <f>SUM(C779:C782)</f>
        <v>76727</v>
      </c>
      <c r="D783" s="114">
        <f t="shared" ref="D783:F783" si="1137">SUM(D779:D782)</f>
        <v>131155</v>
      </c>
      <c r="E783" s="114">
        <f t="shared" si="1137"/>
        <v>207882</v>
      </c>
      <c r="F783" s="114">
        <f t="shared" si="1137"/>
        <v>4</v>
      </c>
      <c r="G783" s="114">
        <f>SUM(G779:G782)</f>
        <v>207.88199999999998</v>
      </c>
      <c r="H783" s="189">
        <f>SUM(H779:H782)</f>
        <v>16.181250000001455</v>
      </c>
      <c r="I783" s="191">
        <f>IFERROR(H783/F783,"")</f>
        <v>4.0453125000003638</v>
      </c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  <c r="AN783" s="57"/>
      <c r="AO783" s="57"/>
      <c r="AP783" s="57"/>
      <c r="AQ783" s="57"/>
    </row>
    <row r="784" spans="2:43" ht="17.45" hidden="1" customHeight="1" outlineLevel="1"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  <c r="AN784" s="57"/>
      <c r="AO784" s="57"/>
      <c r="AP784" s="57"/>
      <c r="AQ784" s="57"/>
    </row>
    <row r="785" spans="2:43" ht="17.45" customHeight="1" collapsed="1">
      <c r="B785" s="329" t="s">
        <v>262</v>
      </c>
      <c r="O785" s="122"/>
      <c r="P785" s="122"/>
      <c r="Q785" s="122"/>
      <c r="R785" s="123"/>
      <c r="S785" s="331"/>
      <c r="T785" s="124"/>
      <c r="U785" s="332"/>
      <c r="V785" s="332"/>
      <c r="W785" s="245"/>
      <c r="X785" s="245"/>
      <c r="Y785" s="333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  <c r="AN785" s="57"/>
      <c r="AO785" s="57"/>
      <c r="AP785" s="57"/>
      <c r="AQ785" s="57"/>
    </row>
    <row r="786" spans="2:43" ht="17.45" hidden="1" customHeight="1" outlineLevel="1">
      <c r="B786" s="1173" t="s">
        <v>51</v>
      </c>
      <c r="C786" s="1173"/>
      <c r="D786" s="1168" t="s">
        <v>52</v>
      </c>
      <c r="E786" s="1168"/>
      <c r="F786" s="1168"/>
      <c r="G786" s="1168" t="s">
        <v>53</v>
      </c>
      <c r="H786" s="1168"/>
      <c r="I786" s="1168"/>
      <c r="J786" s="1168" t="s">
        <v>54</v>
      </c>
      <c r="K786" s="1168"/>
      <c r="L786" s="1168"/>
      <c r="O786" s="1168" t="s">
        <v>71</v>
      </c>
      <c r="P786" s="1168" t="s">
        <v>72</v>
      </c>
      <c r="Q786" s="1168" t="s">
        <v>73</v>
      </c>
      <c r="R786" s="1168" t="s">
        <v>74</v>
      </c>
      <c r="S786" s="122"/>
      <c r="T786" s="1168" t="s">
        <v>71</v>
      </c>
      <c r="U786" s="1168" t="s">
        <v>72</v>
      </c>
      <c r="V786" s="1168" t="s">
        <v>73</v>
      </c>
      <c r="W786" s="1168" t="s">
        <v>74</v>
      </c>
      <c r="X786" s="1168" t="s">
        <v>75</v>
      </c>
      <c r="Y786" s="1169" t="str">
        <f>RIGHT(B785,3)&amp;" 목표(ST)"</f>
        <v xml:space="preserve"> 8월 목표(ST)</v>
      </c>
      <c r="Z786" s="1170" t="s">
        <v>111</v>
      </c>
    </row>
    <row r="787" spans="2:43" ht="17.45" hidden="1" customHeight="1" outlineLevel="1">
      <c r="B787" s="1173"/>
      <c r="C787" s="1173"/>
      <c r="D787" s="626" t="s">
        <v>55</v>
      </c>
      <c r="E787" s="626" t="s">
        <v>56</v>
      </c>
      <c r="F787" s="626" t="s">
        <v>57</v>
      </c>
      <c r="G787" s="626" t="s">
        <v>55</v>
      </c>
      <c r="H787" s="626" t="s">
        <v>56</v>
      </c>
      <c r="I787" s="626" t="s">
        <v>57</v>
      </c>
      <c r="J787" s="626" t="s">
        <v>55</v>
      </c>
      <c r="K787" s="626" t="s">
        <v>56</v>
      </c>
      <c r="L787" s="626" t="s">
        <v>57</v>
      </c>
      <c r="O787" s="1168"/>
      <c r="P787" s="1168"/>
      <c r="Q787" s="1168"/>
      <c r="R787" s="1168"/>
      <c r="S787" s="122"/>
      <c r="T787" s="1168"/>
      <c r="U787" s="1168"/>
      <c r="V787" s="1168"/>
      <c r="W787" s="1168"/>
      <c r="X787" s="1168"/>
      <c r="Y787" s="1168"/>
      <c r="Z787" s="1168"/>
      <c r="AN787" s="361"/>
      <c r="AO787" s="362" t="s">
        <v>156</v>
      </c>
      <c r="AP787" s="457"/>
    </row>
    <row r="788" spans="2:43" ht="17.45" hidden="1" customHeight="1" outlineLevel="1">
      <c r="B788" s="1171" t="s">
        <v>58</v>
      </c>
      <c r="C788" s="110" t="s">
        <v>179</v>
      </c>
      <c r="D788" s="111">
        <f t="shared" ref="D788:D793" si="1138">SUMIF($B$115:$B$136,C788,$L$115:$L$136)</f>
        <v>0</v>
      </c>
      <c r="E788" s="111">
        <f t="shared" ref="E788:E793" si="1139">SUMIF($B$115:$B$136,C788,$M$115:$M$136)</f>
        <v>0</v>
      </c>
      <c r="F788" s="111">
        <f>D788+E788</f>
        <v>0</v>
      </c>
      <c r="G788" s="112" t="str">
        <f>IFERROR(D788/F788,"")</f>
        <v/>
      </c>
      <c r="H788" s="112" t="str">
        <f>IFERROR(E788/F788,"")</f>
        <v/>
      </c>
      <c r="I788" s="112" t="str">
        <f t="shared" ref="I788:I793" si="1140">IFERROR(G788+H788,"")</f>
        <v/>
      </c>
      <c r="J788" s="111">
        <f t="shared" ref="J788:J793" si="1141">SUMIF($B$115:$B$136,C788,$AX$115:$AX$136)</f>
        <v>0</v>
      </c>
      <c r="K788" s="111">
        <f t="shared" ref="K788:K793" si="1142">SUMIF($B$115:$B$136,C788,$AY$115:$AY$136)</f>
        <v>0</v>
      </c>
      <c r="L788" s="111">
        <f>J788+K788</f>
        <v>0</v>
      </c>
      <c r="O788" s="125" t="str">
        <f>C788</f>
        <v>SGC에너지</v>
      </c>
      <c r="P788" s="126">
        <f t="shared" ref="P788:P793" si="1143">SUMIF($B$115:$B$136,O788,$I$115:$I$136)</f>
        <v>0</v>
      </c>
      <c r="Q788" s="111">
        <f t="shared" ref="Q788:Q793" si="1144">SUMIF($B$115:$B$136,O788,$AZ$115:$AZ$136)</f>
        <v>0</v>
      </c>
      <c r="R788" s="126" t="str">
        <f>IFERROR(P788/Q788,"")</f>
        <v/>
      </c>
      <c r="S788" s="122"/>
      <c r="T788" s="125" t="str">
        <f>O788</f>
        <v>SGC에너지</v>
      </c>
      <c r="U788" s="126">
        <f>P788</f>
        <v>0</v>
      </c>
      <c r="V788" s="111">
        <f>Q788</f>
        <v>0</v>
      </c>
      <c r="W788" s="127" t="str">
        <f>IFERROR(U788/V788,"")</f>
        <v/>
      </c>
      <c r="X788" s="148">
        <f>F788/1000</f>
        <v>0</v>
      </c>
      <c r="Y788" s="111"/>
      <c r="Z788" s="155" t="str">
        <f>IFERROR(IF(X788=0,"",X788/Y788),"")</f>
        <v/>
      </c>
      <c r="AN788" s="335"/>
      <c r="AO788" s="336">
        <f>X788-Y788</f>
        <v>0</v>
      </c>
      <c r="AP788" s="452"/>
    </row>
    <row r="789" spans="2:43" ht="17.45" hidden="1" customHeight="1" outlineLevel="1">
      <c r="B789" s="1172"/>
      <c r="C789" s="110" t="s">
        <v>59</v>
      </c>
      <c r="D789" s="111">
        <f t="shared" si="1138"/>
        <v>0</v>
      </c>
      <c r="E789" s="111">
        <f t="shared" si="1139"/>
        <v>0</v>
      </c>
      <c r="F789" s="111">
        <f t="shared" ref="F789:F793" si="1145">D789+E789</f>
        <v>0</v>
      </c>
      <c r="G789" s="112" t="str">
        <f t="shared" ref="G789:G811" si="1146">IFERROR(D789/F789,"")</f>
        <v/>
      </c>
      <c r="H789" s="112" t="str">
        <f t="shared" ref="H789:H793" si="1147">IFERROR(E789/F789,"")</f>
        <v/>
      </c>
      <c r="I789" s="112" t="str">
        <f t="shared" si="1140"/>
        <v/>
      </c>
      <c r="J789" s="111">
        <f t="shared" si="1141"/>
        <v>0</v>
      </c>
      <c r="K789" s="111">
        <f t="shared" si="1142"/>
        <v>0</v>
      </c>
      <c r="L789" s="111">
        <f t="shared" ref="L789:L793" si="1148">J789+K789</f>
        <v>0</v>
      </c>
      <c r="O789" s="125" t="str">
        <f t="shared" ref="O789:O793" si="1149">C789</f>
        <v>남동발전</v>
      </c>
      <c r="P789" s="126">
        <f t="shared" si="1143"/>
        <v>0</v>
      </c>
      <c r="Q789" s="111">
        <f t="shared" si="1144"/>
        <v>0</v>
      </c>
      <c r="R789" s="126" t="str">
        <f t="shared" ref="R789:R810" si="1150">IFERROR(P789/Q789,"")</f>
        <v/>
      </c>
      <c r="S789" s="122"/>
      <c r="T789" s="125" t="str">
        <f t="shared" ref="T789:V793" si="1151">O789</f>
        <v>남동발전</v>
      </c>
      <c r="U789" s="126">
        <f t="shared" si="1151"/>
        <v>0</v>
      </c>
      <c r="V789" s="111">
        <f t="shared" si="1151"/>
        <v>0</v>
      </c>
      <c r="W789" s="127" t="str">
        <f t="shared" ref="W789:W809" si="1152">IFERROR(U789/V789,"")</f>
        <v/>
      </c>
      <c r="X789" s="148">
        <f t="shared" ref="X789:X793" si="1153">F789/1000</f>
        <v>0</v>
      </c>
      <c r="Y789" s="111"/>
      <c r="Z789" s="155" t="str">
        <f t="shared" ref="Z789:Z803" si="1154">IFERROR(IF(X789=0,"",X789/Y789),"")</f>
        <v/>
      </c>
      <c r="AN789" s="335"/>
      <c r="AO789" s="336">
        <f t="shared" ref="AO789:AO793" si="1155">X789-Y789</f>
        <v>0</v>
      </c>
      <c r="AP789" s="452"/>
    </row>
    <row r="790" spans="2:43" ht="17.45" hidden="1" customHeight="1" outlineLevel="1">
      <c r="B790" s="1172"/>
      <c r="C790" s="110" t="s">
        <v>60</v>
      </c>
      <c r="D790" s="111">
        <f t="shared" si="1138"/>
        <v>0</v>
      </c>
      <c r="E790" s="111">
        <f t="shared" si="1139"/>
        <v>0</v>
      </c>
      <c r="F790" s="111">
        <f t="shared" si="1145"/>
        <v>0</v>
      </c>
      <c r="G790" s="112" t="str">
        <f t="shared" si="1146"/>
        <v/>
      </c>
      <c r="H790" s="112" t="str">
        <f t="shared" si="1147"/>
        <v/>
      </c>
      <c r="I790" s="112" t="str">
        <f t="shared" si="1140"/>
        <v/>
      </c>
      <c r="J790" s="111">
        <f t="shared" si="1141"/>
        <v>0</v>
      </c>
      <c r="K790" s="111">
        <f t="shared" si="1142"/>
        <v>0</v>
      </c>
      <c r="L790" s="111">
        <f t="shared" si="1148"/>
        <v>0</v>
      </c>
      <c r="O790" s="125" t="str">
        <f t="shared" si="1149"/>
        <v>동서발전</v>
      </c>
      <c r="P790" s="126">
        <f t="shared" si="1143"/>
        <v>0</v>
      </c>
      <c r="Q790" s="111">
        <f t="shared" si="1144"/>
        <v>0</v>
      </c>
      <c r="R790" s="126" t="str">
        <f t="shared" si="1150"/>
        <v/>
      </c>
      <c r="S790" s="122"/>
      <c r="T790" s="125" t="str">
        <f t="shared" si="1151"/>
        <v>동서발전</v>
      </c>
      <c r="U790" s="126">
        <f t="shared" si="1151"/>
        <v>0</v>
      </c>
      <c r="V790" s="111">
        <f t="shared" si="1151"/>
        <v>0</v>
      </c>
      <c r="W790" s="127" t="str">
        <f t="shared" si="1152"/>
        <v/>
      </c>
      <c r="X790" s="148">
        <f t="shared" si="1153"/>
        <v>0</v>
      </c>
      <c r="Y790" s="111"/>
      <c r="Z790" s="155" t="str">
        <f t="shared" si="1154"/>
        <v/>
      </c>
      <c r="AN790" s="335"/>
      <c r="AO790" s="336">
        <f t="shared" si="1155"/>
        <v>0</v>
      </c>
      <c r="AP790" s="452"/>
    </row>
    <row r="791" spans="2:43" ht="17.45" hidden="1" customHeight="1" outlineLevel="1">
      <c r="B791" s="1172"/>
      <c r="C791" s="110" t="s">
        <v>159</v>
      </c>
      <c r="D791" s="111">
        <f t="shared" si="1138"/>
        <v>0</v>
      </c>
      <c r="E791" s="111">
        <f t="shared" si="1139"/>
        <v>0</v>
      </c>
      <c r="F791" s="111">
        <f t="shared" si="1145"/>
        <v>0</v>
      </c>
      <c r="G791" s="112" t="str">
        <f t="shared" si="1146"/>
        <v/>
      </c>
      <c r="H791" s="112" t="str">
        <f t="shared" si="1147"/>
        <v/>
      </c>
      <c r="I791" s="112" t="str">
        <f t="shared" si="1140"/>
        <v/>
      </c>
      <c r="J791" s="111">
        <f t="shared" si="1141"/>
        <v>0</v>
      </c>
      <c r="K791" s="111">
        <f t="shared" si="1142"/>
        <v>0</v>
      </c>
      <c r="L791" s="111">
        <f t="shared" si="1148"/>
        <v>0</v>
      </c>
      <c r="O791" s="125" t="str">
        <f t="shared" si="1149"/>
        <v>미쓰이</v>
      </c>
      <c r="P791" s="126">
        <f t="shared" si="1143"/>
        <v>0</v>
      </c>
      <c r="Q791" s="111">
        <f t="shared" si="1144"/>
        <v>0</v>
      </c>
      <c r="R791" s="126" t="str">
        <f t="shared" si="1150"/>
        <v/>
      </c>
      <c r="S791" s="122"/>
      <c r="T791" s="125" t="str">
        <f t="shared" si="1151"/>
        <v>미쓰이</v>
      </c>
      <c r="U791" s="126">
        <f t="shared" si="1151"/>
        <v>0</v>
      </c>
      <c r="V791" s="111">
        <f t="shared" si="1151"/>
        <v>0</v>
      </c>
      <c r="W791" s="127" t="str">
        <f t="shared" si="1152"/>
        <v/>
      </c>
      <c r="X791" s="148">
        <f t="shared" si="1153"/>
        <v>0</v>
      </c>
      <c r="Y791" s="111"/>
      <c r="Z791" s="155" t="str">
        <f t="shared" si="1154"/>
        <v/>
      </c>
      <c r="AN791" s="335"/>
      <c r="AO791" s="336">
        <f t="shared" si="1155"/>
        <v>0</v>
      </c>
      <c r="AP791" s="452"/>
    </row>
    <row r="792" spans="2:43" ht="17.45" hidden="1" customHeight="1" outlineLevel="1">
      <c r="B792" s="1172"/>
      <c r="C792" s="110" t="s">
        <v>168</v>
      </c>
      <c r="D792" s="111">
        <f t="shared" si="1138"/>
        <v>0</v>
      </c>
      <c r="E792" s="111">
        <f t="shared" si="1139"/>
        <v>0</v>
      </c>
      <c r="F792" s="111">
        <f t="shared" si="1145"/>
        <v>0</v>
      </c>
      <c r="G792" s="112" t="str">
        <f t="shared" si="1146"/>
        <v/>
      </c>
      <c r="H792" s="112" t="str">
        <f t="shared" si="1147"/>
        <v/>
      </c>
      <c r="I792" s="112" t="str">
        <f t="shared" si="1140"/>
        <v/>
      </c>
      <c r="J792" s="111">
        <f t="shared" si="1141"/>
        <v>0</v>
      </c>
      <c r="K792" s="111">
        <f t="shared" si="1142"/>
        <v>0</v>
      </c>
      <c r="L792" s="111">
        <f t="shared" si="1148"/>
        <v>0</v>
      </c>
      <c r="O792" s="125" t="str">
        <f t="shared" si="1149"/>
        <v>포스코인터</v>
      </c>
      <c r="P792" s="126">
        <f t="shared" si="1143"/>
        <v>0</v>
      </c>
      <c r="Q792" s="111">
        <f t="shared" si="1144"/>
        <v>0</v>
      </c>
      <c r="R792" s="126" t="str">
        <f t="shared" si="1150"/>
        <v/>
      </c>
      <c r="S792" s="122"/>
      <c r="T792" s="125" t="str">
        <f t="shared" si="1151"/>
        <v>포스코인터</v>
      </c>
      <c r="U792" s="126">
        <f t="shared" si="1151"/>
        <v>0</v>
      </c>
      <c r="V792" s="111">
        <f t="shared" si="1151"/>
        <v>0</v>
      </c>
      <c r="W792" s="127" t="str">
        <f t="shared" si="1152"/>
        <v/>
      </c>
      <c r="X792" s="148">
        <f t="shared" si="1153"/>
        <v>0</v>
      </c>
      <c r="Y792" s="111"/>
      <c r="Z792" s="155" t="str">
        <f t="shared" si="1154"/>
        <v/>
      </c>
      <c r="AN792" s="335"/>
      <c r="AO792" s="336">
        <f t="shared" si="1155"/>
        <v>0</v>
      </c>
      <c r="AP792" s="452"/>
    </row>
    <row r="793" spans="2:43" ht="17.45" hidden="1" customHeight="1" outlineLevel="1">
      <c r="B793" s="1172"/>
      <c r="C793" s="110" t="s">
        <v>154</v>
      </c>
      <c r="D793" s="111">
        <f t="shared" si="1138"/>
        <v>0</v>
      </c>
      <c r="E793" s="111">
        <f t="shared" si="1139"/>
        <v>0</v>
      </c>
      <c r="F793" s="111">
        <f t="shared" si="1145"/>
        <v>0</v>
      </c>
      <c r="G793" s="112" t="str">
        <f t="shared" si="1146"/>
        <v/>
      </c>
      <c r="H793" s="112" t="str">
        <f t="shared" si="1147"/>
        <v/>
      </c>
      <c r="I793" s="112" t="str">
        <f t="shared" si="1140"/>
        <v/>
      </c>
      <c r="J793" s="111">
        <f t="shared" si="1141"/>
        <v>0</v>
      </c>
      <c r="K793" s="111">
        <f t="shared" si="1142"/>
        <v>0</v>
      </c>
      <c r="L793" s="111">
        <f t="shared" si="1148"/>
        <v>0</v>
      </c>
      <c r="O793" s="125" t="str">
        <f t="shared" si="1149"/>
        <v>이노샌드</v>
      </c>
      <c r="P793" s="126">
        <f t="shared" si="1143"/>
        <v>0</v>
      </c>
      <c r="Q793" s="111">
        <f t="shared" si="1144"/>
        <v>0</v>
      </c>
      <c r="R793" s="126" t="str">
        <f t="shared" si="1150"/>
        <v/>
      </c>
      <c r="S793" s="122"/>
      <c r="T793" s="125" t="str">
        <f t="shared" si="1151"/>
        <v>이노샌드</v>
      </c>
      <c r="U793" s="126">
        <f t="shared" si="1151"/>
        <v>0</v>
      </c>
      <c r="V793" s="111">
        <f t="shared" si="1151"/>
        <v>0</v>
      </c>
      <c r="W793" s="127" t="str">
        <f t="shared" si="1152"/>
        <v/>
      </c>
      <c r="X793" s="148">
        <f t="shared" si="1153"/>
        <v>0</v>
      </c>
      <c r="Y793" s="111"/>
      <c r="Z793" s="155" t="str">
        <f t="shared" si="1154"/>
        <v/>
      </c>
      <c r="AN793" s="335"/>
      <c r="AO793" s="336">
        <f t="shared" si="1155"/>
        <v>0</v>
      </c>
      <c r="AP793" s="452"/>
      <c r="AQ793" s="337"/>
    </row>
    <row r="794" spans="2:43" ht="17.45" hidden="1" customHeight="1" outlineLevel="1">
      <c r="B794" s="1172"/>
      <c r="C794" s="113" t="s">
        <v>61</v>
      </c>
      <c r="D794" s="114">
        <f>SUM(D788:D793)</f>
        <v>0</v>
      </c>
      <c r="E794" s="114">
        <f>SUM(E788:E793)</f>
        <v>0</v>
      </c>
      <c r="F794" s="114">
        <f>SUM(F788:F793)</f>
        <v>0</v>
      </c>
      <c r="G794" s="115" t="str">
        <f t="shared" si="1146"/>
        <v/>
      </c>
      <c r="H794" s="115" t="str">
        <f>IFERROR(E794/F794,"")</f>
        <v/>
      </c>
      <c r="I794" s="115" t="str">
        <f>IFERROR(G794+H794,"")</f>
        <v/>
      </c>
      <c r="J794" s="114">
        <f t="shared" ref="J794:L794" si="1156">SUM(J788:J793)</f>
        <v>0</v>
      </c>
      <c r="K794" s="114">
        <f t="shared" si="1156"/>
        <v>0</v>
      </c>
      <c r="L794" s="114">
        <f t="shared" si="1156"/>
        <v>0</v>
      </c>
      <c r="O794" s="128" t="s">
        <v>61</v>
      </c>
      <c r="P794" s="129">
        <f>SUM(P788:P793)</f>
        <v>0</v>
      </c>
      <c r="Q794" s="114">
        <f>SUM(Q788:Q793)</f>
        <v>0</v>
      </c>
      <c r="R794" s="129" t="str">
        <f t="shared" si="1150"/>
        <v/>
      </c>
      <c r="S794" s="122"/>
      <c r="T794" s="128" t="s">
        <v>61</v>
      </c>
      <c r="U794" s="129">
        <f>SUM(U788:U793)</f>
        <v>0</v>
      </c>
      <c r="V794" s="114">
        <f>SUM(V788:V793)</f>
        <v>0</v>
      </c>
      <c r="W794" s="129" t="str">
        <f t="shared" si="1152"/>
        <v/>
      </c>
      <c r="X794" s="114">
        <f>SUM(X788:X793)</f>
        <v>0</v>
      </c>
      <c r="Y794" s="114">
        <f>SUM(Y788:Y793)</f>
        <v>0</v>
      </c>
      <c r="Z794" s="156" t="str">
        <f t="shared" si="1154"/>
        <v/>
      </c>
      <c r="AN794" s="338">
        <f>SUM(AN788:AN793)</f>
        <v>0</v>
      </c>
      <c r="AO794" s="338">
        <f>SUM(AO788:AO793)</f>
        <v>0</v>
      </c>
      <c r="AP794" s="453"/>
    </row>
    <row r="795" spans="2:43" ht="17.45" hidden="1" customHeight="1" outlineLevel="1">
      <c r="B795" s="1171" t="s">
        <v>62</v>
      </c>
      <c r="C795" s="110" t="s">
        <v>222</v>
      </c>
      <c r="D795" s="111">
        <f t="shared" ref="D795:D809" si="1157">SUMIF($B$115:$B$136,C795,$L$115:$L$136)</f>
        <v>0</v>
      </c>
      <c r="E795" s="111">
        <f t="shared" ref="E795:E809" si="1158">SUMIF($B$115:$B$136,C795,$M$115:$M$136)</f>
        <v>0</v>
      </c>
      <c r="F795" s="111">
        <f t="shared" ref="F795:F809" si="1159">D795+E795</f>
        <v>0</v>
      </c>
      <c r="G795" s="112" t="str">
        <f t="shared" si="1146"/>
        <v/>
      </c>
      <c r="H795" s="112" t="str">
        <f t="shared" ref="H795:H809" si="1160">IFERROR(E795/F795,"")</f>
        <v/>
      </c>
      <c r="I795" s="112" t="str">
        <f t="shared" ref="I795:I809" si="1161">IFERROR(G795+H795,"")</f>
        <v/>
      </c>
      <c r="J795" s="111">
        <f t="shared" ref="J795:J809" si="1162">SUMIF($B$115:$B$136,C795,$AX$115:$AX$136)</f>
        <v>0</v>
      </c>
      <c r="K795" s="111">
        <f t="shared" ref="K795:K809" si="1163">SUMIF($B$115:$B$136,C795,$AY$115:$AY$136)</f>
        <v>0</v>
      </c>
      <c r="L795" s="111">
        <f t="shared" ref="L795:L809" si="1164">J795+K795</f>
        <v>0</v>
      </c>
      <c r="O795" s="125" t="str">
        <f>C795</f>
        <v>태경비케이</v>
      </c>
      <c r="P795" s="126">
        <f t="shared" ref="P795:P809" si="1165">SUMIF($B$115:$B$136,O795,$I$115:$I$136)</f>
        <v>0</v>
      </c>
      <c r="Q795" s="111">
        <f t="shared" ref="Q795:Q809" si="1166">SUMIF($B$115:$B$136,O795,$AZ$115:$AZ$136)</f>
        <v>0</v>
      </c>
      <c r="R795" s="126" t="str">
        <f t="shared" si="1150"/>
        <v/>
      </c>
      <c r="S795" s="122"/>
      <c r="T795" s="125" t="str">
        <f t="shared" ref="T795:V809" si="1167">O795</f>
        <v>태경비케이</v>
      </c>
      <c r="U795" s="126">
        <f t="shared" si="1167"/>
        <v>0</v>
      </c>
      <c r="V795" s="111">
        <f t="shared" si="1167"/>
        <v>0</v>
      </c>
      <c r="W795" s="127" t="str">
        <f t="shared" si="1152"/>
        <v/>
      </c>
      <c r="X795" s="148">
        <f t="shared" ref="X795:X809" si="1168">F795/1000</f>
        <v>0</v>
      </c>
      <c r="Y795" s="111"/>
      <c r="Z795" s="155" t="str">
        <f t="shared" si="1154"/>
        <v/>
      </c>
      <c r="AN795" s="335"/>
      <c r="AO795" s="336">
        <f>X795-Y795</f>
        <v>0</v>
      </c>
      <c r="AP795" s="452"/>
    </row>
    <row r="796" spans="2:43" ht="17.45" hidden="1" customHeight="1" outlineLevel="1">
      <c r="B796" s="1172"/>
      <c r="C796" s="110" t="s">
        <v>78</v>
      </c>
      <c r="D796" s="111">
        <f t="shared" si="1157"/>
        <v>0</v>
      </c>
      <c r="E796" s="111">
        <f t="shared" si="1158"/>
        <v>0</v>
      </c>
      <c r="F796" s="111">
        <f t="shared" si="1159"/>
        <v>0</v>
      </c>
      <c r="G796" s="112" t="str">
        <f t="shared" si="1146"/>
        <v/>
      </c>
      <c r="H796" s="112" t="str">
        <f t="shared" si="1160"/>
        <v/>
      </c>
      <c r="I796" s="112" t="str">
        <f t="shared" si="1161"/>
        <v/>
      </c>
      <c r="J796" s="111">
        <f t="shared" si="1162"/>
        <v>0</v>
      </c>
      <c r="K796" s="111">
        <f t="shared" si="1163"/>
        <v>0</v>
      </c>
      <c r="L796" s="111">
        <f t="shared" si="1164"/>
        <v>0</v>
      </c>
      <c r="O796" s="125" t="str">
        <f t="shared" ref="O796:O809" si="1169">C796</f>
        <v>삼영산업</v>
      </c>
      <c r="P796" s="126">
        <f t="shared" si="1165"/>
        <v>0</v>
      </c>
      <c r="Q796" s="111">
        <f t="shared" si="1166"/>
        <v>0</v>
      </c>
      <c r="R796" s="126" t="str">
        <f t="shared" si="1150"/>
        <v/>
      </c>
      <c r="S796" s="122"/>
      <c r="T796" s="125" t="str">
        <f t="shared" si="1167"/>
        <v>삼영산업</v>
      </c>
      <c r="U796" s="126">
        <f t="shared" si="1167"/>
        <v>0</v>
      </c>
      <c r="V796" s="111">
        <f t="shared" si="1167"/>
        <v>0</v>
      </c>
      <c r="W796" s="127" t="str">
        <f t="shared" si="1152"/>
        <v/>
      </c>
      <c r="X796" s="148">
        <f t="shared" si="1168"/>
        <v>0</v>
      </c>
      <c r="Y796" s="111"/>
      <c r="Z796" s="155" t="str">
        <f t="shared" si="1154"/>
        <v/>
      </c>
      <c r="AN796" s="335"/>
      <c r="AO796" s="336">
        <f t="shared" ref="AO796:AO797" si="1170">X796-Y796</f>
        <v>0</v>
      </c>
      <c r="AP796" s="452"/>
    </row>
    <row r="797" spans="2:43" ht="17.45" hidden="1" customHeight="1" outlineLevel="1">
      <c r="B797" s="1172"/>
      <c r="C797" s="110" t="s">
        <v>176</v>
      </c>
      <c r="D797" s="111">
        <f t="shared" si="1157"/>
        <v>0</v>
      </c>
      <c r="E797" s="111">
        <f t="shared" si="1158"/>
        <v>0</v>
      </c>
      <c r="F797" s="111">
        <f t="shared" si="1159"/>
        <v>0</v>
      </c>
      <c r="G797" s="112" t="str">
        <f t="shared" si="1146"/>
        <v/>
      </c>
      <c r="H797" s="112" t="str">
        <f t="shared" si="1160"/>
        <v/>
      </c>
      <c r="I797" s="112" t="str">
        <f t="shared" si="1161"/>
        <v/>
      </c>
      <c r="J797" s="111">
        <f t="shared" si="1162"/>
        <v>0</v>
      </c>
      <c r="K797" s="111">
        <f t="shared" si="1163"/>
        <v>0</v>
      </c>
      <c r="L797" s="111">
        <f t="shared" si="1164"/>
        <v>0</v>
      </c>
      <c r="O797" s="125" t="str">
        <f t="shared" si="1169"/>
        <v>고려시멘트</v>
      </c>
      <c r="P797" s="126">
        <f t="shared" si="1165"/>
        <v>0</v>
      </c>
      <c r="Q797" s="111">
        <f t="shared" si="1166"/>
        <v>0</v>
      </c>
      <c r="R797" s="126" t="str">
        <f t="shared" si="1150"/>
        <v/>
      </c>
      <c r="S797" s="122"/>
      <c r="T797" s="125" t="str">
        <f t="shared" si="1167"/>
        <v>고려시멘트</v>
      </c>
      <c r="U797" s="126">
        <f t="shared" si="1167"/>
        <v>0</v>
      </c>
      <c r="V797" s="111">
        <f t="shared" si="1167"/>
        <v>0</v>
      </c>
      <c r="W797" s="127" t="str">
        <f t="shared" si="1152"/>
        <v/>
      </c>
      <c r="X797" s="148">
        <f t="shared" si="1168"/>
        <v>0</v>
      </c>
      <c r="Y797" s="111"/>
      <c r="Z797" s="155" t="str">
        <f t="shared" si="1154"/>
        <v/>
      </c>
      <c r="AN797" s="335"/>
      <c r="AO797" s="336">
        <f t="shared" si="1170"/>
        <v>0</v>
      </c>
      <c r="AP797" s="452"/>
    </row>
    <row r="798" spans="2:43" ht="17.45" hidden="1" customHeight="1" outlineLevel="1">
      <c r="B798" s="1172"/>
      <c r="C798" s="110" t="s">
        <v>63</v>
      </c>
      <c r="D798" s="111">
        <f t="shared" si="1157"/>
        <v>0</v>
      </c>
      <c r="E798" s="111">
        <f t="shared" si="1158"/>
        <v>0</v>
      </c>
      <c r="F798" s="111">
        <f t="shared" si="1159"/>
        <v>0</v>
      </c>
      <c r="G798" s="112" t="str">
        <f t="shared" si="1146"/>
        <v/>
      </c>
      <c r="H798" s="112" t="str">
        <f t="shared" si="1160"/>
        <v/>
      </c>
      <c r="I798" s="112" t="str">
        <f t="shared" si="1161"/>
        <v/>
      </c>
      <c r="J798" s="111">
        <f t="shared" si="1162"/>
        <v>0</v>
      </c>
      <c r="K798" s="111">
        <f t="shared" si="1163"/>
        <v>0</v>
      </c>
      <c r="L798" s="111">
        <f t="shared" si="1164"/>
        <v>0</v>
      </c>
      <c r="O798" s="125" t="str">
        <f t="shared" si="1169"/>
        <v>청해실업</v>
      </c>
      <c r="P798" s="126">
        <f t="shared" si="1165"/>
        <v>0</v>
      </c>
      <c r="Q798" s="111">
        <f t="shared" si="1166"/>
        <v>0</v>
      </c>
      <c r="R798" s="126" t="str">
        <f t="shared" si="1150"/>
        <v/>
      </c>
      <c r="S798" s="122"/>
      <c r="T798" s="125" t="str">
        <f t="shared" si="1167"/>
        <v>청해실업</v>
      </c>
      <c r="U798" s="126">
        <f t="shared" si="1167"/>
        <v>0</v>
      </c>
      <c r="V798" s="111">
        <f t="shared" si="1167"/>
        <v>0</v>
      </c>
      <c r="W798" s="127" t="str">
        <f t="shared" si="1152"/>
        <v/>
      </c>
      <c r="X798" s="148">
        <f t="shared" si="1168"/>
        <v>0</v>
      </c>
      <c r="Y798" s="111"/>
      <c r="Z798" s="155" t="str">
        <f t="shared" si="1154"/>
        <v/>
      </c>
      <c r="AN798" s="339"/>
      <c r="AO798" s="340">
        <f t="shared" ref="AO798" si="1171">X798-AN798</f>
        <v>0</v>
      </c>
      <c r="AP798" s="454"/>
      <c r="AQ798" s="240" t="s">
        <v>30</v>
      </c>
    </row>
    <row r="799" spans="2:43" ht="17.45" hidden="1" customHeight="1" outlineLevel="1">
      <c r="B799" s="1172"/>
      <c r="C799" s="110" t="s">
        <v>64</v>
      </c>
      <c r="D799" s="111">
        <f t="shared" si="1157"/>
        <v>0</v>
      </c>
      <c r="E799" s="111">
        <f t="shared" si="1158"/>
        <v>0</v>
      </c>
      <c r="F799" s="111">
        <f t="shared" si="1159"/>
        <v>0</v>
      </c>
      <c r="G799" s="112" t="str">
        <f t="shared" si="1146"/>
        <v/>
      </c>
      <c r="H799" s="112" t="str">
        <f t="shared" si="1160"/>
        <v/>
      </c>
      <c r="I799" s="112" t="str">
        <f t="shared" si="1161"/>
        <v/>
      </c>
      <c r="J799" s="111">
        <f t="shared" si="1162"/>
        <v>0</v>
      </c>
      <c r="K799" s="111">
        <f t="shared" si="1163"/>
        <v>0</v>
      </c>
      <c r="L799" s="111">
        <f t="shared" si="1164"/>
        <v>0</v>
      </c>
      <c r="O799" s="125" t="str">
        <f t="shared" si="1169"/>
        <v>한화에너지</v>
      </c>
      <c r="P799" s="126">
        <f t="shared" si="1165"/>
        <v>0</v>
      </c>
      <c r="Q799" s="111">
        <f t="shared" si="1166"/>
        <v>0</v>
      </c>
      <c r="R799" s="126" t="str">
        <f t="shared" si="1150"/>
        <v/>
      </c>
      <c r="S799" s="122"/>
      <c r="T799" s="125" t="str">
        <f t="shared" si="1167"/>
        <v>한화에너지</v>
      </c>
      <c r="U799" s="126">
        <f t="shared" si="1167"/>
        <v>0</v>
      </c>
      <c r="V799" s="111">
        <f t="shared" si="1167"/>
        <v>0</v>
      </c>
      <c r="W799" s="127" t="str">
        <f t="shared" si="1152"/>
        <v/>
      </c>
      <c r="X799" s="148">
        <f t="shared" si="1168"/>
        <v>0</v>
      </c>
      <c r="Y799" s="111"/>
      <c r="Z799" s="155" t="str">
        <f t="shared" si="1154"/>
        <v/>
      </c>
      <c r="AN799" s="335"/>
      <c r="AO799" s="336">
        <f t="shared" ref="AO799:AO809" si="1172">X799-Y799</f>
        <v>0</v>
      </c>
      <c r="AP799" s="452"/>
    </row>
    <row r="800" spans="2:43" ht="17.45" hidden="1" customHeight="1" outlineLevel="1">
      <c r="B800" s="1172"/>
      <c r="C800" s="110" t="s">
        <v>178</v>
      </c>
      <c r="D800" s="111">
        <f t="shared" si="1157"/>
        <v>0</v>
      </c>
      <c r="E800" s="111">
        <f t="shared" si="1158"/>
        <v>0</v>
      </c>
      <c r="F800" s="111">
        <f t="shared" si="1159"/>
        <v>0</v>
      </c>
      <c r="G800" s="112" t="str">
        <f t="shared" si="1146"/>
        <v/>
      </c>
      <c r="H800" s="112" t="str">
        <f t="shared" si="1160"/>
        <v/>
      </c>
      <c r="I800" s="112" t="str">
        <f t="shared" si="1161"/>
        <v/>
      </c>
      <c r="J800" s="111">
        <f t="shared" si="1162"/>
        <v>0</v>
      </c>
      <c r="K800" s="111">
        <f t="shared" si="1163"/>
        <v>0</v>
      </c>
      <c r="L800" s="111">
        <f t="shared" si="1164"/>
        <v>0</v>
      </c>
      <c r="O800" s="125" t="str">
        <f t="shared" si="1169"/>
        <v>금호석유화학</v>
      </c>
      <c r="P800" s="126">
        <f t="shared" si="1165"/>
        <v>0</v>
      </c>
      <c r="Q800" s="111">
        <f t="shared" si="1166"/>
        <v>0</v>
      </c>
      <c r="R800" s="126" t="str">
        <f t="shared" si="1150"/>
        <v/>
      </c>
      <c r="S800" s="122"/>
      <c r="T800" s="125" t="str">
        <f t="shared" si="1167"/>
        <v>금호석유화학</v>
      </c>
      <c r="U800" s="126">
        <f t="shared" si="1167"/>
        <v>0</v>
      </c>
      <c r="V800" s="111">
        <f t="shared" si="1167"/>
        <v>0</v>
      </c>
      <c r="W800" s="127" t="str">
        <f t="shared" si="1152"/>
        <v/>
      </c>
      <c r="X800" s="148">
        <f t="shared" si="1168"/>
        <v>0</v>
      </c>
      <c r="Y800" s="111"/>
      <c r="Z800" s="155" t="str">
        <f t="shared" si="1154"/>
        <v/>
      </c>
      <c r="AN800" s="335"/>
      <c r="AO800" s="336">
        <f t="shared" si="1172"/>
        <v>0</v>
      </c>
      <c r="AP800" s="452"/>
    </row>
    <row r="801" spans="2:43" ht="17.45" hidden="1" customHeight="1" outlineLevel="1">
      <c r="B801" s="1172"/>
      <c r="C801" s="110" t="s">
        <v>65</v>
      </c>
      <c r="D801" s="111">
        <f t="shared" si="1157"/>
        <v>0</v>
      </c>
      <c r="E801" s="111">
        <f t="shared" si="1158"/>
        <v>0</v>
      </c>
      <c r="F801" s="111">
        <f t="shared" si="1159"/>
        <v>0</v>
      </c>
      <c r="G801" s="112" t="str">
        <f t="shared" si="1146"/>
        <v/>
      </c>
      <c r="H801" s="112" t="str">
        <f t="shared" si="1160"/>
        <v/>
      </c>
      <c r="I801" s="112" t="str">
        <f t="shared" si="1161"/>
        <v/>
      </c>
      <c r="J801" s="111">
        <f t="shared" si="1162"/>
        <v>0</v>
      </c>
      <c r="K801" s="111">
        <f t="shared" si="1163"/>
        <v>0</v>
      </c>
      <c r="L801" s="111">
        <f t="shared" si="1164"/>
        <v>0</v>
      </c>
      <c r="O801" s="125" t="str">
        <f t="shared" si="1169"/>
        <v>LG상사</v>
      </c>
      <c r="P801" s="126">
        <f t="shared" si="1165"/>
        <v>0</v>
      </c>
      <c r="Q801" s="111">
        <f t="shared" si="1166"/>
        <v>0</v>
      </c>
      <c r="R801" s="126" t="str">
        <f t="shared" si="1150"/>
        <v/>
      </c>
      <c r="S801" s="122"/>
      <c r="T801" s="125" t="str">
        <f t="shared" si="1167"/>
        <v>LG상사</v>
      </c>
      <c r="U801" s="126">
        <f t="shared" si="1167"/>
        <v>0</v>
      </c>
      <c r="V801" s="111">
        <f t="shared" si="1167"/>
        <v>0</v>
      </c>
      <c r="W801" s="127" t="str">
        <f t="shared" si="1152"/>
        <v/>
      </c>
      <c r="X801" s="148">
        <f t="shared" si="1168"/>
        <v>0</v>
      </c>
      <c r="Y801" s="111"/>
      <c r="Z801" s="155" t="str">
        <f t="shared" si="1154"/>
        <v/>
      </c>
      <c r="AN801" s="335"/>
      <c r="AO801" s="336">
        <f t="shared" si="1172"/>
        <v>0</v>
      </c>
      <c r="AP801" s="452"/>
    </row>
    <row r="802" spans="2:43" ht="17.45" hidden="1" customHeight="1" outlineLevel="1">
      <c r="B802" s="1172"/>
      <c r="C802" s="110" t="s">
        <v>66</v>
      </c>
      <c r="D802" s="111">
        <f t="shared" si="1157"/>
        <v>0</v>
      </c>
      <c r="E802" s="111">
        <f t="shared" si="1158"/>
        <v>0</v>
      </c>
      <c r="F802" s="111">
        <f t="shared" si="1159"/>
        <v>0</v>
      </c>
      <c r="G802" s="112" t="str">
        <f t="shared" si="1146"/>
        <v/>
      </c>
      <c r="H802" s="112" t="str">
        <f t="shared" si="1160"/>
        <v/>
      </c>
      <c r="I802" s="112" t="str">
        <f t="shared" si="1161"/>
        <v/>
      </c>
      <c r="J802" s="111">
        <f t="shared" si="1162"/>
        <v>0</v>
      </c>
      <c r="K802" s="111">
        <f t="shared" si="1163"/>
        <v>0</v>
      </c>
      <c r="L802" s="111">
        <f t="shared" si="1164"/>
        <v>0</v>
      </c>
      <c r="O802" s="125" t="str">
        <f t="shared" si="1169"/>
        <v>LG화학</v>
      </c>
      <c r="P802" s="126">
        <f t="shared" si="1165"/>
        <v>0</v>
      </c>
      <c r="Q802" s="111">
        <f t="shared" si="1166"/>
        <v>0</v>
      </c>
      <c r="R802" s="126" t="str">
        <f t="shared" si="1150"/>
        <v/>
      </c>
      <c r="S802" s="122"/>
      <c r="T802" s="125" t="str">
        <f t="shared" si="1167"/>
        <v>LG화학</v>
      </c>
      <c r="U802" s="126">
        <f t="shared" si="1167"/>
        <v>0</v>
      </c>
      <c r="V802" s="111">
        <f t="shared" si="1167"/>
        <v>0</v>
      </c>
      <c r="W802" s="127" t="str">
        <f t="shared" si="1152"/>
        <v/>
      </c>
      <c r="X802" s="148">
        <f t="shared" si="1168"/>
        <v>0</v>
      </c>
      <c r="Y802" s="111"/>
      <c r="Z802" s="155" t="str">
        <f t="shared" si="1154"/>
        <v/>
      </c>
      <c r="AN802" s="335"/>
      <c r="AO802" s="336">
        <f t="shared" si="1172"/>
        <v>0</v>
      </c>
      <c r="AP802" s="452"/>
    </row>
    <row r="803" spans="2:43" ht="17.45" hidden="1" customHeight="1" outlineLevel="1">
      <c r="B803" s="1172"/>
      <c r="C803" s="110" t="s">
        <v>67</v>
      </c>
      <c r="D803" s="111">
        <f t="shared" si="1157"/>
        <v>0</v>
      </c>
      <c r="E803" s="111">
        <f t="shared" si="1158"/>
        <v>0</v>
      </c>
      <c r="F803" s="111">
        <f t="shared" si="1159"/>
        <v>0</v>
      </c>
      <c r="G803" s="112" t="str">
        <f t="shared" si="1146"/>
        <v/>
      </c>
      <c r="H803" s="112" t="str">
        <f t="shared" si="1160"/>
        <v/>
      </c>
      <c r="I803" s="112" t="str">
        <f t="shared" si="1161"/>
        <v/>
      </c>
      <c r="J803" s="111">
        <f t="shared" si="1162"/>
        <v>0</v>
      </c>
      <c r="K803" s="111">
        <f t="shared" si="1163"/>
        <v>0</v>
      </c>
      <c r="L803" s="111">
        <f t="shared" si="1164"/>
        <v>0</v>
      </c>
      <c r="O803" s="125" t="str">
        <f t="shared" si="1169"/>
        <v>OCI SE</v>
      </c>
      <c r="P803" s="126">
        <f t="shared" si="1165"/>
        <v>0</v>
      </c>
      <c r="Q803" s="111">
        <f t="shared" si="1166"/>
        <v>0</v>
      </c>
      <c r="R803" s="126" t="str">
        <f t="shared" si="1150"/>
        <v/>
      </c>
      <c r="S803" s="122"/>
      <c r="T803" s="125" t="str">
        <f t="shared" si="1167"/>
        <v>OCI SE</v>
      </c>
      <c r="U803" s="126">
        <f t="shared" si="1167"/>
        <v>0</v>
      </c>
      <c r="V803" s="111">
        <f t="shared" si="1167"/>
        <v>0</v>
      </c>
      <c r="W803" s="127" t="str">
        <f t="shared" si="1152"/>
        <v/>
      </c>
      <c r="X803" s="148">
        <f t="shared" si="1168"/>
        <v>0</v>
      </c>
      <c r="Y803" s="111"/>
      <c r="Z803" s="155" t="str">
        <f t="shared" si="1154"/>
        <v/>
      </c>
      <c r="AN803" s="335"/>
      <c r="AO803" s="336">
        <f t="shared" si="1172"/>
        <v>0</v>
      </c>
      <c r="AP803" s="452"/>
    </row>
    <row r="804" spans="2:43" ht="17.45" hidden="1" customHeight="1" outlineLevel="1">
      <c r="B804" s="1172"/>
      <c r="C804" s="110" t="s">
        <v>37</v>
      </c>
      <c r="D804" s="111">
        <f t="shared" si="1157"/>
        <v>0</v>
      </c>
      <c r="E804" s="111">
        <f t="shared" si="1158"/>
        <v>0</v>
      </c>
      <c r="F804" s="111">
        <f t="shared" si="1159"/>
        <v>0</v>
      </c>
      <c r="G804" s="112" t="str">
        <f t="shared" si="1146"/>
        <v/>
      </c>
      <c r="H804" s="112" t="str">
        <f t="shared" si="1160"/>
        <v/>
      </c>
      <c r="I804" s="112" t="str">
        <f t="shared" si="1161"/>
        <v/>
      </c>
      <c r="J804" s="111">
        <f t="shared" si="1162"/>
        <v>0</v>
      </c>
      <c r="K804" s="111">
        <f t="shared" si="1163"/>
        <v>0</v>
      </c>
      <c r="L804" s="111">
        <f t="shared" si="1164"/>
        <v>0</v>
      </c>
      <c r="O804" s="125" t="str">
        <f t="shared" si="1169"/>
        <v>청해소재</v>
      </c>
      <c r="P804" s="126">
        <f t="shared" si="1165"/>
        <v>0</v>
      </c>
      <c r="Q804" s="111">
        <f t="shared" si="1166"/>
        <v>0</v>
      </c>
      <c r="R804" s="126" t="str">
        <f t="shared" si="1150"/>
        <v/>
      </c>
      <c r="S804" s="122"/>
      <c r="T804" s="125" t="str">
        <f t="shared" si="1167"/>
        <v>청해소재</v>
      </c>
      <c r="U804" s="126">
        <f t="shared" si="1167"/>
        <v>0</v>
      </c>
      <c r="V804" s="111">
        <f t="shared" si="1167"/>
        <v>0</v>
      </c>
      <c r="W804" s="127" t="str">
        <f t="shared" si="1152"/>
        <v/>
      </c>
      <c r="X804" s="148">
        <f t="shared" si="1168"/>
        <v>0</v>
      </c>
      <c r="Y804" s="111"/>
      <c r="Z804" s="155" t="str">
        <f>IFERROR(IF(X804=0,"",X804/Y804),"")</f>
        <v/>
      </c>
      <c r="AN804" s="335"/>
      <c r="AO804" s="336">
        <f t="shared" si="1172"/>
        <v>0</v>
      </c>
      <c r="AP804" s="452"/>
      <c r="AQ804" s="240" t="s">
        <v>157</v>
      </c>
    </row>
    <row r="805" spans="2:43" ht="17.45" hidden="1" customHeight="1" outlineLevel="1">
      <c r="B805" s="1172"/>
      <c r="C805" s="110" t="s">
        <v>365</v>
      </c>
      <c r="D805" s="111">
        <f t="shared" si="1157"/>
        <v>0</v>
      </c>
      <c r="E805" s="111">
        <f t="shared" si="1158"/>
        <v>0</v>
      </c>
      <c r="F805" s="111">
        <f t="shared" si="1159"/>
        <v>0</v>
      </c>
      <c r="G805" s="112" t="str">
        <f t="shared" si="1146"/>
        <v/>
      </c>
      <c r="H805" s="112" t="str">
        <f t="shared" si="1160"/>
        <v/>
      </c>
      <c r="I805" s="112" t="str">
        <f t="shared" si="1161"/>
        <v/>
      </c>
      <c r="J805" s="111">
        <f t="shared" si="1162"/>
        <v>0</v>
      </c>
      <c r="K805" s="111">
        <f t="shared" si="1163"/>
        <v>0</v>
      </c>
      <c r="L805" s="111">
        <f t="shared" si="1164"/>
        <v>0</v>
      </c>
      <c r="O805" s="125" t="str">
        <f t="shared" si="1169"/>
        <v>김천에너지</v>
      </c>
      <c r="P805" s="126">
        <f t="shared" si="1165"/>
        <v>0</v>
      </c>
      <c r="Q805" s="111">
        <f t="shared" si="1166"/>
        <v>0</v>
      </c>
      <c r="R805" s="126" t="str">
        <f t="shared" si="1150"/>
        <v/>
      </c>
      <c r="S805" s="122"/>
      <c r="T805" s="125" t="str">
        <f t="shared" si="1167"/>
        <v>김천에너지</v>
      </c>
      <c r="U805" s="126">
        <f t="shared" si="1167"/>
        <v>0</v>
      </c>
      <c r="V805" s="111">
        <f t="shared" si="1167"/>
        <v>0</v>
      </c>
      <c r="W805" s="127" t="str">
        <f t="shared" si="1152"/>
        <v/>
      </c>
      <c r="X805" s="148">
        <f t="shared" si="1168"/>
        <v>0</v>
      </c>
      <c r="Y805" s="111"/>
      <c r="Z805" s="155" t="str">
        <f t="shared" ref="Z805:Z814" si="1173">IFERROR(IF(X805=0,"",X805/Y805),"")</f>
        <v/>
      </c>
      <c r="AN805" s="335"/>
      <c r="AO805" s="336">
        <f t="shared" si="1172"/>
        <v>0</v>
      </c>
      <c r="AP805" s="452"/>
    </row>
    <row r="806" spans="2:43" ht="17.45" hidden="1" customHeight="1" outlineLevel="1">
      <c r="B806" s="1172"/>
      <c r="C806" s="110" t="s">
        <v>107</v>
      </c>
      <c r="D806" s="111">
        <f t="shared" si="1157"/>
        <v>0</v>
      </c>
      <c r="E806" s="111">
        <f t="shared" si="1158"/>
        <v>0</v>
      </c>
      <c r="F806" s="111">
        <f t="shared" si="1159"/>
        <v>0</v>
      </c>
      <c r="G806" s="112" t="str">
        <f t="shared" si="1146"/>
        <v/>
      </c>
      <c r="H806" s="112" t="str">
        <f t="shared" si="1160"/>
        <v/>
      </c>
      <c r="I806" s="112" t="str">
        <f t="shared" si="1161"/>
        <v/>
      </c>
      <c r="J806" s="111">
        <f t="shared" si="1162"/>
        <v>0</v>
      </c>
      <c r="K806" s="111">
        <f t="shared" si="1163"/>
        <v>0</v>
      </c>
      <c r="L806" s="111">
        <f t="shared" si="1164"/>
        <v>0</v>
      </c>
      <c r="O806" s="125" t="str">
        <f t="shared" si="1169"/>
        <v>대구염색공단</v>
      </c>
      <c r="P806" s="126">
        <f t="shared" si="1165"/>
        <v>0</v>
      </c>
      <c r="Q806" s="111">
        <f t="shared" si="1166"/>
        <v>0</v>
      </c>
      <c r="R806" s="126" t="str">
        <f t="shared" si="1150"/>
        <v/>
      </c>
      <c r="S806" s="122"/>
      <c r="T806" s="125" t="str">
        <f t="shared" si="1167"/>
        <v>대구염색공단</v>
      </c>
      <c r="U806" s="126">
        <f t="shared" si="1167"/>
        <v>0</v>
      </c>
      <c r="V806" s="111">
        <f t="shared" si="1167"/>
        <v>0</v>
      </c>
      <c r="W806" s="127" t="str">
        <f t="shared" si="1152"/>
        <v/>
      </c>
      <c r="X806" s="148">
        <f t="shared" si="1168"/>
        <v>0</v>
      </c>
      <c r="Y806" s="111"/>
      <c r="Z806" s="155" t="str">
        <f t="shared" si="1173"/>
        <v/>
      </c>
      <c r="AN806" s="335"/>
      <c r="AO806" s="336">
        <f t="shared" si="1172"/>
        <v>0</v>
      </c>
      <c r="AP806" s="452"/>
    </row>
    <row r="807" spans="2:43" ht="17.45" hidden="1" customHeight="1" outlineLevel="1">
      <c r="B807" s="1172"/>
      <c r="C807" s="110" t="s">
        <v>108</v>
      </c>
      <c r="D807" s="111">
        <f t="shared" si="1157"/>
        <v>0</v>
      </c>
      <c r="E807" s="111">
        <f t="shared" si="1158"/>
        <v>0</v>
      </c>
      <c r="F807" s="111">
        <f t="shared" si="1159"/>
        <v>0</v>
      </c>
      <c r="G807" s="112" t="str">
        <f t="shared" si="1146"/>
        <v/>
      </c>
      <c r="H807" s="112" t="str">
        <f t="shared" si="1160"/>
        <v/>
      </c>
      <c r="I807" s="112" t="str">
        <f t="shared" si="1161"/>
        <v/>
      </c>
      <c r="J807" s="111">
        <f t="shared" si="1162"/>
        <v>0</v>
      </c>
      <c r="K807" s="111">
        <f t="shared" si="1163"/>
        <v>0</v>
      </c>
      <c r="L807" s="111">
        <f t="shared" si="1164"/>
        <v>0</v>
      </c>
      <c r="O807" s="125" t="str">
        <f t="shared" si="1169"/>
        <v>SNNC(니켈)</v>
      </c>
      <c r="P807" s="126">
        <f t="shared" si="1165"/>
        <v>0</v>
      </c>
      <c r="Q807" s="111">
        <f t="shared" si="1166"/>
        <v>0</v>
      </c>
      <c r="R807" s="126" t="str">
        <f t="shared" si="1150"/>
        <v/>
      </c>
      <c r="S807" s="122"/>
      <c r="T807" s="125" t="str">
        <f t="shared" si="1167"/>
        <v>SNNC(니켈)</v>
      </c>
      <c r="U807" s="126">
        <f t="shared" si="1167"/>
        <v>0</v>
      </c>
      <c r="V807" s="111">
        <f t="shared" si="1167"/>
        <v>0</v>
      </c>
      <c r="W807" s="127" t="str">
        <f t="shared" si="1152"/>
        <v/>
      </c>
      <c r="X807" s="148">
        <f t="shared" si="1168"/>
        <v>0</v>
      </c>
      <c r="Y807" s="111"/>
      <c r="Z807" s="155" t="str">
        <f t="shared" si="1173"/>
        <v/>
      </c>
      <c r="AN807" s="335"/>
      <c r="AO807" s="336">
        <f t="shared" si="1172"/>
        <v>0</v>
      </c>
      <c r="AP807" s="452"/>
    </row>
    <row r="808" spans="2:43" ht="17.45" hidden="1" customHeight="1" outlineLevel="1">
      <c r="B808" s="1172"/>
      <c r="C808" s="110" t="s">
        <v>130</v>
      </c>
      <c r="D808" s="111">
        <f t="shared" si="1157"/>
        <v>0</v>
      </c>
      <c r="E808" s="111">
        <f t="shared" si="1158"/>
        <v>0</v>
      </c>
      <c r="F808" s="111">
        <f t="shared" si="1159"/>
        <v>0</v>
      </c>
      <c r="G808" s="112" t="str">
        <f t="shared" si="1146"/>
        <v/>
      </c>
      <c r="H808" s="112" t="str">
        <f t="shared" si="1160"/>
        <v/>
      </c>
      <c r="I808" s="112" t="str">
        <f t="shared" si="1161"/>
        <v/>
      </c>
      <c r="J808" s="111">
        <f t="shared" si="1162"/>
        <v>0</v>
      </c>
      <c r="K808" s="111">
        <f t="shared" si="1163"/>
        <v>0</v>
      </c>
      <c r="L808" s="111">
        <f t="shared" si="1164"/>
        <v>0</v>
      </c>
      <c r="O808" s="125" t="str">
        <f t="shared" si="1169"/>
        <v>SK-N(고려시멘트)</v>
      </c>
      <c r="P808" s="126">
        <f t="shared" si="1165"/>
        <v>0</v>
      </c>
      <c r="Q808" s="111">
        <f t="shared" si="1166"/>
        <v>0</v>
      </c>
      <c r="R808" s="126" t="str">
        <f t="shared" si="1150"/>
        <v/>
      </c>
      <c r="S808" s="122"/>
      <c r="T808" s="125" t="str">
        <f t="shared" si="1167"/>
        <v>SK-N(고려시멘트)</v>
      </c>
      <c r="U808" s="126">
        <f t="shared" si="1167"/>
        <v>0</v>
      </c>
      <c r="V808" s="111">
        <f t="shared" si="1167"/>
        <v>0</v>
      </c>
      <c r="W808" s="127" t="str">
        <f t="shared" si="1152"/>
        <v/>
      </c>
      <c r="X808" s="148">
        <f t="shared" si="1168"/>
        <v>0</v>
      </c>
      <c r="Y808" s="111"/>
      <c r="Z808" s="155" t="str">
        <f t="shared" si="1173"/>
        <v/>
      </c>
      <c r="AN808" s="335"/>
      <c r="AO808" s="336">
        <f t="shared" si="1172"/>
        <v>0</v>
      </c>
      <c r="AP808" s="452"/>
    </row>
    <row r="809" spans="2:43" ht="17.45" hidden="1" customHeight="1" outlineLevel="1">
      <c r="B809" s="1172"/>
      <c r="C809" s="110" t="s">
        <v>68</v>
      </c>
      <c r="D809" s="111">
        <f t="shared" si="1157"/>
        <v>0</v>
      </c>
      <c r="E809" s="111">
        <f t="shared" si="1158"/>
        <v>0</v>
      </c>
      <c r="F809" s="111">
        <f t="shared" si="1159"/>
        <v>0</v>
      </c>
      <c r="G809" s="112" t="str">
        <f t="shared" si="1146"/>
        <v/>
      </c>
      <c r="H809" s="112" t="str">
        <f t="shared" si="1160"/>
        <v/>
      </c>
      <c r="I809" s="112" t="str">
        <f t="shared" si="1161"/>
        <v/>
      </c>
      <c r="J809" s="111">
        <f t="shared" si="1162"/>
        <v>0</v>
      </c>
      <c r="K809" s="111">
        <f t="shared" si="1163"/>
        <v>0</v>
      </c>
      <c r="L809" s="111">
        <f t="shared" si="1164"/>
        <v>0</v>
      </c>
      <c r="O809" s="125" t="str">
        <f t="shared" si="1169"/>
        <v>SNNC</v>
      </c>
      <c r="P809" s="126">
        <f t="shared" si="1165"/>
        <v>0</v>
      </c>
      <c r="Q809" s="111">
        <f t="shared" si="1166"/>
        <v>0</v>
      </c>
      <c r="R809" s="126" t="str">
        <f t="shared" si="1150"/>
        <v/>
      </c>
      <c r="S809" s="122"/>
      <c r="T809" s="125" t="str">
        <f t="shared" si="1167"/>
        <v>SNNC</v>
      </c>
      <c r="U809" s="126">
        <f t="shared" si="1167"/>
        <v>0</v>
      </c>
      <c r="V809" s="111">
        <f t="shared" si="1167"/>
        <v>0</v>
      </c>
      <c r="W809" s="127" t="str">
        <f t="shared" si="1152"/>
        <v/>
      </c>
      <c r="X809" s="148">
        <f t="shared" si="1168"/>
        <v>0</v>
      </c>
      <c r="Y809" s="111"/>
      <c r="Z809" s="155" t="str">
        <f t="shared" si="1173"/>
        <v/>
      </c>
      <c r="AN809" s="335"/>
      <c r="AO809" s="336">
        <f t="shared" si="1172"/>
        <v>0</v>
      </c>
      <c r="AP809" s="452"/>
    </row>
    <row r="810" spans="2:43" ht="17.45" hidden="1" customHeight="1" outlineLevel="1" thickBot="1">
      <c r="B810" s="1172"/>
      <c r="C810" s="113" t="s">
        <v>61</v>
      </c>
      <c r="D810" s="114">
        <f>SUM(D795:D809)</f>
        <v>0</v>
      </c>
      <c r="E810" s="179">
        <f>SUM(E795:E809)</f>
        <v>0</v>
      </c>
      <c r="F810" s="114">
        <f>SUM(F795:F809)</f>
        <v>0</v>
      </c>
      <c r="G810" s="115" t="str">
        <f t="shared" si="1146"/>
        <v/>
      </c>
      <c r="H810" s="185" t="str">
        <f>IFERROR(E810/F810,"")</f>
        <v/>
      </c>
      <c r="I810" s="115" t="str">
        <f>IFERROR(G810+H810,"")</f>
        <v/>
      </c>
      <c r="J810" s="114">
        <f t="shared" ref="J810:L810" si="1174">SUM(J795:J809)</f>
        <v>0</v>
      </c>
      <c r="K810" s="114">
        <f t="shared" si="1174"/>
        <v>0</v>
      </c>
      <c r="L810" s="114">
        <f t="shared" si="1174"/>
        <v>0</v>
      </c>
      <c r="O810" s="128" t="s">
        <v>61</v>
      </c>
      <c r="P810" s="129">
        <f>SUM(P795:P809)</f>
        <v>0</v>
      </c>
      <c r="Q810" s="114">
        <f>SUM(Q795:Q809)</f>
        <v>0</v>
      </c>
      <c r="R810" s="129" t="str">
        <f t="shared" si="1150"/>
        <v/>
      </c>
      <c r="S810" s="122"/>
      <c r="T810" s="128" t="s">
        <v>61</v>
      </c>
      <c r="U810" s="129">
        <f>SUM(U795:U809)</f>
        <v>0</v>
      </c>
      <c r="V810" s="114">
        <f>SUM(V795:V809)</f>
        <v>0</v>
      </c>
      <c r="W810" s="130" t="str">
        <f>IFERROR(U810/V810,"")</f>
        <v/>
      </c>
      <c r="X810" s="179">
        <f>SUM(X795:X809)</f>
        <v>0</v>
      </c>
      <c r="Y810" s="114">
        <f>SUM(Y795:Y809)</f>
        <v>0</v>
      </c>
      <c r="Z810" s="176" t="str">
        <f t="shared" si="1173"/>
        <v/>
      </c>
      <c r="AN810" s="341">
        <f>SUM(AN795:AN809)</f>
        <v>0</v>
      </c>
      <c r="AO810" s="341">
        <f>SUM(AO795:AO809)</f>
        <v>0</v>
      </c>
      <c r="AP810" s="455"/>
    </row>
    <row r="811" spans="2:43" ht="17.45" hidden="1" customHeight="1" outlineLevel="1" thickBot="1">
      <c r="B811" s="1106" t="s">
        <v>57</v>
      </c>
      <c r="C811" s="1106"/>
      <c r="D811" s="147">
        <f>SUM(D810,D794)</f>
        <v>0</v>
      </c>
      <c r="E811" s="182">
        <f>SUM(E810,E794)</f>
        <v>0</v>
      </c>
      <c r="F811" s="149">
        <f>SUM(F810,F794)</f>
        <v>0</v>
      </c>
      <c r="G811" s="183" t="str">
        <f t="shared" si="1146"/>
        <v/>
      </c>
      <c r="H811" s="186" t="str">
        <f>IFERROR(E811/F811,"")</f>
        <v/>
      </c>
      <c r="I811" s="184" t="str">
        <f>IFERROR(G811+H811,"")</f>
        <v/>
      </c>
      <c r="J811" s="116">
        <f t="shared" ref="J811:L811" si="1175">SUM(J810,J794)</f>
        <v>0</v>
      </c>
      <c r="K811" s="116">
        <f t="shared" si="1175"/>
        <v>0</v>
      </c>
      <c r="L811" s="116">
        <f t="shared" si="1175"/>
        <v>0</v>
      </c>
      <c r="O811" s="131" t="s">
        <v>79</v>
      </c>
      <c r="P811" s="132">
        <f>SUM(P810,P794)</f>
        <v>0</v>
      </c>
      <c r="Q811" s="116">
        <f>SUM(Q810,Q794)</f>
        <v>0</v>
      </c>
      <c r="R811" s="132" t="str">
        <f>IFERROR(P811/Q811,"")</f>
        <v/>
      </c>
      <c r="S811" s="122"/>
      <c r="T811" s="131" t="s">
        <v>76</v>
      </c>
      <c r="U811" s="132">
        <f>SUM(U810,U794)</f>
        <v>0</v>
      </c>
      <c r="V811" s="147">
        <f>SUM(V810,V794)</f>
        <v>0</v>
      </c>
      <c r="W811" s="173" t="str">
        <f t="shared" ref="W811:W812" si="1176">IFERROR(U811/V811,"")</f>
        <v/>
      </c>
      <c r="X811" s="182">
        <f>SUM(X794,X810)</f>
        <v>0</v>
      </c>
      <c r="Y811" s="175">
        <f>SUM(Y794,Y810)</f>
        <v>0</v>
      </c>
      <c r="Z811" s="178" t="str">
        <f t="shared" si="1173"/>
        <v/>
      </c>
      <c r="AN811" s="342">
        <f>SUM(AN794,AN810)</f>
        <v>0</v>
      </c>
      <c r="AO811" s="342">
        <f>SUM(AO794,AO810)</f>
        <v>0</v>
      </c>
      <c r="AP811" s="456"/>
    </row>
    <row r="812" spans="2:43" ht="17.45" hidden="1" customHeight="1" outlineLevel="1">
      <c r="D812" s="344" t="str">
        <f>IF(D811=L136,"","CHECK")</f>
        <v/>
      </c>
      <c r="E812" s="344" t="str">
        <f>IF(E811=M136,"","CHECK")</f>
        <v/>
      </c>
      <c r="F812" s="344" t="str">
        <f>IF(F811=N136,"","CHECK")</f>
        <v/>
      </c>
      <c r="O812" s="134" t="s">
        <v>77</v>
      </c>
      <c r="P812" s="126"/>
      <c r="Q812" s="126"/>
      <c r="R812" s="126" t="str">
        <f>IFERROR(P812/Q812,"")</f>
        <v/>
      </c>
      <c r="S812" s="122"/>
      <c r="T812" s="134" t="s">
        <v>77</v>
      </c>
      <c r="U812" s="126"/>
      <c r="V812" s="111"/>
      <c r="W812" s="135" t="str">
        <f t="shared" si="1176"/>
        <v/>
      </c>
      <c r="X812" s="180"/>
      <c r="Y812" s="126"/>
      <c r="Z812" s="181" t="str">
        <f t="shared" si="1173"/>
        <v/>
      </c>
      <c r="AN812" s="335"/>
      <c r="AO812" s="336">
        <f t="shared" ref="AO812:AO813" si="1177">X812-Y812</f>
        <v>0</v>
      </c>
      <c r="AP812" s="452"/>
    </row>
    <row r="813" spans="2:43" ht="17.45" hidden="1" customHeight="1" outlineLevel="1">
      <c r="T813" s="345" t="s">
        <v>109</v>
      </c>
      <c r="U813" s="345"/>
      <c r="V813" s="328"/>
      <c r="W813" s="355"/>
      <c r="X813" s="355">
        <f>G828</f>
        <v>0</v>
      </c>
      <c r="Y813" s="347"/>
      <c r="Z813" s="155" t="str">
        <f t="shared" si="1173"/>
        <v/>
      </c>
      <c r="AN813" s="335"/>
      <c r="AO813" s="336">
        <f t="shared" si="1177"/>
        <v>0</v>
      </c>
      <c r="AP813" s="452"/>
    </row>
    <row r="814" spans="2:43" ht="17.45" hidden="1" customHeight="1" outlineLevel="1">
      <c r="B814" s="1173" t="s">
        <v>80</v>
      </c>
      <c r="C814" s="1177" t="s">
        <v>52</v>
      </c>
      <c r="D814" s="1177"/>
      <c r="E814" s="1177"/>
      <c r="F814" s="1177" t="s">
        <v>73</v>
      </c>
      <c r="G814" s="1177" t="s">
        <v>75</v>
      </c>
      <c r="H814" s="1177" t="s">
        <v>95</v>
      </c>
      <c r="I814" s="119"/>
      <c r="J814" s="1173" t="s">
        <v>132</v>
      </c>
      <c r="K814" s="1174" t="s">
        <v>124</v>
      </c>
      <c r="L814" s="1174"/>
      <c r="M814" s="1174"/>
      <c r="N814" s="1174" t="s">
        <v>75</v>
      </c>
      <c r="O814" s="1174"/>
      <c r="P814" s="1174"/>
      <c r="Q814" s="1175" t="s">
        <v>72</v>
      </c>
      <c r="R814" s="1175" t="s">
        <v>73</v>
      </c>
      <c r="S814" s="1175" t="s">
        <v>74</v>
      </c>
      <c r="T814" s="262" t="s">
        <v>110</v>
      </c>
      <c r="U814" s="262"/>
      <c r="V814" s="334"/>
      <c r="W814" s="356"/>
      <c r="X814" s="356">
        <f>SUM(X811,X812,X813)</f>
        <v>0</v>
      </c>
      <c r="Y814" s="354">
        <f>SUM(Y811,Y813)</f>
        <v>0</v>
      </c>
      <c r="Z814" s="158" t="str">
        <f t="shared" si="1173"/>
        <v/>
      </c>
      <c r="AN814" s="342">
        <f>SUM(AN811,AN813)</f>
        <v>0</v>
      </c>
      <c r="AO814" s="342">
        <f>SUM(AO811,AO813)</f>
        <v>0</v>
      </c>
      <c r="AP814" s="456"/>
    </row>
    <row r="815" spans="2:43" ht="17.45" hidden="1" customHeight="1" outlineLevel="1">
      <c r="B815" s="1173"/>
      <c r="C815" s="628" t="s">
        <v>55</v>
      </c>
      <c r="D815" s="628" t="s">
        <v>56</v>
      </c>
      <c r="E815" s="628" t="s">
        <v>57</v>
      </c>
      <c r="F815" s="1177"/>
      <c r="G815" s="1177"/>
      <c r="H815" s="1177"/>
      <c r="I815" s="119"/>
      <c r="J815" s="1173"/>
      <c r="K815" s="627" t="s">
        <v>125</v>
      </c>
      <c r="L815" s="627" t="s">
        <v>126</v>
      </c>
      <c r="M815" s="627" t="s">
        <v>123</v>
      </c>
      <c r="N815" s="627" t="s">
        <v>125</v>
      </c>
      <c r="O815" s="627" t="s">
        <v>126</v>
      </c>
      <c r="P815" s="627" t="s">
        <v>123</v>
      </c>
      <c r="Q815" s="1176"/>
      <c r="R815" s="1176"/>
      <c r="S815" s="1176"/>
    </row>
    <row r="816" spans="2:43" ht="17.45" hidden="1" customHeight="1" outlineLevel="1">
      <c r="B816" s="139" t="s">
        <v>81</v>
      </c>
      <c r="C816" s="111">
        <f t="shared" ref="C816:C826" si="1178">SUMIF($R$115:$R$136,B816,$L$115:$L$136)</f>
        <v>0</v>
      </c>
      <c r="D816" s="111">
        <f t="shared" ref="D816:D826" si="1179">SUMIF($R$115:$R$136,B816,$M$115:$M$136)</f>
        <v>0</v>
      </c>
      <c r="E816" s="111">
        <f>C816+D816</f>
        <v>0</v>
      </c>
      <c r="F816" s="111">
        <f t="shared" ref="F816:F826" si="1180">SUMIF($R$115:$R$136,B816,$AZ$115:$AZ$136)</f>
        <v>0</v>
      </c>
      <c r="G816" s="111">
        <f>E816/1000</f>
        <v>0</v>
      </c>
      <c r="H816" s="111"/>
      <c r="I816" s="119"/>
      <c r="J816" s="139" t="s">
        <v>117</v>
      </c>
      <c r="K816" s="111">
        <f t="shared" ref="K816:K823" si="1181">SUMIF($Q$115:$Q$136,J816,$L$115:$L$136)</f>
        <v>0</v>
      </c>
      <c r="L816" s="111">
        <f t="shared" ref="L816:L823" si="1182">SUMIF($Q$115:$Q$136,J816,$M$115:$M$136)</f>
        <v>0</v>
      </c>
      <c r="M816" s="202">
        <f>K816+L816</f>
        <v>0</v>
      </c>
      <c r="N816" s="202">
        <f>K816/1000</f>
        <v>0</v>
      </c>
      <c r="O816" s="202">
        <f>L816/1000</f>
        <v>0</v>
      </c>
      <c r="P816" s="202">
        <f>N816+O816</f>
        <v>0</v>
      </c>
      <c r="Q816" s="358">
        <f t="shared" ref="Q816:Q823" si="1183">SUMIF($Q$115:$Q$136,J816,$I$115:$I$136)</f>
        <v>0</v>
      </c>
      <c r="R816" s="111">
        <f t="shared" ref="R816:R823" si="1184">SUMIF($Q$115:$Q$136,J816,$AZ$115:$AZ$136)</f>
        <v>0</v>
      </c>
      <c r="S816" s="126" t="str">
        <f>IFERROR(Q816/R816,"")</f>
        <v/>
      </c>
    </row>
    <row r="817" spans="2:43" ht="17.45" hidden="1" customHeight="1" outlineLevel="1">
      <c r="B817" s="139" t="s">
        <v>82</v>
      </c>
      <c r="C817" s="111">
        <f t="shared" si="1178"/>
        <v>0</v>
      </c>
      <c r="D817" s="111">
        <f t="shared" si="1179"/>
        <v>0</v>
      </c>
      <c r="E817" s="111">
        <f t="shared" ref="E817:E826" si="1185">C817+D817</f>
        <v>0</v>
      </c>
      <c r="F817" s="111">
        <f t="shared" si="1180"/>
        <v>0</v>
      </c>
      <c r="G817" s="111">
        <f t="shared" ref="G817:G826" si="1186">E817/1000</f>
        <v>0</v>
      </c>
      <c r="H817" s="111"/>
      <c r="I817" s="119"/>
      <c r="J817" s="139" t="s">
        <v>118</v>
      </c>
      <c r="K817" s="111">
        <f t="shared" si="1181"/>
        <v>0</v>
      </c>
      <c r="L817" s="111">
        <f t="shared" si="1182"/>
        <v>0</v>
      </c>
      <c r="M817" s="202">
        <f t="shared" ref="M817:M823" si="1187">K817+L817</f>
        <v>0</v>
      </c>
      <c r="N817" s="202">
        <f t="shared" ref="N817:O823" si="1188">K817/1000</f>
        <v>0</v>
      </c>
      <c r="O817" s="202">
        <f t="shared" si="1188"/>
        <v>0</v>
      </c>
      <c r="P817" s="202">
        <f t="shared" ref="P817:P823" si="1189">N817+O817</f>
        <v>0</v>
      </c>
      <c r="Q817" s="358">
        <f t="shared" si="1183"/>
        <v>0</v>
      </c>
      <c r="R817" s="111">
        <f t="shared" si="1184"/>
        <v>0</v>
      </c>
      <c r="S817" s="126" t="str">
        <f t="shared" ref="S817:S823" si="1190">IFERROR(Q817/R817,"")</f>
        <v/>
      </c>
    </row>
    <row r="818" spans="2:43" ht="17.45" hidden="1" customHeight="1" outlineLevel="1">
      <c r="B818" s="139" t="s">
        <v>83</v>
      </c>
      <c r="C818" s="111">
        <f t="shared" si="1178"/>
        <v>0</v>
      </c>
      <c r="D818" s="111">
        <f t="shared" si="1179"/>
        <v>0</v>
      </c>
      <c r="E818" s="111">
        <f t="shared" si="1185"/>
        <v>0</v>
      </c>
      <c r="F818" s="111">
        <f t="shared" si="1180"/>
        <v>0</v>
      </c>
      <c r="G818" s="111">
        <f t="shared" si="1186"/>
        <v>0</v>
      </c>
      <c r="H818" s="111"/>
      <c r="I818" s="119"/>
      <c r="J818" s="139" t="s">
        <v>119</v>
      </c>
      <c r="K818" s="111">
        <f t="shared" si="1181"/>
        <v>0</v>
      </c>
      <c r="L818" s="111">
        <f t="shared" si="1182"/>
        <v>0</v>
      </c>
      <c r="M818" s="202">
        <f t="shared" si="1187"/>
        <v>0</v>
      </c>
      <c r="N818" s="202">
        <f t="shared" si="1188"/>
        <v>0</v>
      </c>
      <c r="O818" s="202">
        <f t="shared" si="1188"/>
        <v>0</v>
      </c>
      <c r="P818" s="202">
        <f t="shared" si="1189"/>
        <v>0</v>
      </c>
      <c r="Q818" s="358">
        <f t="shared" si="1183"/>
        <v>0</v>
      </c>
      <c r="R818" s="111">
        <f t="shared" si="1184"/>
        <v>0</v>
      </c>
      <c r="S818" s="126" t="str">
        <f t="shared" si="1190"/>
        <v/>
      </c>
    </row>
    <row r="819" spans="2:43" ht="17.45" hidden="1" customHeight="1" outlineLevel="1">
      <c r="B819" s="139" t="s">
        <v>84</v>
      </c>
      <c r="C819" s="111">
        <f t="shared" si="1178"/>
        <v>0</v>
      </c>
      <c r="D819" s="111">
        <f t="shared" si="1179"/>
        <v>0</v>
      </c>
      <c r="E819" s="111">
        <f t="shared" si="1185"/>
        <v>0</v>
      </c>
      <c r="F819" s="111">
        <f t="shared" si="1180"/>
        <v>0</v>
      </c>
      <c r="G819" s="111">
        <f t="shared" si="1186"/>
        <v>0</v>
      </c>
      <c r="H819" s="111"/>
      <c r="I819" s="119"/>
      <c r="J819" s="139" t="s">
        <v>113</v>
      </c>
      <c r="K819" s="111">
        <f t="shared" si="1181"/>
        <v>0</v>
      </c>
      <c r="L819" s="111">
        <f t="shared" si="1182"/>
        <v>0</v>
      </c>
      <c r="M819" s="202">
        <f t="shared" si="1187"/>
        <v>0</v>
      </c>
      <c r="N819" s="202">
        <f t="shared" si="1188"/>
        <v>0</v>
      </c>
      <c r="O819" s="202">
        <f t="shared" si="1188"/>
        <v>0</v>
      </c>
      <c r="P819" s="202">
        <f t="shared" si="1189"/>
        <v>0</v>
      </c>
      <c r="Q819" s="358">
        <f t="shared" si="1183"/>
        <v>0</v>
      </c>
      <c r="R819" s="111">
        <f t="shared" si="1184"/>
        <v>0</v>
      </c>
      <c r="S819" s="126" t="str">
        <f t="shared" si="1190"/>
        <v/>
      </c>
      <c r="T819" s="57"/>
      <c r="U819" s="57"/>
      <c r="V819" s="57"/>
      <c r="W819" s="57"/>
      <c r="X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  <c r="AM819" s="57"/>
      <c r="AN819" s="57"/>
      <c r="AO819" s="57"/>
      <c r="AP819" s="57"/>
      <c r="AQ819" s="57"/>
    </row>
    <row r="820" spans="2:43" ht="17.45" hidden="1" customHeight="1" outlineLevel="1">
      <c r="B820" s="139" t="s">
        <v>223</v>
      </c>
      <c r="C820" s="111">
        <f t="shared" si="1178"/>
        <v>0</v>
      </c>
      <c r="D820" s="111">
        <f t="shared" si="1179"/>
        <v>0</v>
      </c>
      <c r="E820" s="111">
        <f t="shared" si="1185"/>
        <v>0</v>
      </c>
      <c r="F820" s="111">
        <f t="shared" si="1180"/>
        <v>0</v>
      </c>
      <c r="G820" s="111">
        <f t="shared" si="1186"/>
        <v>0</v>
      </c>
      <c r="H820" s="111"/>
      <c r="I820" s="119"/>
      <c r="J820" s="139" t="s">
        <v>120</v>
      </c>
      <c r="K820" s="111">
        <f t="shared" si="1181"/>
        <v>0</v>
      </c>
      <c r="L820" s="111">
        <f t="shared" si="1182"/>
        <v>0</v>
      </c>
      <c r="M820" s="202">
        <f t="shared" si="1187"/>
        <v>0</v>
      </c>
      <c r="N820" s="202">
        <f t="shared" si="1188"/>
        <v>0</v>
      </c>
      <c r="O820" s="202">
        <f t="shared" si="1188"/>
        <v>0</v>
      </c>
      <c r="P820" s="202">
        <f t="shared" si="1189"/>
        <v>0</v>
      </c>
      <c r="Q820" s="358">
        <f t="shared" si="1183"/>
        <v>0</v>
      </c>
      <c r="R820" s="111">
        <f t="shared" si="1184"/>
        <v>0</v>
      </c>
      <c r="S820" s="126" t="str">
        <f t="shared" si="1190"/>
        <v/>
      </c>
      <c r="T820" s="57"/>
      <c r="U820" s="57"/>
      <c r="V820" s="57"/>
      <c r="W820" s="57"/>
      <c r="X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  <c r="AM820" s="57"/>
      <c r="AN820" s="57"/>
      <c r="AO820" s="57"/>
      <c r="AP820" s="57"/>
      <c r="AQ820" s="57"/>
    </row>
    <row r="821" spans="2:43" ht="17.45" hidden="1" customHeight="1" outlineLevel="1">
      <c r="B821" s="139" t="s">
        <v>158</v>
      </c>
      <c r="C821" s="111">
        <f t="shared" si="1178"/>
        <v>0</v>
      </c>
      <c r="D821" s="111">
        <f t="shared" si="1179"/>
        <v>0</v>
      </c>
      <c r="E821" s="111">
        <f t="shared" si="1185"/>
        <v>0</v>
      </c>
      <c r="F821" s="111">
        <f t="shared" si="1180"/>
        <v>0</v>
      </c>
      <c r="G821" s="111">
        <f t="shared" si="1186"/>
        <v>0</v>
      </c>
      <c r="H821" s="111"/>
      <c r="I821" s="119"/>
      <c r="J821" s="139" t="s">
        <v>121</v>
      </c>
      <c r="K821" s="111">
        <f t="shared" si="1181"/>
        <v>0</v>
      </c>
      <c r="L821" s="111">
        <f t="shared" si="1182"/>
        <v>0</v>
      </c>
      <c r="M821" s="202">
        <f t="shared" si="1187"/>
        <v>0</v>
      </c>
      <c r="N821" s="202">
        <f t="shared" si="1188"/>
        <v>0</v>
      </c>
      <c r="O821" s="202">
        <f t="shared" si="1188"/>
        <v>0</v>
      </c>
      <c r="P821" s="202">
        <f t="shared" si="1189"/>
        <v>0</v>
      </c>
      <c r="Q821" s="358">
        <f t="shared" si="1183"/>
        <v>0</v>
      </c>
      <c r="R821" s="111">
        <f t="shared" si="1184"/>
        <v>0</v>
      </c>
      <c r="S821" s="126" t="str">
        <f t="shared" si="1190"/>
        <v/>
      </c>
      <c r="T821" s="57"/>
      <c r="U821" s="57"/>
      <c r="V821" s="57"/>
      <c r="W821" s="57"/>
      <c r="X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  <c r="AM821" s="57"/>
      <c r="AN821" s="57"/>
      <c r="AO821" s="57"/>
      <c r="AP821" s="57"/>
      <c r="AQ821" s="57"/>
    </row>
    <row r="822" spans="2:43" ht="17.45" hidden="1" customHeight="1" outlineLevel="1">
      <c r="B822" s="139" t="s">
        <v>85</v>
      </c>
      <c r="C822" s="111">
        <f t="shared" si="1178"/>
        <v>0</v>
      </c>
      <c r="D822" s="111">
        <f t="shared" si="1179"/>
        <v>0</v>
      </c>
      <c r="E822" s="111">
        <f t="shared" si="1185"/>
        <v>0</v>
      </c>
      <c r="F822" s="111">
        <f t="shared" si="1180"/>
        <v>0</v>
      </c>
      <c r="G822" s="111">
        <f t="shared" si="1186"/>
        <v>0</v>
      </c>
      <c r="H822" s="111"/>
      <c r="I822" s="119"/>
      <c r="J822" s="139" t="s">
        <v>122</v>
      </c>
      <c r="K822" s="111">
        <f t="shared" si="1181"/>
        <v>0</v>
      </c>
      <c r="L822" s="111">
        <f t="shared" si="1182"/>
        <v>0</v>
      </c>
      <c r="M822" s="202">
        <f t="shared" si="1187"/>
        <v>0</v>
      </c>
      <c r="N822" s="202">
        <f t="shared" si="1188"/>
        <v>0</v>
      </c>
      <c r="O822" s="202">
        <f t="shared" si="1188"/>
        <v>0</v>
      </c>
      <c r="P822" s="202">
        <f t="shared" si="1189"/>
        <v>0</v>
      </c>
      <c r="Q822" s="358">
        <f t="shared" si="1183"/>
        <v>0</v>
      </c>
      <c r="R822" s="111">
        <f t="shared" si="1184"/>
        <v>0</v>
      </c>
      <c r="S822" s="126" t="str">
        <f t="shared" si="1190"/>
        <v/>
      </c>
      <c r="T822" s="57"/>
      <c r="U822" s="57"/>
      <c r="V822" s="57"/>
      <c r="W822" s="57"/>
      <c r="X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  <c r="AN822" s="57"/>
      <c r="AO822" s="57"/>
      <c r="AP822" s="57"/>
      <c r="AQ822" s="57"/>
    </row>
    <row r="823" spans="2:43" ht="17.45" hidden="1" customHeight="1" outlineLevel="1">
      <c r="B823" s="139" t="s">
        <v>96</v>
      </c>
      <c r="C823" s="111">
        <f t="shared" si="1178"/>
        <v>0</v>
      </c>
      <c r="D823" s="111">
        <f t="shared" si="1179"/>
        <v>0</v>
      </c>
      <c r="E823" s="111">
        <f t="shared" si="1185"/>
        <v>0</v>
      </c>
      <c r="F823" s="111">
        <f t="shared" si="1180"/>
        <v>0</v>
      </c>
      <c r="G823" s="111">
        <f t="shared" si="1186"/>
        <v>0</v>
      </c>
      <c r="H823" s="142" t="s">
        <v>30</v>
      </c>
      <c r="I823" s="119"/>
      <c r="J823" s="139" t="s">
        <v>162</v>
      </c>
      <c r="K823" s="111">
        <f t="shared" si="1181"/>
        <v>0</v>
      </c>
      <c r="L823" s="111">
        <f t="shared" si="1182"/>
        <v>0</v>
      </c>
      <c r="M823" s="202">
        <f t="shared" si="1187"/>
        <v>0</v>
      </c>
      <c r="N823" s="202">
        <f t="shared" si="1188"/>
        <v>0</v>
      </c>
      <c r="O823" s="202">
        <f t="shared" si="1188"/>
        <v>0</v>
      </c>
      <c r="P823" s="202">
        <f t="shared" si="1189"/>
        <v>0</v>
      </c>
      <c r="Q823" s="358">
        <f t="shared" si="1183"/>
        <v>0</v>
      </c>
      <c r="R823" s="111">
        <f t="shared" si="1184"/>
        <v>0</v>
      </c>
      <c r="S823" s="126" t="str">
        <f t="shared" si="1190"/>
        <v/>
      </c>
      <c r="T823" s="57"/>
      <c r="U823" s="57"/>
      <c r="V823" s="57"/>
      <c r="W823" s="57"/>
      <c r="X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  <c r="AM823" s="57"/>
      <c r="AN823" s="57"/>
      <c r="AO823" s="57"/>
      <c r="AP823" s="57"/>
      <c r="AQ823" s="57"/>
    </row>
    <row r="824" spans="2:43" ht="17.45" hidden="1" customHeight="1" outlineLevel="1">
      <c r="B824" s="139" t="s">
        <v>86</v>
      </c>
      <c r="C824" s="111">
        <f t="shared" si="1178"/>
        <v>0</v>
      </c>
      <c r="D824" s="111">
        <f t="shared" si="1179"/>
        <v>0</v>
      </c>
      <c r="E824" s="111">
        <f t="shared" si="1185"/>
        <v>0</v>
      </c>
      <c r="F824" s="111">
        <f t="shared" si="1180"/>
        <v>0</v>
      </c>
      <c r="G824" s="111">
        <f t="shared" si="1186"/>
        <v>0</v>
      </c>
      <c r="H824" s="111"/>
      <c r="I824" s="119"/>
      <c r="J824" s="232" t="s">
        <v>123</v>
      </c>
      <c r="K824" s="203">
        <f>SUM(K816:K823)</f>
        <v>0</v>
      </c>
      <c r="L824" s="203">
        <f t="shared" ref="L824:M824" si="1191">SUM(L816:L823)</f>
        <v>0</v>
      </c>
      <c r="M824" s="203">
        <f t="shared" si="1191"/>
        <v>0</v>
      </c>
      <c r="N824" s="203">
        <f>SUM(N816:N823)</f>
        <v>0</v>
      </c>
      <c r="O824" s="203">
        <f t="shared" ref="O824:P824" si="1192">SUM(O816:O823)</f>
        <v>0</v>
      </c>
      <c r="P824" s="203">
        <f t="shared" si="1192"/>
        <v>0</v>
      </c>
      <c r="Q824" s="359">
        <f>SUM(Q816:Q823)</f>
        <v>0</v>
      </c>
      <c r="R824" s="359">
        <f>SUM(R816:R823)</f>
        <v>0</v>
      </c>
      <c r="S824" s="359" t="str">
        <f>IFERROR(Q824/R824,"")</f>
        <v/>
      </c>
      <c r="T824" s="57"/>
      <c r="U824" s="57"/>
      <c r="V824" s="57"/>
      <c r="W824" s="57"/>
      <c r="X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  <c r="AN824" s="57"/>
      <c r="AO824" s="57"/>
      <c r="AP824" s="57"/>
      <c r="AQ824" s="57"/>
    </row>
    <row r="825" spans="2:43" ht="17.45" hidden="1" customHeight="1" outlineLevel="1">
      <c r="B825" s="139" t="s">
        <v>169</v>
      </c>
      <c r="C825" s="111">
        <f t="shared" si="1178"/>
        <v>0</v>
      </c>
      <c r="D825" s="111">
        <f t="shared" si="1179"/>
        <v>0</v>
      </c>
      <c r="E825" s="111">
        <f t="shared" si="1185"/>
        <v>0</v>
      </c>
      <c r="F825" s="111">
        <f t="shared" si="1180"/>
        <v>0</v>
      </c>
      <c r="G825" s="111">
        <f t="shared" si="1186"/>
        <v>0</v>
      </c>
      <c r="H825" s="111"/>
      <c r="I825" s="119"/>
      <c r="K825" s="343" t="str">
        <f>IF(K824=D811,"","CHECK")</f>
        <v/>
      </c>
      <c r="L825" s="343" t="str">
        <f>IF(L824=E811,"","CHECK")</f>
        <v/>
      </c>
      <c r="M825" s="343" t="str">
        <f>IF(M824=F811,"","CHECK")</f>
        <v/>
      </c>
      <c r="S825" s="343" t="str">
        <f>IF(S824=I837,"","CHECK")</f>
        <v/>
      </c>
      <c r="T825" s="57"/>
      <c r="U825" s="57"/>
      <c r="V825" s="57"/>
      <c r="W825" s="57"/>
      <c r="X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  <c r="AN825" s="57"/>
      <c r="AO825" s="57"/>
      <c r="AP825" s="57"/>
      <c r="AQ825" s="57"/>
    </row>
    <row r="826" spans="2:43" ht="17.45" hidden="1" customHeight="1" outlineLevel="1" thickBot="1">
      <c r="B826" s="139" t="s">
        <v>155</v>
      </c>
      <c r="C826" s="111">
        <f t="shared" si="1178"/>
        <v>0</v>
      </c>
      <c r="D826" s="111">
        <f t="shared" si="1179"/>
        <v>0</v>
      </c>
      <c r="E826" s="111">
        <f t="shared" si="1185"/>
        <v>0</v>
      </c>
      <c r="F826" s="111">
        <f t="shared" si="1180"/>
        <v>0</v>
      </c>
      <c r="G826" s="111">
        <f t="shared" si="1186"/>
        <v>0</v>
      </c>
      <c r="H826" s="111"/>
      <c r="I826" s="119"/>
      <c r="L826" s="283"/>
      <c r="M826" s="220"/>
      <c r="P826" s="360" t="s">
        <v>161</v>
      </c>
      <c r="Q826" s="359">
        <f>SUM(Q816:Q821)</f>
        <v>0</v>
      </c>
      <c r="R826" s="359">
        <f>SUM(R816:R821)</f>
        <v>0</v>
      </c>
      <c r="S826" s="359" t="str">
        <f>IFERROR(Q826/R826,"")</f>
        <v/>
      </c>
      <c r="T826" s="57"/>
      <c r="U826" s="57"/>
      <c r="V826" s="57"/>
      <c r="W826" s="57"/>
      <c r="X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  <c r="AN826" s="57"/>
      <c r="AO826" s="57"/>
      <c r="AP826" s="57"/>
      <c r="AQ826" s="57"/>
    </row>
    <row r="827" spans="2:43" ht="17.45" hidden="1" customHeight="1" outlineLevel="1" thickBot="1">
      <c r="B827" s="113" t="s">
        <v>61</v>
      </c>
      <c r="C827" s="114">
        <f>SUM(C816:C826)</f>
        <v>0</v>
      </c>
      <c r="D827" s="114">
        <f t="shared" ref="D827:E827" si="1193">SUM(D816:D826)</f>
        <v>0</v>
      </c>
      <c r="E827" s="114">
        <f t="shared" si="1193"/>
        <v>0</v>
      </c>
      <c r="F827" s="166">
        <f>SUM(F816:F826)</f>
        <v>0</v>
      </c>
      <c r="G827" s="170">
        <f>SUM(G816:G826)</f>
        <v>0</v>
      </c>
      <c r="H827" s="167"/>
      <c r="I827" s="119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  <c r="AN827" s="57"/>
      <c r="AO827" s="57"/>
      <c r="AP827" s="57"/>
      <c r="AQ827" s="57"/>
    </row>
    <row r="828" spans="2:43" ht="17.45" hidden="1" customHeight="1" outlineLevel="1">
      <c r="B828" s="151" t="s">
        <v>87</v>
      </c>
      <c r="C828" s="152"/>
      <c r="D828" s="152"/>
      <c r="E828" s="153">
        <f>$W$304</f>
        <v>0</v>
      </c>
      <c r="F828" s="143"/>
      <c r="G828" s="169">
        <f>E828/1000</f>
        <v>0</v>
      </c>
      <c r="H828" s="145"/>
      <c r="I828" s="119"/>
      <c r="T828" s="57"/>
      <c r="U828" s="57"/>
      <c r="V828" s="57"/>
      <c r="W828" s="57"/>
      <c r="X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  <c r="AM828" s="57"/>
      <c r="AN828" s="57"/>
      <c r="AO828" s="57"/>
      <c r="AP828" s="57"/>
      <c r="AQ828" s="57"/>
    </row>
    <row r="829" spans="2:43" ht="17.45" hidden="1" customHeight="1" outlineLevel="1">
      <c r="B829" s="151" t="s">
        <v>57</v>
      </c>
      <c r="C829" s="152"/>
      <c r="D829" s="152"/>
      <c r="E829" s="140">
        <f>SUM(E827:E828)</f>
        <v>0</v>
      </c>
      <c r="F829" s="122"/>
      <c r="G829" s="140">
        <f>SUM(G827:G828)</f>
        <v>0</v>
      </c>
      <c r="H829" s="343" t="str">
        <f>IF(G829=K304,"","CHECK")</f>
        <v/>
      </c>
      <c r="I829" s="119"/>
      <c r="T829" s="57"/>
      <c r="U829" s="57"/>
      <c r="V829" s="57"/>
      <c r="W829" s="57"/>
      <c r="X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  <c r="AM829" s="57"/>
      <c r="AN829" s="57"/>
      <c r="AO829" s="57"/>
      <c r="AP829" s="57"/>
      <c r="AQ829" s="57"/>
    </row>
    <row r="830" spans="2:43" ht="17.45" hidden="1" customHeight="1" outlineLevel="1">
      <c r="B830" s="137"/>
      <c r="C830" s="122"/>
      <c r="D830" s="122"/>
      <c r="E830" s="154"/>
      <c r="F830" s="122"/>
      <c r="G830" s="122"/>
      <c r="H830" s="137"/>
      <c r="I830" s="119"/>
      <c r="T830" s="57"/>
      <c r="U830" s="57"/>
      <c r="V830" s="57"/>
      <c r="W830" s="57"/>
      <c r="X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  <c r="AN830" s="57"/>
      <c r="AO830" s="57"/>
      <c r="AP830" s="57"/>
      <c r="AQ830" s="57"/>
    </row>
    <row r="831" spans="2:43" ht="17.45" hidden="1" customHeight="1" outlineLevel="1">
      <c r="B831" s="1173" t="s">
        <v>88</v>
      </c>
      <c r="C831" s="1177" t="s">
        <v>52</v>
      </c>
      <c r="D831" s="1177"/>
      <c r="E831" s="1177"/>
      <c r="F831" s="1177" t="s">
        <v>73</v>
      </c>
      <c r="G831" s="1177" t="s">
        <v>75</v>
      </c>
      <c r="H831" s="1168" t="s">
        <v>72</v>
      </c>
      <c r="I831" s="1168"/>
      <c r="T831" s="57"/>
      <c r="U831" s="57"/>
      <c r="V831" s="57"/>
      <c r="W831" s="57"/>
      <c r="X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  <c r="AM831" s="57"/>
      <c r="AN831" s="57"/>
      <c r="AO831" s="57"/>
      <c r="AP831" s="57"/>
      <c r="AQ831" s="57"/>
    </row>
    <row r="832" spans="2:43" ht="17.45" hidden="1" customHeight="1" outlineLevel="1">
      <c r="B832" s="1173"/>
      <c r="C832" s="628" t="s">
        <v>55</v>
      </c>
      <c r="D832" s="628" t="s">
        <v>56</v>
      </c>
      <c r="E832" s="628" t="s">
        <v>57</v>
      </c>
      <c r="F832" s="1177"/>
      <c r="G832" s="1177"/>
      <c r="H832" s="626" t="s">
        <v>89</v>
      </c>
      <c r="I832" s="626" t="s">
        <v>90</v>
      </c>
      <c r="T832" s="57"/>
      <c r="U832" s="57"/>
      <c r="V832" s="57"/>
      <c r="W832" s="57"/>
      <c r="X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  <c r="AM832" s="57"/>
      <c r="AN832" s="57"/>
      <c r="AO832" s="57"/>
      <c r="AP832" s="57"/>
      <c r="AQ832" s="57"/>
    </row>
    <row r="833" spans="2:43" ht="17.45" hidden="1" customHeight="1" outlineLevel="1">
      <c r="B833" s="138" t="s">
        <v>91</v>
      </c>
      <c r="C833" s="111">
        <f>SUMIF($V$115:$V$136,B833,$L$115:$L$136)</f>
        <v>0</v>
      </c>
      <c r="D833" s="111">
        <f>SUMIF($V$115:$V$136,B833,$M$115:$M$136)</f>
        <v>0</v>
      </c>
      <c r="E833" s="111">
        <f>C833+D833</f>
        <v>0</v>
      </c>
      <c r="F833" s="111">
        <f>SUMIF($V$115:$V$136,B833,$AZ$115:$AZ$136)</f>
        <v>0</v>
      </c>
      <c r="G833" s="111">
        <f>E833/1000</f>
        <v>0</v>
      </c>
      <c r="H833" s="126">
        <f>SUMIF($V$115:$V$136,B833,$I$115:$I$136)</f>
        <v>0</v>
      </c>
      <c r="I833" s="141" t="str">
        <f>IFERROR(H833/F833,"")</f>
        <v/>
      </c>
      <c r="T833" s="57"/>
      <c r="U833" s="57"/>
      <c r="V833" s="57"/>
      <c r="W833" s="57"/>
      <c r="X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  <c r="AM833" s="57"/>
      <c r="AN833" s="57"/>
      <c r="AO833" s="57"/>
      <c r="AP833" s="57"/>
      <c r="AQ833" s="57"/>
    </row>
    <row r="834" spans="2:43" ht="17.45" hidden="1" customHeight="1" outlineLevel="1">
      <c r="B834" s="138" t="s">
        <v>92</v>
      </c>
      <c r="C834" s="111">
        <f>SUMIF($V$115:$V$136,B834,$L$115:$L$136)</f>
        <v>0</v>
      </c>
      <c r="D834" s="111">
        <f>SUMIF($V$115:$V$136,B834,$M$115:$M$136)</f>
        <v>0</v>
      </c>
      <c r="E834" s="111">
        <f t="shared" ref="E834:E836" si="1194">C834+D834</f>
        <v>0</v>
      </c>
      <c r="F834" s="111">
        <f>SUMIF($V$115:$V$136,B834,$AZ$115:$AZ$136)</f>
        <v>0</v>
      </c>
      <c r="G834" s="111">
        <f t="shared" ref="G834:G836" si="1195">E834/1000</f>
        <v>0</v>
      </c>
      <c r="H834" s="126">
        <f>SUMIF($V$115:$V$136,B834,$I$115:$I$136)</f>
        <v>0</v>
      </c>
      <c r="I834" s="141" t="str">
        <f t="shared" ref="I834:I836" si="1196">IFERROR(H834/F834,"")</f>
        <v/>
      </c>
      <c r="T834" s="57"/>
      <c r="U834" s="57"/>
      <c r="V834" s="57"/>
      <c r="W834" s="57"/>
      <c r="X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  <c r="AM834" s="57"/>
      <c r="AN834" s="57"/>
      <c r="AO834" s="57"/>
      <c r="AP834" s="57"/>
      <c r="AQ834" s="57"/>
    </row>
    <row r="835" spans="2:43" ht="17.45" hidden="1" customHeight="1" outlineLevel="1">
      <c r="B835" s="138" t="s">
        <v>93</v>
      </c>
      <c r="C835" s="111">
        <f>SUMIF($V$115:$V$136,B835,$L$115:$L$136)</f>
        <v>0</v>
      </c>
      <c r="D835" s="111">
        <f>SUMIF($V$115:$V$136,B835,$M$115:$M$136)</f>
        <v>0</v>
      </c>
      <c r="E835" s="111">
        <f t="shared" si="1194"/>
        <v>0</v>
      </c>
      <c r="F835" s="111">
        <f>SUMIF($V$115:$V$136,B835,$AZ$115:$AZ$136)</f>
        <v>0</v>
      </c>
      <c r="G835" s="111">
        <f t="shared" si="1195"/>
        <v>0</v>
      </c>
      <c r="H835" s="126">
        <f>SUMIF($V$115:$V$136,B835,$I$115:$I$136)</f>
        <v>0</v>
      </c>
      <c r="I835" s="141" t="str">
        <f t="shared" si="1196"/>
        <v/>
      </c>
      <c r="T835" s="57"/>
      <c r="U835" s="57"/>
      <c r="V835" s="57"/>
      <c r="W835" s="57"/>
      <c r="X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  <c r="AN835" s="57"/>
      <c r="AO835" s="57"/>
      <c r="AP835" s="57"/>
      <c r="AQ835" s="57"/>
    </row>
    <row r="836" spans="2:43" ht="17.45" hidden="1" customHeight="1" outlineLevel="1" thickBot="1">
      <c r="B836" s="138" t="s">
        <v>94</v>
      </c>
      <c r="C836" s="111">
        <f>SUMIF($V$115:$V$136,B836,$L$115:$L$136)</f>
        <v>0</v>
      </c>
      <c r="D836" s="111">
        <f>SUMIF($V$115:$V$136,B836,$M$115:$M$136)</f>
        <v>0</v>
      </c>
      <c r="E836" s="111">
        <f t="shared" si="1194"/>
        <v>0</v>
      </c>
      <c r="F836" s="111">
        <f>SUMIF($V$115:$V$136,B836,$AZ$115:$AZ$136)</f>
        <v>0</v>
      </c>
      <c r="G836" s="111">
        <f t="shared" si="1195"/>
        <v>0</v>
      </c>
      <c r="H836" s="126">
        <f>SUMIF($V$115:$V$136,B836,$I$115:$I$136)</f>
        <v>0</v>
      </c>
      <c r="I836" s="141" t="str">
        <f t="shared" si="1196"/>
        <v/>
      </c>
    </row>
    <row r="837" spans="2:43" ht="17.45" hidden="1" customHeight="1" outlineLevel="1" thickBot="1">
      <c r="B837" s="113" t="s">
        <v>61</v>
      </c>
      <c r="C837" s="114">
        <f>SUM(C833:C836)</f>
        <v>0</v>
      </c>
      <c r="D837" s="114">
        <f t="shared" ref="D837:F837" si="1197">SUM(D833:D836)</f>
        <v>0</v>
      </c>
      <c r="E837" s="114">
        <f t="shared" si="1197"/>
        <v>0</v>
      </c>
      <c r="F837" s="114">
        <f t="shared" si="1197"/>
        <v>0</v>
      </c>
      <c r="G837" s="114">
        <f>SUM(G833:G836)</f>
        <v>0</v>
      </c>
      <c r="H837" s="189">
        <f>SUM(H833:H836)</f>
        <v>0</v>
      </c>
      <c r="I837" s="191" t="str">
        <f>IFERROR(H837/F837,"")</f>
        <v/>
      </c>
    </row>
    <row r="838" spans="2:43" ht="17.45" hidden="1" customHeight="1" outlineLevel="1"/>
    <row r="839" spans="2:43" ht="17.45" customHeight="1" collapsed="1">
      <c r="B839" s="329" t="s">
        <v>263</v>
      </c>
      <c r="O839" s="122"/>
      <c r="P839" s="122"/>
      <c r="Q839" s="122"/>
      <c r="R839" s="123"/>
      <c r="S839" s="331"/>
      <c r="T839" s="124"/>
      <c r="U839" s="332"/>
      <c r="V839" s="332"/>
      <c r="W839" s="245"/>
      <c r="X839" s="245"/>
      <c r="Y839" s="333"/>
    </row>
    <row r="840" spans="2:43" ht="17.45" hidden="1" customHeight="1" outlineLevel="1">
      <c r="B840" s="1173" t="s">
        <v>51</v>
      </c>
      <c r="C840" s="1173"/>
      <c r="D840" s="1168" t="s">
        <v>52</v>
      </c>
      <c r="E840" s="1168"/>
      <c r="F840" s="1168"/>
      <c r="G840" s="1168" t="s">
        <v>53</v>
      </c>
      <c r="H840" s="1168"/>
      <c r="I840" s="1168"/>
      <c r="J840" s="1168" t="s">
        <v>54</v>
      </c>
      <c r="K840" s="1168"/>
      <c r="L840" s="1168"/>
      <c r="O840" s="1168" t="s">
        <v>71</v>
      </c>
      <c r="P840" s="1168" t="s">
        <v>72</v>
      </c>
      <c r="Q840" s="1168" t="s">
        <v>73</v>
      </c>
      <c r="R840" s="1168" t="s">
        <v>74</v>
      </c>
      <c r="S840" s="122"/>
      <c r="T840" s="1168" t="s">
        <v>71</v>
      </c>
      <c r="U840" s="1168" t="s">
        <v>72</v>
      </c>
      <c r="V840" s="1168" t="s">
        <v>73</v>
      </c>
      <c r="W840" s="1168" t="s">
        <v>74</v>
      </c>
      <c r="X840" s="1168" t="s">
        <v>75</v>
      </c>
      <c r="Y840" s="1169" t="str">
        <f>RIGHT(B839,3)&amp;" 목표(ST)"</f>
        <v xml:space="preserve"> 9월 목표(ST)</v>
      </c>
      <c r="Z840" s="1170" t="s">
        <v>111</v>
      </c>
      <c r="AA840" s="1169" t="s">
        <v>153</v>
      </c>
    </row>
    <row r="841" spans="2:43" ht="17.45" hidden="1" customHeight="1" outlineLevel="1">
      <c r="B841" s="1173"/>
      <c r="C841" s="1173"/>
      <c r="D841" s="626" t="s">
        <v>55</v>
      </c>
      <c r="E841" s="626" t="s">
        <v>56</v>
      </c>
      <c r="F841" s="626" t="s">
        <v>57</v>
      </c>
      <c r="G841" s="626" t="s">
        <v>55</v>
      </c>
      <c r="H841" s="626" t="s">
        <v>56</v>
      </c>
      <c r="I841" s="626" t="s">
        <v>57</v>
      </c>
      <c r="J841" s="626" t="s">
        <v>55</v>
      </c>
      <c r="K841" s="626" t="s">
        <v>56</v>
      </c>
      <c r="L841" s="626" t="s">
        <v>57</v>
      </c>
      <c r="O841" s="1168"/>
      <c r="P841" s="1168"/>
      <c r="Q841" s="1168"/>
      <c r="R841" s="1168"/>
      <c r="S841" s="122"/>
      <c r="T841" s="1168"/>
      <c r="U841" s="1168"/>
      <c r="V841" s="1168"/>
      <c r="W841" s="1168"/>
      <c r="X841" s="1168"/>
      <c r="Y841" s="1168"/>
      <c r="Z841" s="1168"/>
      <c r="AA841" s="1168"/>
      <c r="AN841" s="361" t="s">
        <v>166</v>
      </c>
      <c r="AO841" s="362" t="s">
        <v>156</v>
      </c>
      <c r="AP841" s="457"/>
    </row>
    <row r="842" spans="2:43" ht="17.45" hidden="1" customHeight="1" outlineLevel="1">
      <c r="B842" s="1171" t="s">
        <v>58</v>
      </c>
      <c r="C842" s="110" t="s">
        <v>179</v>
      </c>
      <c r="D842" s="111">
        <f t="shared" ref="D842:D847" si="1198">SUMIF($B$138:$B$155,C842,$L$138:$L$155)</f>
        <v>0</v>
      </c>
      <c r="E842" s="111">
        <f t="shared" ref="E842:E847" si="1199">SUMIF($B$138:$B$155,C842,$M$138:$M$155)</f>
        <v>0</v>
      </c>
      <c r="F842" s="111">
        <f>D842+E842</f>
        <v>0</v>
      </c>
      <c r="G842" s="112" t="str">
        <f>IFERROR(D842/F842,"")</f>
        <v/>
      </c>
      <c r="H842" s="112" t="str">
        <f>IFERROR(E842/F842,"")</f>
        <v/>
      </c>
      <c r="I842" s="112" t="str">
        <f t="shared" ref="I842:I847" si="1200">IFERROR(G842+H842,"")</f>
        <v/>
      </c>
      <c r="J842" s="111">
        <f t="shared" ref="J842:J847" si="1201">SUMIF($B$138:$B$155,C842,$AX$138:$AX$155)</f>
        <v>0</v>
      </c>
      <c r="K842" s="111">
        <f t="shared" ref="K842:K847" si="1202">SUMIF($B$138:$B$155,C842,$AY$138:$AY$155)</f>
        <v>0</v>
      </c>
      <c r="L842" s="111">
        <f>J842+K842</f>
        <v>0</v>
      </c>
      <c r="O842" s="125" t="str">
        <f>C842</f>
        <v>SGC에너지</v>
      </c>
      <c r="P842" s="126">
        <f t="shared" ref="P842:P847" si="1203">SUMIF($B$138:$B$155,O842,$I$138:$I$155)</f>
        <v>0</v>
      </c>
      <c r="Q842" s="111">
        <f t="shared" ref="Q842:Q847" si="1204">SUMIF($B$138:$B$155,O842,$AZ$138:$AZ$155)</f>
        <v>0</v>
      </c>
      <c r="R842" s="126" t="str">
        <f>IFERROR(P842/Q842,"")</f>
        <v/>
      </c>
      <c r="S842" s="122"/>
      <c r="T842" s="125" t="str">
        <f>O842</f>
        <v>SGC에너지</v>
      </c>
      <c r="U842" s="126">
        <f>P842</f>
        <v>0</v>
      </c>
      <c r="V842" s="111">
        <f>Q842</f>
        <v>0</v>
      </c>
      <c r="W842" s="127" t="str">
        <f>IFERROR(U842/V842,"")</f>
        <v/>
      </c>
      <c r="X842" s="148">
        <f>F842/1000</f>
        <v>0</v>
      </c>
      <c r="Y842" s="111"/>
      <c r="Z842" s="155" t="str">
        <f>IFERROR(IF(X842=0,"",X842/Y842),"")</f>
        <v/>
      </c>
      <c r="AA842" s="215">
        <f>X842-Y842</f>
        <v>0</v>
      </c>
      <c r="AN842" s="335">
        <f>Y734+Y788+Y842</f>
        <v>0</v>
      </c>
      <c r="AO842" s="336">
        <f>X842-Y842</f>
        <v>0</v>
      </c>
      <c r="AP842" s="452"/>
    </row>
    <row r="843" spans="2:43" ht="17.45" hidden="1" customHeight="1" outlineLevel="1">
      <c r="B843" s="1172"/>
      <c r="C843" s="110" t="s">
        <v>59</v>
      </c>
      <c r="D843" s="111">
        <f t="shared" si="1198"/>
        <v>0</v>
      </c>
      <c r="E843" s="111">
        <f t="shared" si="1199"/>
        <v>0</v>
      </c>
      <c r="F843" s="111">
        <f t="shared" ref="F843:F847" si="1205">D843+E843</f>
        <v>0</v>
      </c>
      <c r="G843" s="112" t="str">
        <f t="shared" ref="G843:G865" si="1206">IFERROR(D843/F843,"")</f>
        <v/>
      </c>
      <c r="H843" s="112" t="str">
        <f t="shared" ref="H843:H847" si="1207">IFERROR(E843/F843,"")</f>
        <v/>
      </c>
      <c r="I843" s="112" t="str">
        <f t="shared" si="1200"/>
        <v/>
      </c>
      <c r="J843" s="111">
        <f t="shared" si="1201"/>
        <v>0</v>
      </c>
      <c r="K843" s="111">
        <f t="shared" si="1202"/>
        <v>0</v>
      </c>
      <c r="L843" s="111">
        <f t="shared" ref="L843:L847" si="1208">J843+K843</f>
        <v>0</v>
      </c>
      <c r="O843" s="125" t="str">
        <f t="shared" ref="O843:O847" si="1209">C843</f>
        <v>남동발전</v>
      </c>
      <c r="P843" s="126">
        <f t="shared" si="1203"/>
        <v>0</v>
      </c>
      <c r="Q843" s="111">
        <f t="shared" si="1204"/>
        <v>0</v>
      </c>
      <c r="R843" s="126" t="str">
        <f t="shared" ref="R843:R864" si="1210">IFERROR(P843/Q843,"")</f>
        <v/>
      </c>
      <c r="S843" s="122"/>
      <c r="T843" s="125" t="str">
        <f t="shared" ref="T843:V847" si="1211">O843</f>
        <v>남동발전</v>
      </c>
      <c r="U843" s="126">
        <f t="shared" si="1211"/>
        <v>0</v>
      </c>
      <c r="V843" s="111">
        <f t="shared" si="1211"/>
        <v>0</v>
      </c>
      <c r="W843" s="127" t="str">
        <f t="shared" ref="W843:W863" si="1212">IFERROR(U843/V843,"")</f>
        <v/>
      </c>
      <c r="X843" s="148">
        <f t="shared" ref="X843:X847" si="1213">F843/1000</f>
        <v>0</v>
      </c>
      <c r="Y843" s="111"/>
      <c r="Z843" s="155" t="str">
        <f t="shared" ref="Z843:Z857" si="1214">IFERROR(IF(X843=0,"",X843/Y843),"")</f>
        <v/>
      </c>
      <c r="AA843" s="215">
        <f t="shared" ref="AA843:AA863" si="1215">X843-Y843</f>
        <v>0</v>
      </c>
      <c r="AN843" s="335">
        <f t="shared" ref="AN843:AN847" si="1216">Y735+Y789+Y843</f>
        <v>0</v>
      </c>
      <c r="AO843" s="336">
        <f t="shared" ref="AO843:AO847" si="1217">X843-Y843</f>
        <v>0</v>
      </c>
      <c r="AP843" s="452"/>
    </row>
    <row r="844" spans="2:43" ht="17.45" hidden="1" customHeight="1" outlineLevel="1">
      <c r="B844" s="1172"/>
      <c r="C844" s="110" t="s">
        <v>60</v>
      </c>
      <c r="D844" s="111">
        <f t="shared" si="1198"/>
        <v>0</v>
      </c>
      <c r="E844" s="111">
        <f t="shared" si="1199"/>
        <v>0</v>
      </c>
      <c r="F844" s="111">
        <f t="shared" si="1205"/>
        <v>0</v>
      </c>
      <c r="G844" s="112" t="str">
        <f t="shared" si="1206"/>
        <v/>
      </c>
      <c r="H844" s="112" t="str">
        <f t="shared" si="1207"/>
        <v/>
      </c>
      <c r="I844" s="112" t="str">
        <f t="shared" si="1200"/>
        <v/>
      </c>
      <c r="J844" s="111">
        <f t="shared" si="1201"/>
        <v>0</v>
      </c>
      <c r="K844" s="111">
        <f t="shared" si="1202"/>
        <v>0</v>
      </c>
      <c r="L844" s="111">
        <f t="shared" si="1208"/>
        <v>0</v>
      </c>
      <c r="O844" s="125" t="str">
        <f t="shared" si="1209"/>
        <v>동서발전</v>
      </c>
      <c r="P844" s="126">
        <f t="shared" si="1203"/>
        <v>0</v>
      </c>
      <c r="Q844" s="111">
        <f t="shared" si="1204"/>
        <v>0</v>
      </c>
      <c r="R844" s="126" t="str">
        <f t="shared" si="1210"/>
        <v/>
      </c>
      <c r="S844" s="122"/>
      <c r="T844" s="125" t="str">
        <f t="shared" si="1211"/>
        <v>동서발전</v>
      </c>
      <c r="U844" s="126">
        <f t="shared" si="1211"/>
        <v>0</v>
      </c>
      <c r="V844" s="111">
        <f t="shared" si="1211"/>
        <v>0</v>
      </c>
      <c r="W844" s="127" t="str">
        <f t="shared" si="1212"/>
        <v/>
      </c>
      <c r="X844" s="148">
        <f t="shared" si="1213"/>
        <v>0</v>
      </c>
      <c r="Y844" s="111"/>
      <c r="Z844" s="155" t="str">
        <f t="shared" si="1214"/>
        <v/>
      </c>
      <c r="AA844" s="215">
        <f t="shared" si="1215"/>
        <v>0</v>
      </c>
      <c r="AN844" s="335">
        <f t="shared" si="1216"/>
        <v>0</v>
      </c>
      <c r="AO844" s="336">
        <f t="shared" si="1217"/>
        <v>0</v>
      </c>
      <c r="AP844" s="452"/>
    </row>
    <row r="845" spans="2:43" ht="17.45" hidden="1" customHeight="1" outlineLevel="1">
      <c r="B845" s="1172"/>
      <c r="C845" s="110" t="s">
        <v>159</v>
      </c>
      <c r="D845" s="111">
        <f t="shared" si="1198"/>
        <v>0</v>
      </c>
      <c r="E845" s="111">
        <f t="shared" si="1199"/>
        <v>0</v>
      </c>
      <c r="F845" s="111">
        <f t="shared" si="1205"/>
        <v>0</v>
      </c>
      <c r="G845" s="112" t="str">
        <f t="shared" si="1206"/>
        <v/>
      </c>
      <c r="H845" s="112" t="str">
        <f t="shared" si="1207"/>
        <v/>
      </c>
      <c r="I845" s="112" t="str">
        <f t="shared" si="1200"/>
        <v/>
      </c>
      <c r="J845" s="111">
        <f t="shared" si="1201"/>
        <v>0</v>
      </c>
      <c r="K845" s="111">
        <f t="shared" si="1202"/>
        <v>0</v>
      </c>
      <c r="L845" s="111">
        <f t="shared" si="1208"/>
        <v>0</v>
      </c>
      <c r="O845" s="125" t="str">
        <f t="shared" si="1209"/>
        <v>미쓰이</v>
      </c>
      <c r="P845" s="126">
        <f t="shared" si="1203"/>
        <v>0</v>
      </c>
      <c r="Q845" s="111">
        <f t="shared" si="1204"/>
        <v>0</v>
      </c>
      <c r="R845" s="126" t="str">
        <f t="shared" si="1210"/>
        <v/>
      </c>
      <c r="S845" s="122"/>
      <c r="T845" s="125" t="str">
        <f t="shared" si="1211"/>
        <v>미쓰이</v>
      </c>
      <c r="U845" s="126">
        <f t="shared" si="1211"/>
        <v>0</v>
      </c>
      <c r="V845" s="111">
        <f t="shared" si="1211"/>
        <v>0</v>
      </c>
      <c r="W845" s="127" t="str">
        <f t="shared" si="1212"/>
        <v/>
      </c>
      <c r="X845" s="148">
        <f t="shared" si="1213"/>
        <v>0</v>
      </c>
      <c r="Y845" s="111"/>
      <c r="Z845" s="155" t="str">
        <f t="shared" si="1214"/>
        <v/>
      </c>
      <c r="AA845" s="215"/>
      <c r="AN845" s="335">
        <f t="shared" si="1216"/>
        <v>0</v>
      </c>
      <c r="AO845" s="336">
        <f t="shared" si="1217"/>
        <v>0</v>
      </c>
      <c r="AP845" s="452"/>
    </row>
    <row r="846" spans="2:43" ht="17.45" hidden="1" customHeight="1" outlineLevel="1">
      <c r="B846" s="1172"/>
      <c r="C846" s="110" t="s">
        <v>168</v>
      </c>
      <c r="D846" s="111">
        <f t="shared" si="1198"/>
        <v>0</v>
      </c>
      <c r="E846" s="111">
        <f t="shared" si="1199"/>
        <v>0</v>
      </c>
      <c r="F846" s="111">
        <f t="shared" si="1205"/>
        <v>0</v>
      </c>
      <c r="G846" s="112" t="str">
        <f t="shared" si="1206"/>
        <v/>
      </c>
      <c r="H846" s="112" t="str">
        <f t="shared" si="1207"/>
        <v/>
      </c>
      <c r="I846" s="112" t="str">
        <f t="shared" si="1200"/>
        <v/>
      </c>
      <c r="J846" s="111">
        <f t="shared" si="1201"/>
        <v>0</v>
      </c>
      <c r="K846" s="111">
        <f t="shared" si="1202"/>
        <v>0</v>
      </c>
      <c r="L846" s="111">
        <f t="shared" si="1208"/>
        <v>0</v>
      </c>
      <c r="O846" s="125" t="str">
        <f t="shared" si="1209"/>
        <v>포스코인터</v>
      </c>
      <c r="P846" s="126">
        <f t="shared" si="1203"/>
        <v>0</v>
      </c>
      <c r="Q846" s="111">
        <f t="shared" si="1204"/>
        <v>0</v>
      </c>
      <c r="R846" s="126" t="str">
        <f t="shared" si="1210"/>
        <v/>
      </c>
      <c r="S846" s="122"/>
      <c r="T846" s="125" t="str">
        <f t="shared" si="1211"/>
        <v>포스코인터</v>
      </c>
      <c r="U846" s="126">
        <f t="shared" si="1211"/>
        <v>0</v>
      </c>
      <c r="V846" s="111">
        <f t="shared" si="1211"/>
        <v>0</v>
      </c>
      <c r="W846" s="127" t="str">
        <f t="shared" si="1212"/>
        <v/>
      </c>
      <c r="X846" s="148">
        <f t="shared" si="1213"/>
        <v>0</v>
      </c>
      <c r="Y846" s="111"/>
      <c r="Z846" s="155" t="str">
        <f t="shared" si="1214"/>
        <v/>
      </c>
      <c r="AA846" s="215"/>
      <c r="AN846" s="335">
        <f t="shared" si="1216"/>
        <v>0</v>
      </c>
      <c r="AO846" s="336">
        <f t="shared" si="1217"/>
        <v>0</v>
      </c>
      <c r="AP846" s="452"/>
    </row>
    <row r="847" spans="2:43" ht="17.45" hidden="1" customHeight="1" outlineLevel="1">
      <c r="B847" s="1172"/>
      <c r="C847" s="110" t="s">
        <v>154</v>
      </c>
      <c r="D847" s="111">
        <f t="shared" si="1198"/>
        <v>0</v>
      </c>
      <c r="E847" s="111">
        <f t="shared" si="1199"/>
        <v>0</v>
      </c>
      <c r="F847" s="111">
        <f t="shared" si="1205"/>
        <v>0</v>
      </c>
      <c r="G847" s="112" t="str">
        <f t="shared" si="1206"/>
        <v/>
      </c>
      <c r="H847" s="112" t="str">
        <f t="shared" si="1207"/>
        <v/>
      </c>
      <c r="I847" s="112" t="str">
        <f t="shared" si="1200"/>
        <v/>
      </c>
      <c r="J847" s="111">
        <f t="shared" si="1201"/>
        <v>0</v>
      </c>
      <c r="K847" s="111">
        <f t="shared" si="1202"/>
        <v>0</v>
      </c>
      <c r="L847" s="111">
        <f t="shared" si="1208"/>
        <v>0</v>
      </c>
      <c r="O847" s="125" t="str">
        <f t="shared" si="1209"/>
        <v>이노샌드</v>
      </c>
      <c r="P847" s="126">
        <f t="shared" si="1203"/>
        <v>0</v>
      </c>
      <c r="Q847" s="111">
        <f t="shared" si="1204"/>
        <v>0</v>
      </c>
      <c r="R847" s="126" t="str">
        <f t="shared" si="1210"/>
        <v/>
      </c>
      <c r="S847" s="122"/>
      <c r="T847" s="125" t="str">
        <f t="shared" si="1211"/>
        <v>이노샌드</v>
      </c>
      <c r="U847" s="126">
        <f t="shared" si="1211"/>
        <v>0</v>
      </c>
      <c r="V847" s="111">
        <f t="shared" si="1211"/>
        <v>0</v>
      </c>
      <c r="W847" s="127" t="str">
        <f t="shared" si="1212"/>
        <v/>
      </c>
      <c r="X847" s="148">
        <f t="shared" si="1213"/>
        <v>0</v>
      </c>
      <c r="Y847" s="111"/>
      <c r="Z847" s="155" t="str">
        <f t="shared" si="1214"/>
        <v/>
      </c>
      <c r="AA847" s="215">
        <f t="shared" si="1215"/>
        <v>0</v>
      </c>
      <c r="AN847" s="335">
        <f t="shared" si="1216"/>
        <v>0</v>
      </c>
      <c r="AO847" s="336">
        <f t="shared" si="1217"/>
        <v>0</v>
      </c>
      <c r="AP847" s="452"/>
      <c r="AQ847" s="337"/>
    </row>
    <row r="848" spans="2:43" ht="17.45" hidden="1" customHeight="1" outlineLevel="1">
      <c r="B848" s="1172"/>
      <c r="C848" s="113" t="s">
        <v>61</v>
      </c>
      <c r="D848" s="114">
        <f>SUM(D842:D847)</f>
        <v>0</v>
      </c>
      <c r="E848" s="114">
        <f>SUM(E842:E847)</f>
        <v>0</v>
      </c>
      <c r="F848" s="114">
        <f>SUM(F842:F847)</f>
        <v>0</v>
      </c>
      <c r="G848" s="115" t="str">
        <f t="shared" si="1206"/>
        <v/>
      </c>
      <c r="H848" s="115" t="str">
        <f>IFERROR(E848/F848,"")</f>
        <v/>
      </c>
      <c r="I848" s="115" t="str">
        <f>IFERROR(G848+H848,"")</f>
        <v/>
      </c>
      <c r="J848" s="114">
        <f>SUM(J842:J847)</f>
        <v>0</v>
      </c>
      <c r="K848" s="114">
        <f t="shared" ref="K848:L848" si="1218">SUM(K842:K847)</f>
        <v>0</v>
      </c>
      <c r="L848" s="114">
        <f t="shared" si="1218"/>
        <v>0</v>
      </c>
      <c r="O848" s="128" t="s">
        <v>61</v>
      </c>
      <c r="P848" s="129">
        <f>SUM(P842:P847)</f>
        <v>0</v>
      </c>
      <c r="Q848" s="114">
        <f>SUM(Q842:Q847)</f>
        <v>0</v>
      </c>
      <c r="R848" s="129" t="str">
        <f t="shared" si="1210"/>
        <v/>
      </c>
      <c r="S848" s="122"/>
      <c r="T848" s="128" t="s">
        <v>61</v>
      </c>
      <c r="U848" s="129">
        <f>SUM(U842:U847)</f>
        <v>0</v>
      </c>
      <c r="V848" s="114">
        <f>SUM(V842:V847)</f>
        <v>0</v>
      </c>
      <c r="W848" s="129" t="str">
        <f t="shared" si="1212"/>
        <v/>
      </c>
      <c r="X848" s="114">
        <f>SUM(X842:X847)</f>
        <v>0</v>
      </c>
      <c r="Y848" s="114">
        <f>SUM(Y842:Y847)</f>
        <v>0</v>
      </c>
      <c r="Z848" s="156" t="str">
        <f t="shared" si="1214"/>
        <v/>
      </c>
      <c r="AA848" s="212">
        <f>SUM(AA842:AA847)</f>
        <v>0</v>
      </c>
      <c r="AN848" s="338">
        <f>SUM(AN842:AN847)</f>
        <v>0</v>
      </c>
      <c r="AO848" s="338">
        <f>SUM(AO842:AO847)</f>
        <v>0</v>
      </c>
      <c r="AP848" s="453"/>
    </row>
    <row r="849" spans="2:43" ht="17.45" hidden="1" customHeight="1" outlineLevel="1">
      <c r="B849" s="1171" t="s">
        <v>62</v>
      </c>
      <c r="C849" s="110" t="s">
        <v>222</v>
      </c>
      <c r="D849" s="111">
        <f t="shared" ref="D849:D863" si="1219">SUMIF($B$138:$B$155,C849,$L$138:$L$155)</f>
        <v>0</v>
      </c>
      <c r="E849" s="111">
        <f t="shared" ref="E849:E863" si="1220">SUMIF($B$138:$B$155,C849,$M$138:$M$155)</f>
        <v>0</v>
      </c>
      <c r="F849" s="111">
        <f t="shared" ref="F849:F863" si="1221">D849+E849</f>
        <v>0</v>
      </c>
      <c r="G849" s="112" t="str">
        <f t="shared" si="1206"/>
        <v/>
      </c>
      <c r="H849" s="112" t="str">
        <f t="shared" ref="H849:H863" si="1222">IFERROR(E849/F849,"")</f>
        <v/>
      </c>
      <c r="I849" s="112" t="str">
        <f t="shared" ref="I849:I863" si="1223">IFERROR(G849+H849,"")</f>
        <v/>
      </c>
      <c r="J849" s="111">
        <f t="shared" ref="J849:J863" si="1224">SUMIF($B$138:$B$155,C849,$AX$138:$AX$155)</f>
        <v>0</v>
      </c>
      <c r="K849" s="111">
        <f t="shared" ref="K849:K863" si="1225">SUMIF($B$138:$B$155,C849,$AY$138:$AY$155)</f>
        <v>0</v>
      </c>
      <c r="L849" s="111">
        <f t="shared" ref="L849:L863" si="1226">J849+K849</f>
        <v>0</v>
      </c>
      <c r="O849" s="125" t="str">
        <f>C849</f>
        <v>태경비케이</v>
      </c>
      <c r="P849" s="126">
        <f t="shared" ref="P849:P863" si="1227">SUMIF($B$138:$B$155,O849,$I$138:$I$155)</f>
        <v>0</v>
      </c>
      <c r="Q849" s="111">
        <f t="shared" ref="Q849:Q863" si="1228">SUMIF($B$138:$B$155,O849,$AZ$138:$AZ$155)</f>
        <v>0</v>
      </c>
      <c r="R849" s="126" t="str">
        <f t="shared" si="1210"/>
        <v/>
      </c>
      <c r="S849" s="122"/>
      <c r="T849" s="125" t="str">
        <f t="shared" ref="T849:V863" si="1229">O849</f>
        <v>태경비케이</v>
      </c>
      <c r="U849" s="126">
        <f t="shared" si="1229"/>
        <v>0</v>
      </c>
      <c r="V849" s="111">
        <f t="shared" si="1229"/>
        <v>0</v>
      </c>
      <c r="W849" s="127" t="str">
        <f t="shared" si="1212"/>
        <v/>
      </c>
      <c r="X849" s="148">
        <f t="shared" ref="X849:X863" si="1230">F849/1000</f>
        <v>0</v>
      </c>
      <c r="Y849" s="111"/>
      <c r="Z849" s="155" t="str">
        <f t="shared" si="1214"/>
        <v/>
      </c>
      <c r="AA849" s="215">
        <f t="shared" si="1215"/>
        <v>0</v>
      </c>
      <c r="AN849" s="335">
        <f t="shared" ref="AN849:AN863" si="1231">Y741+Y795+Y849</f>
        <v>0</v>
      </c>
      <c r="AO849" s="336">
        <f>X849-Y849</f>
        <v>0</v>
      </c>
      <c r="AP849" s="452"/>
    </row>
    <row r="850" spans="2:43" ht="17.45" hidden="1" customHeight="1" outlineLevel="1">
      <c r="B850" s="1172"/>
      <c r="C850" s="110" t="s">
        <v>78</v>
      </c>
      <c r="D850" s="111">
        <f t="shared" si="1219"/>
        <v>0</v>
      </c>
      <c r="E850" s="111">
        <f t="shared" si="1220"/>
        <v>0</v>
      </c>
      <c r="F850" s="111">
        <f t="shared" si="1221"/>
        <v>0</v>
      </c>
      <c r="G850" s="112" t="str">
        <f t="shared" si="1206"/>
        <v/>
      </c>
      <c r="H850" s="112" t="str">
        <f t="shared" si="1222"/>
        <v/>
      </c>
      <c r="I850" s="112" t="str">
        <f t="shared" si="1223"/>
        <v/>
      </c>
      <c r="J850" s="111">
        <f t="shared" si="1224"/>
        <v>0</v>
      </c>
      <c r="K850" s="111">
        <f t="shared" si="1225"/>
        <v>0</v>
      </c>
      <c r="L850" s="111">
        <f t="shared" si="1226"/>
        <v>0</v>
      </c>
      <c r="O850" s="125" t="str">
        <f t="shared" ref="O850:O863" si="1232">C850</f>
        <v>삼영산업</v>
      </c>
      <c r="P850" s="126">
        <f t="shared" si="1227"/>
        <v>0</v>
      </c>
      <c r="Q850" s="111">
        <f t="shared" si="1228"/>
        <v>0</v>
      </c>
      <c r="R850" s="126" t="str">
        <f t="shared" si="1210"/>
        <v/>
      </c>
      <c r="S850" s="122"/>
      <c r="T850" s="125" t="str">
        <f t="shared" si="1229"/>
        <v>삼영산업</v>
      </c>
      <c r="U850" s="126">
        <f t="shared" si="1229"/>
        <v>0</v>
      </c>
      <c r="V850" s="111">
        <f t="shared" si="1229"/>
        <v>0</v>
      </c>
      <c r="W850" s="127" t="str">
        <f t="shared" si="1212"/>
        <v/>
      </c>
      <c r="X850" s="148">
        <f t="shared" si="1230"/>
        <v>0</v>
      </c>
      <c r="Y850" s="111"/>
      <c r="Z850" s="155" t="str">
        <f t="shared" si="1214"/>
        <v/>
      </c>
      <c r="AA850" s="215">
        <f t="shared" si="1215"/>
        <v>0</v>
      </c>
      <c r="AN850" s="335">
        <f t="shared" si="1231"/>
        <v>0</v>
      </c>
      <c r="AO850" s="336">
        <f t="shared" ref="AO850:AO851" si="1233">X850-Y850</f>
        <v>0</v>
      </c>
      <c r="AP850" s="452"/>
    </row>
    <row r="851" spans="2:43" ht="17.45" hidden="1" customHeight="1" outlineLevel="1">
      <c r="B851" s="1172"/>
      <c r="C851" s="110" t="s">
        <v>176</v>
      </c>
      <c r="D851" s="111">
        <f t="shared" si="1219"/>
        <v>0</v>
      </c>
      <c r="E851" s="111">
        <f t="shared" si="1220"/>
        <v>0</v>
      </c>
      <c r="F851" s="111">
        <f t="shared" si="1221"/>
        <v>0</v>
      </c>
      <c r="G851" s="112" t="str">
        <f t="shared" si="1206"/>
        <v/>
      </c>
      <c r="H851" s="112" t="str">
        <f t="shared" si="1222"/>
        <v/>
      </c>
      <c r="I851" s="112" t="str">
        <f t="shared" si="1223"/>
        <v/>
      </c>
      <c r="J851" s="111">
        <f t="shared" si="1224"/>
        <v>0</v>
      </c>
      <c r="K851" s="111">
        <f t="shared" si="1225"/>
        <v>0</v>
      </c>
      <c r="L851" s="111">
        <f t="shared" si="1226"/>
        <v>0</v>
      </c>
      <c r="O851" s="125" t="str">
        <f t="shared" si="1232"/>
        <v>고려시멘트</v>
      </c>
      <c r="P851" s="126">
        <f t="shared" si="1227"/>
        <v>0</v>
      </c>
      <c r="Q851" s="111">
        <f t="shared" si="1228"/>
        <v>0</v>
      </c>
      <c r="R851" s="126" t="str">
        <f t="shared" si="1210"/>
        <v/>
      </c>
      <c r="S851" s="122"/>
      <c r="T851" s="125" t="str">
        <f t="shared" si="1229"/>
        <v>고려시멘트</v>
      </c>
      <c r="U851" s="126">
        <f t="shared" si="1229"/>
        <v>0</v>
      </c>
      <c r="V851" s="111">
        <f t="shared" si="1229"/>
        <v>0</v>
      </c>
      <c r="W851" s="127" t="str">
        <f t="shared" si="1212"/>
        <v/>
      </c>
      <c r="X851" s="148">
        <f t="shared" si="1230"/>
        <v>0</v>
      </c>
      <c r="Y851" s="111"/>
      <c r="Z851" s="155" t="str">
        <f t="shared" si="1214"/>
        <v/>
      </c>
      <c r="AA851" s="215">
        <f t="shared" si="1215"/>
        <v>0</v>
      </c>
      <c r="AN851" s="335">
        <f t="shared" si="1231"/>
        <v>0</v>
      </c>
      <c r="AO851" s="336">
        <f t="shared" si="1233"/>
        <v>0</v>
      </c>
      <c r="AP851" s="452"/>
    </row>
    <row r="852" spans="2:43" ht="17.45" hidden="1" customHeight="1" outlineLevel="1">
      <c r="B852" s="1172"/>
      <c r="C852" s="110" t="s">
        <v>63</v>
      </c>
      <c r="D852" s="111">
        <f t="shared" si="1219"/>
        <v>0</v>
      </c>
      <c r="E852" s="111">
        <f t="shared" si="1220"/>
        <v>0</v>
      </c>
      <c r="F852" s="111">
        <f t="shared" si="1221"/>
        <v>0</v>
      </c>
      <c r="G852" s="112" t="str">
        <f t="shared" si="1206"/>
        <v/>
      </c>
      <c r="H852" s="112" t="str">
        <f t="shared" si="1222"/>
        <v/>
      </c>
      <c r="I852" s="112" t="str">
        <f t="shared" si="1223"/>
        <v/>
      </c>
      <c r="J852" s="111">
        <f t="shared" si="1224"/>
        <v>0</v>
      </c>
      <c r="K852" s="111">
        <f t="shared" si="1225"/>
        <v>0</v>
      </c>
      <c r="L852" s="111">
        <f t="shared" si="1226"/>
        <v>0</v>
      </c>
      <c r="O852" s="125" t="str">
        <f t="shared" si="1232"/>
        <v>청해실업</v>
      </c>
      <c r="P852" s="126">
        <f t="shared" si="1227"/>
        <v>0</v>
      </c>
      <c r="Q852" s="111">
        <f t="shared" si="1228"/>
        <v>0</v>
      </c>
      <c r="R852" s="126" t="str">
        <f t="shared" si="1210"/>
        <v/>
      </c>
      <c r="S852" s="122"/>
      <c r="T852" s="125" t="str">
        <f t="shared" si="1229"/>
        <v>청해실업</v>
      </c>
      <c r="U852" s="126">
        <f t="shared" si="1229"/>
        <v>0</v>
      </c>
      <c r="V852" s="111">
        <f t="shared" si="1229"/>
        <v>0</v>
      </c>
      <c r="W852" s="127" t="str">
        <f t="shared" si="1212"/>
        <v/>
      </c>
      <c r="X852" s="148">
        <f t="shared" si="1230"/>
        <v>0</v>
      </c>
      <c r="Y852" s="111"/>
      <c r="Z852" s="155" t="str">
        <f t="shared" si="1214"/>
        <v/>
      </c>
      <c r="AA852" s="215">
        <f t="shared" si="1215"/>
        <v>0</v>
      </c>
      <c r="AN852" s="339">
        <f t="shared" si="1231"/>
        <v>0</v>
      </c>
      <c r="AO852" s="340">
        <f t="shared" ref="AO852" si="1234">X852-AN852</f>
        <v>0</v>
      </c>
      <c r="AP852" s="454"/>
      <c r="AQ852" s="240" t="s">
        <v>30</v>
      </c>
    </row>
    <row r="853" spans="2:43" ht="17.45" hidden="1" customHeight="1" outlineLevel="1">
      <c r="B853" s="1172"/>
      <c r="C853" s="110" t="s">
        <v>64</v>
      </c>
      <c r="D853" s="111">
        <f t="shared" si="1219"/>
        <v>0</v>
      </c>
      <c r="E853" s="111">
        <f t="shared" si="1220"/>
        <v>0</v>
      </c>
      <c r="F853" s="111">
        <f t="shared" si="1221"/>
        <v>0</v>
      </c>
      <c r="G853" s="112" t="str">
        <f t="shared" si="1206"/>
        <v/>
      </c>
      <c r="H853" s="112" t="str">
        <f t="shared" si="1222"/>
        <v/>
      </c>
      <c r="I853" s="112" t="str">
        <f t="shared" si="1223"/>
        <v/>
      </c>
      <c r="J853" s="111">
        <f t="shared" si="1224"/>
        <v>0</v>
      </c>
      <c r="K853" s="111">
        <f t="shared" si="1225"/>
        <v>0</v>
      </c>
      <c r="L853" s="111">
        <f t="shared" si="1226"/>
        <v>0</v>
      </c>
      <c r="O853" s="125" t="str">
        <f t="shared" si="1232"/>
        <v>한화에너지</v>
      </c>
      <c r="P853" s="126">
        <f t="shared" si="1227"/>
        <v>0</v>
      </c>
      <c r="Q853" s="111">
        <f t="shared" si="1228"/>
        <v>0</v>
      </c>
      <c r="R853" s="126" t="str">
        <f t="shared" si="1210"/>
        <v/>
      </c>
      <c r="S853" s="122"/>
      <c r="T853" s="125" t="str">
        <f t="shared" si="1229"/>
        <v>한화에너지</v>
      </c>
      <c r="U853" s="126">
        <f t="shared" si="1229"/>
        <v>0</v>
      </c>
      <c r="V853" s="111">
        <f t="shared" si="1229"/>
        <v>0</v>
      </c>
      <c r="W853" s="127" t="str">
        <f t="shared" si="1212"/>
        <v/>
      </c>
      <c r="X853" s="148">
        <f t="shared" si="1230"/>
        <v>0</v>
      </c>
      <c r="Y853" s="111"/>
      <c r="Z853" s="155" t="str">
        <f t="shared" si="1214"/>
        <v/>
      </c>
      <c r="AA853" s="215">
        <f t="shared" si="1215"/>
        <v>0</v>
      </c>
      <c r="AN853" s="335">
        <f t="shared" si="1231"/>
        <v>0</v>
      </c>
      <c r="AO853" s="336">
        <f t="shared" ref="AO853:AO863" si="1235">X853-Y853</f>
        <v>0</v>
      </c>
      <c r="AP853" s="452"/>
    </row>
    <row r="854" spans="2:43" ht="17.45" hidden="1" customHeight="1" outlineLevel="1">
      <c r="B854" s="1172"/>
      <c r="C854" s="110" t="s">
        <v>178</v>
      </c>
      <c r="D854" s="111">
        <f t="shared" si="1219"/>
        <v>0</v>
      </c>
      <c r="E854" s="111">
        <f t="shared" si="1220"/>
        <v>0</v>
      </c>
      <c r="F854" s="111">
        <f t="shared" si="1221"/>
        <v>0</v>
      </c>
      <c r="G854" s="112" t="str">
        <f t="shared" si="1206"/>
        <v/>
      </c>
      <c r="H854" s="112" t="str">
        <f t="shared" si="1222"/>
        <v/>
      </c>
      <c r="I854" s="112" t="str">
        <f t="shared" si="1223"/>
        <v/>
      </c>
      <c r="J854" s="111">
        <f t="shared" si="1224"/>
        <v>0</v>
      </c>
      <c r="K854" s="111">
        <f t="shared" si="1225"/>
        <v>0</v>
      </c>
      <c r="L854" s="111">
        <f t="shared" si="1226"/>
        <v>0</v>
      </c>
      <c r="O854" s="125" t="str">
        <f t="shared" si="1232"/>
        <v>금호석유화학</v>
      </c>
      <c r="P854" s="126">
        <f t="shared" si="1227"/>
        <v>0</v>
      </c>
      <c r="Q854" s="111">
        <f t="shared" si="1228"/>
        <v>0</v>
      </c>
      <c r="R854" s="126" t="str">
        <f t="shared" si="1210"/>
        <v/>
      </c>
      <c r="S854" s="122"/>
      <c r="T854" s="125" t="str">
        <f t="shared" si="1229"/>
        <v>금호석유화학</v>
      </c>
      <c r="U854" s="126">
        <f t="shared" si="1229"/>
        <v>0</v>
      </c>
      <c r="V854" s="111">
        <f t="shared" si="1229"/>
        <v>0</v>
      </c>
      <c r="W854" s="127" t="str">
        <f t="shared" si="1212"/>
        <v/>
      </c>
      <c r="X854" s="148">
        <f t="shared" si="1230"/>
        <v>0</v>
      </c>
      <c r="Y854" s="111"/>
      <c r="Z854" s="155" t="str">
        <f t="shared" si="1214"/>
        <v/>
      </c>
      <c r="AA854" s="215">
        <f t="shared" si="1215"/>
        <v>0</v>
      </c>
      <c r="AN854" s="335">
        <f t="shared" si="1231"/>
        <v>0</v>
      </c>
      <c r="AO854" s="336">
        <f t="shared" si="1235"/>
        <v>0</v>
      </c>
      <c r="AP854" s="452"/>
    </row>
    <row r="855" spans="2:43" ht="17.45" hidden="1" customHeight="1" outlineLevel="1">
      <c r="B855" s="1172"/>
      <c r="C855" s="110" t="s">
        <v>65</v>
      </c>
      <c r="D855" s="111">
        <f t="shared" si="1219"/>
        <v>0</v>
      </c>
      <c r="E855" s="111">
        <f t="shared" si="1220"/>
        <v>0</v>
      </c>
      <c r="F855" s="111">
        <f t="shared" si="1221"/>
        <v>0</v>
      </c>
      <c r="G855" s="112" t="str">
        <f t="shared" si="1206"/>
        <v/>
      </c>
      <c r="H855" s="112" t="str">
        <f t="shared" si="1222"/>
        <v/>
      </c>
      <c r="I855" s="112" t="str">
        <f t="shared" si="1223"/>
        <v/>
      </c>
      <c r="J855" s="111">
        <f t="shared" si="1224"/>
        <v>0</v>
      </c>
      <c r="K855" s="111">
        <f t="shared" si="1225"/>
        <v>0</v>
      </c>
      <c r="L855" s="111">
        <f t="shared" si="1226"/>
        <v>0</v>
      </c>
      <c r="O855" s="125" t="str">
        <f t="shared" si="1232"/>
        <v>LG상사</v>
      </c>
      <c r="P855" s="126">
        <f t="shared" si="1227"/>
        <v>0</v>
      </c>
      <c r="Q855" s="111">
        <f t="shared" si="1228"/>
        <v>0</v>
      </c>
      <c r="R855" s="126" t="str">
        <f t="shared" si="1210"/>
        <v/>
      </c>
      <c r="S855" s="122"/>
      <c r="T855" s="125" t="str">
        <f t="shared" si="1229"/>
        <v>LG상사</v>
      </c>
      <c r="U855" s="126">
        <f t="shared" si="1229"/>
        <v>0</v>
      </c>
      <c r="V855" s="111">
        <f t="shared" si="1229"/>
        <v>0</v>
      </c>
      <c r="W855" s="127" t="str">
        <f t="shared" si="1212"/>
        <v/>
      </c>
      <c r="X855" s="148">
        <f t="shared" si="1230"/>
        <v>0</v>
      </c>
      <c r="Y855" s="111"/>
      <c r="Z855" s="155" t="str">
        <f t="shared" si="1214"/>
        <v/>
      </c>
      <c r="AA855" s="215">
        <f t="shared" si="1215"/>
        <v>0</v>
      </c>
      <c r="AN855" s="335">
        <f t="shared" si="1231"/>
        <v>0</v>
      </c>
      <c r="AO855" s="336">
        <f t="shared" si="1235"/>
        <v>0</v>
      </c>
      <c r="AP855" s="452"/>
    </row>
    <row r="856" spans="2:43" ht="17.45" hidden="1" customHeight="1" outlineLevel="1">
      <c r="B856" s="1172"/>
      <c r="C856" s="110" t="s">
        <v>66</v>
      </c>
      <c r="D856" s="111">
        <f t="shared" si="1219"/>
        <v>0</v>
      </c>
      <c r="E856" s="111">
        <f t="shared" si="1220"/>
        <v>0</v>
      </c>
      <c r="F856" s="111">
        <f t="shared" si="1221"/>
        <v>0</v>
      </c>
      <c r="G856" s="112" t="str">
        <f t="shared" si="1206"/>
        <v/>
      </c>
      <c r="H856" s="112" t="str">
        <f t="shared" si="1222"/>
        <v/>
      </c>
      <c r="I856" s="112" t="str">
        <f t="shared" si="1223"/>
        <v/>
      </c>
      <c r="J856" s="111">
        <f t="shared" si="1224"/>
        <v>0</v>
      </c>
      <c r="K856" s="111">
        <f t="shared" si="1225"/>
        <v>0</v>
      </c>
      <c r="L856" s="111">
        <f t="shared" si="1226"/>
        <v>0</v>
      </c>
      <c r="O856" s="125" t="str">
        <f t="shared" si="1232"/>
        <v>LG화학</v>
      </c>
      <c r="P856" s="126">
        <f t="shared" si="1227"/>
        <v>0</v>
      </c>
      <c r="Q856" s="111">
        <f t="shared" si="1228"/>
        <v>0</v>
      </c>
      <c r="R856" s="126" t="str">
        <f t="shared" si="1210"/>
        <v/>
      </c>
      <c r="S856" s="122"/>
      <c r="T856" s="125" t="str">
        <f t="shared" si="1229"/>
        <v>LG화학</v>
      </c>
      <c r="U856" s="126">
        <f t="shared" si="1229"/>
        <v>0</v>
      </c>
      <c r="V856" s="111">
        <f t="shared" si="1229"/>
        <v>0</v>
      </c>
      <c r="W856" s="127" t="str">
        <f t="shared" si="1212"/>
        <v/>
      </c>
      <c r="X856" s="148">
        <f t="shared" si="1230"/>
        <v>0</v>
      </c>
      <c r="Y856" s="111"/>
      <c r="Z856" s="155" t="str">
        <f t="shared" si="1214"/>
        <v/>
      </c>
      <c r="AA856" s="215">
        <f t="shared" si="1215"/>
        <v>0</v>
      </c>
      <c r="AN856" s="335">
        <f t="shared" si="1231"/>
        <v>0</v>
      </c>
      <c r="AO856" s="336">
        <f t="shared" si="1235"/>
        <v>0</v>
      </c>
      <c r="AP856" s="452"/>
    </row>
    <row r="857" spans="2:43" ht="17.45" hidden="1" customHeight="1" outlineLevel="1">
      <c r="B857" s="1172"/>
      <c r="C857" s="110" t="s">
        <v>67</v>
      </c>
      <c r="D857" s="111">
        <f t="shared" si="1219"/>
        <v>0</v>
      </c>
      <c r="E857" s="111">
        <f t="shared" si="1220"/>
        <v>0</v>
      </c>
      <c r="F857" s="111">
        <f t="shared" si="1221"/>
        <v>0</v>
      </c>
      <c r="G857" s="112" t="str">
        <f t="shared" si="1206"/>
        <v/>
      </c>
      <c r="H857" s="112" t="str">
        <f t="shared" si="1222"/>
        <v/>
      </c>
      <c r="I857" s="112" t="str">
        <f t="shared" si="1223"/>
        <v/>
      </c>
      <c r="J857" s="111">
        <f t="shared" si="1224"/>
        <v>0</v>
      </c>
      <c r="K857" s="111">
        <f t="shared" si="1225"/>
        <v>0</v>
      </c>
      <c r="L857" s="111">
        <f t="shared" si="1226"/>
        <v>0</v>
      </c>
      <c r="O857" s="125" t="str">
        <f t="shared" si="1232"/>
        <v>OCI SE</v>
      </c>
      <c r="P857" s="126">
        <f t="shared" si="1227"/>
        <v>0</v>
      </c>
      <c r="Q857" s="111">
        <f t="shared" si="1228"/>
        <v>0</v>
      </c>
      <c r="R857" s="126" t="str">
        <f t="shared" si="1210"/>
        <v/>
      </c>
      <c r="S857" s="122"/>
      <c r="T857" s="125" t="str">
        <f t="shared" si="1229"/>
        <v>OCI SE</v>
      </c>
      <c r="U857" s="126">
        <f t="shared" si="1229"/>
        <v>0</v>
      </c>
      <c r="V857" s="111">
        <f t="shared" si="1229"/>
        <v>0</v>
      </c>
      <c r="W857" s="127" t="str">
        <f t="shared" si="1212"/>
        <v/>
      </c>
      <c r="X857" s="148">
        <f t="shared" si="1230"/>
        <v>0</v>
      </c>
      <c r="Y857" s="111"/>
      <c r="Z857" s="155" t="str">
        <f t="shared" si="1214"/>
        <v/>
      </c>
      <c r="AA857" s="215">
        <f t="shared" si="1215"/>
        <v>0</v>
      </c>
      <c r="AN857" s="335">
        <f t="shared" si="1231"/>
        <v>0</v>
      </c>
      <c r="AO857" s="336">
        <f t="shared" si="1235"/>
        <v>0</v>
      </c>
      <c r="AP857" s="452"/>
    </row>
    <row r="858" spans="2:43" ht="17.45" hidden="1" customHeight="1" outlineLevel="1">
      <c r="B858" s="1172"/>
      <c r="C858" s="110" t="s">
        <v>37</v>
      </c>
      <c r="D858" s="111">
        <f t="shared" si="1219"/>
        <v>0</v>
      </c>
      <c r="E858" s="111">
        <f t="shared" si="1220"/>
        <v>0</v>
      </c>
      <c r="F858" s="111">
        <f t="shared" si="1221"/>
        <v>0</v>
      </c>
      <c r="G858" s="112" t="str">
        <f t="shared" si="1206"/>
        <v/>
      </c>
      <c r="H858" s="112" t="str">
        <f t="shared" si="1222"/>
        <v/>
      </c>
      <c r="I858" s="112" t="str">
        <f t="shared" si="1223"/>
        <v/>
      </c>
      <c r="J858" s="111">
        <f t="shared" si="1224"/>
        <v>0</v>
      </c>
      <c r="K858" s="111">
        <f t="shared" si="1225"/>
        <v>0</v>
      </c>
      <c r="L858" s="111">
        <f t="shared" si="1226"/>
        <v>0</v>
      </c>
      <c r="O858" s="125" t="str">
        <f t="shared" si="1232"/>
        <v>청해소재</v>
      </c>
      <c r="P858" s="126">
        <f t="shared" si="1227"/>
        <v>0</v>
      </c>
      <c r="Q858" s="111">
        <f t="shared" si="1228"/>
        <v>0</v>
      </c>
      <c r="R858" s="126" t="str">
        <f t="shared" si="1210"/>
        <v/>
      </c>
      <c r="S858" s="122"/>
      <c r="T858" s="125" t="str">
        <f t="shared" si="1229"/>
        <v>청해소재</v>
      </c>
      <c r="U858" s="126">
        <f t="shared" si="1229"/>
        <v>0</v>
      </c>
      <c r="V858" s="111">
        <f t="shared" si="1229"/>
        <v>0</v>
      </c>
      <c r="W858" s="127" t="str">
        <f t="shared" si="1212"/>
        <v/>
      </c>
      <c r="X858" s="148">
        <f t="shared" si="1230"/>
        <v>0</v>
      </c>
      <c r="Y858" s="111"/>
      <c r="Z858" s="155" t="str">
        <f>IFERROR(IF(X858=0,"",X858/Y858),"")</f>
        <v/>
      </c>
      <c r="AA858" s="215">
        <f t="shared" si="1215"/>
        <v>0</v>
      </c>
      <c r="AN858" s="335">
        <f t="shared" si="1231"/>
        <v>0</v>
      </c>
      <c r="AO858" s="336">
        <f t="shared" si="1235"/>
        <v>0</v>
      </c>
      <c r="AP858" s="452"/>
      <c r="AQ858" s="240" t="s">
        <v>157</v>
      </c>
    </row>
    <row r="859" spans="2:43" ht="17.45" hidden="1" customHeight="1" outlineLevel="1">
      <c r="B859" s="1172"/>
      <c r="C859" s="110" t="s">
        <v>365</v>
      </c>
      <c r="D859" s="111">
        <f t="shared" si="1219"/>
        <v>0</v>
      </c>
      <c r="E859" s="111">
        <f t="shared" si="1220"/>
        <v>0</v>
      </c>
      <c r="F859" s="111">
        <f t="shared" si="1221"/>
        <v>0</v>
      </c>
      <c r="G859" s="112" t="str">
        <f t="shared" si="1206"/>
        <v/>
      </c>
      <c r="H859" s="112" t="str">
        <f t="shared" si="1222"/>
        <v/>
      </c>
      <c r="I859" s="112" t="str">
        <f t="shared" si="1223"/>
        <v/>
      </c>
      <c r="J859" s="111">
        <f t="shared" si="1224"/>
        <v>0</v>
      </c>
      <c r="K859" s="111">
        <f t="shared" si="1225"/>
        <v>0</v>
      </c>
      <c r="L859" s="111">
        <f t="shared" si="1226"/>
        <v>0</v>
      </c>
      <c r="O859" s="125" t="str">
        <f t="shared" si="1232"/>
        <v>김천에너지</v>
      </c>
      <c r="P859" s="126">
        <f t="shared" si="1227"/>
        <v>0</v>
      </c>
      <c r="Q859" s="111">
        <f t="shared" si="1228"/>
        <v>0</v>
      </c>
      <c r="R859" s="126" t="str">
        <f t="shared" si="1210"/>
        <v/>
      </c>
      <c r="S859" s="122"/>
      <c r="T859" s="125" t="str">
        <f t="shared" si="1229"/>
        <v>김천에너지</v>
      </c>
      <c r="U859" s="126">
        <f t="shared" si="1229"/>
        <v>0</v>
      </c>
      <c r="V859" s="111">
        <f t="shared" si="1229"/>
        <v>0</v>
      </c>
      <c r="W859" s="127" t="str">
        <f t="shared" si="1212"/>
        <v/>
      </c>
      <c r="X859" s="148">
        <f t="shared" si="1230"/>
        <v>0</v>
      </c>
      <c r="Y859" s="111"/>
      <c r="Z859" s="155" t="str">
        <f t="shared" ref="Z859:Z868" si="1236">IFERROR(IF(X859=0,"",X859/Y859),"")</f>
        <v/>
      </c>
      <c r="AA859" s="215">
        <f t="shared" si="1215"/>
        <v>0</v>
      </c>
      <c r="AN859" s="335">
        <f t="shared" si="1231"/>
        <v>0</v>
      </c>
      <c r="AO859" s="336">
        <f t="shared" si="1235"/>
        <v>0</v>
      </c>
      <c r="AP859" s="452"/>
    </row>
    <row r="860" spans="2:43" ht="17.45" hidden="1" customHeight="1" outlineLevel="1">
      <c r="B860" s="1172"/>
      <c r="C860" s="110" t="s">
        <v>107</v>
      </c>
      <c r="D860" s="111">
        <f t="shared" si="1219"/>
        <v>0</v>
      </c>
      <c r="E860" s="111">
        <f t="shared" si="1220"/>
        <v>0</v>
      </c>
      <c r="F860" s="111">
        <f t="shared" si="1221"/>
        <v>0</v>
      </c>
      <c r="G860" s="112" t="str">
        <f t="shared" si="1206"/>
        <v/>
      </c>
      <c r="H860" s="112" t="str">
        <f t="shared" si="1222"/>
        <v/>
      </c>
      <c r="I860" s="112" t="str">
        <f t="shared" si="1223"/>
        <v/>
      </c>
      <c r="J860" s="111">
        <f t="shared" si="1224"/>
        <v>0</v>
      </c>
      <c r="K860" s="111">
        <f t="shared" si="1225"/>
        <v>0</v>
      </c>
      <c r="L860" s="111">
        <f t="shared" si="1226"/>
        <v>0</v>
      </c>
      <c r="O860" s="125" t="str">
        <f t="shared" si="1232"/>
        <v>대구염색공단</v>
      </c>
      <c r="P860" s="126">
        <f t="shared" si="1227"/>
        <v>0</v>
      </c>
      <c r="Q860" s="111">
        <f t="shared" si="1228"/>
        <v>0</v>
      </c>
      <c r="R860" s="126" t="str">
        <f t="shared" si="1210"/>
        <v/>
      </c>
      <c r="S860" s="122"/>
      <c r="T860" s="125" t="str">
        <f t="shared" si="1229"/>
        <v>대구염색공단</v>
      </c>
      <c r="U860" s="126">
        <f t="shared" si="1229"/>
        <v>0</v>
      </c>
      <c r="V860" s="111">
        <f t="shared" si="1229"/>
        <v>0</v>
      </c>
      <c r="W860" s="127" t="str">
        <f t="shared" si="1212"/>
        <v/>
      </c>
      <c r="X860" s="148">
        <f t="shared" si="1230"/>
        <v>0</v>
      </c>
      <c r="Y860" s="111"/>
      <c r="Z860" s="155" t="str">
        <f t="shared" si="1236"/>
        <v/>
      </c>
      <c r="AA860" s="215">
        <f t="shared" si="1215"/>
        <v>0</v>
      </c>
      <c r="AN860" s="335">
        <f t="shared" si="1231"/>
        <v>0</v>
      </c>
      <c r="AO860" s="336">
        <f t="shared" si="1235"/>
        <v>0</v>
      </c>
      <c r="AP860" s="452"/>
    </row>
    <row r="861" spans="2:43" ht="17.45" hidden="1" customHeight="1" outlineLevel="1">
      <c r="B861" s="1172"/>
      <c r="C861" s="110" t="s">
        <v>108</v>
      </c>
      <c r="D861" s="111">
        <f t="shared" si="1219"/>
        <v>0</v>
      </c>
      <c r="E861" s="111">
        <f t="shared" si="1220"/>
        <v>0</v>
      </c>
      <c r="F861" s="111">
        <f t="shared" si="1221"/>
        <v>0</v>
      </c>
      <c r="G861" s="112" t="str">
        <f t="shared" si="1206"/>
        <v/>
      </c>
      <c r="H861" s="112" t="str">
        <f t="shared" si="1222"/>
        <v/>
      </c>
      <c r="I861" s="112" t="str">
        <f t="shared" si="1223"/>
        <v/>
      </c>
      <c r="J861" s="111">
        <f t="shared" si="1224"/>
        <v>0</v>
      </c>
      <c r="K861" s="111">
        <f t="shared" si="1225"/>
        <v>0</v>
      </c>
      <c r="L861" s="111">
        <f t="shared" si="1226"/>
        <v>0</v>
      </c>
      <c r="O861" s="125" t="str">
        <f t="shared" si="1232"/>
        <v>SNNC(니켈)</v>
      </c>
      <c r="P861" s="126">
        <f t="shared" si="1227"/>
        <v>0</v>
      </c>
      <c r="Q861" s="111">
        <f t="shared" si="1228"/>
        <v>0</v>
      </c>
      <c r="R861" s="126" t="str">
        <f t="shared" si="1210"/>
        <v/>
      </c>
      <c r="S861" s="122"/>
      <c r="T861" s="125" t="str">
        <f t="shared" si="1229"/>
        <v>SNNC(니켈)</v>
      </c>
      <c r="U861" s="126">
        <f t="shared" si="1229"/>
        <v>0</v>
      </c>
      <c r="V861" s="111">
        <f t="shared" si="1229"/>
        <v>0</v>
      </c>
      <c r="W861" s="127" t="str">
        <f t="shared" si="1212"/>
        <v/>
      </c>
      <c r="X861" s="148">
        <f t="shared" si="1230"/>
        <v>0</v>
      </c>
      <c r="Y861" s="111"/>
      <c r="Z861" s="155" t="str">
        <f t="shared" si="1236"/>
        <v/>
      </c>
      <c r="AA861" s="215">
        <f t="shared" si="1215"/>
        <v>0</v>
      </c>
      <c r="AN861" s="335">
        <f t="shared" si="1231"/>
        <v>0</v>
      </c>
      <c r="AO861" s="336">
        <f t="shared" si="1235"/>
        <v>0</v>
      </c>
      <c r="AP861" s="452"/>
    </row>
    <row r="862" spans="2:43" ht="17.45" hidden="1" customHeight="1" outlineLevel="1">
      <c r="B862" s="1172"/>
      <c r="C862" s="110" t="s">
        <v>130</v>
      </c>
      <c r="D862" s="111">
        <f t="shared" si="1219"/>
        <v>0</v>
      </c>
      <c r="E862" s="111">
        <f t="shared" si="1220"/>
        <v>0</v>
      </c>
      <c r="F862" s="111">
        <f t="shared" si="1221"/>
        <v>0</v>
      </c>
      <c r="G862" s="112" t="str">
        <f t="shared" si="1206"/>
        <v/>
      </c>
      <c r="H862" s="112" t="str">
        <f t="shared" si="1222"/>
        <v/>
      </c>
      <c r="I862" s="112" t="str">
        <f t="shared" si="1223"/>
        <v/>
      </c>
      <c r="J862" s="111">
        <f t="shared" si="1224"/>
        <v>0</v>
      </c>
      <c r="K862" s="111">
        <f t="shared" si="1225"/>
        <v>0</v>
      </c>
      <c r="L862" s="111">
        <f t="shared" si="1226"/>
        <v>0</v>
      </c>
      <c r="O862" s="125" t="str">
        <f t="shared" si="1232"/>
        <v>SK-N(고려시멘트)</v>
      </c>
      <c r="P862" s="126">
        <f t="shared" si="1227"/>
        <v>0</v>
      </c>
      <c r="Q862" s="111">
        <f t="shared" si="1228"/>
        <v>0</v>
      </c>
      <c r="R862" s="126" t="str">
        <f t="shared" si="1210"/>
        <v/>
      </c>
      <c r="S862" s="122"/>
      <c r="T862" s="125" t="str">
        <f t="shared" si="1229"/>
        <v>SK-N(고려시멘트)</v>
      </c>
      <c r="U862" s="126">
        <f t="shared" si="1229"/>
        <v>0</v>
      </c>
      <c r="V862" s="111">
        <f t="shared" si="1229"/>
        <v>0</v>
      </c>
      <c r="W862" s="127" t="str">
        <f t="shared" si="1212"/>
        <v/>
      </c>
      <c r="X862" s="148">
        <f t="shared" si="1230"/>
        <v>0</v>
      </c>
      <c r="Y862" s="111"/>
      <c r="Z862" s="155" t="str">
        <f t="shared" si="1236"/>
        <v/>
      </c>
      <c r="AA862" s="215">
        <f t="shared" si="1215"/>
        <v>0</v>
      </c>
      <c r="AN862" s="335">
        <f t="shared" si="1231"/>
        <v>0</v>
      </c>
      <c r="AO862" s="336">
        <f t="shared" si="1235"/>
        <v>0</v>
      </c>
      <c r="AP862" s="452"/>
    </row>
    <row r="863" spans="2:43" ht="17.45" hidden="1" customHeight="1" outlineLevel="1">
      <c r="B863" s="1172"/>
      <c r="C863" s="110" t="s">
        <v>68</v>
      </c>
      <c r="D863" s="111">
        <f t="shared" si="1219"/>
        <v>0</v>
      </c>
      <c r="E863" s="111">
        <f t="shared" si="1220"/>
        <v>0</v>
      </c>
      <c r="F863" s="111">
        <f t="shared" si="1221"/>
        <v>0</v>
      </c>
      <c r="G863" s="112" t="str">
        <f t="shared" si="1206"/>
        <v/>
      </c>
      <c r="H863" s="112" t="str">
        <f t="shared" si="1222"/>
        <v/>
      </c>
      <c r="I863" s="112" t="str">
        <f t="shared" si="1223"/>
        <v/>
      </c>
      <c r="J863" s="111">
        <f t="shared" si="1224"/>
        <v>0</v>
      </c>
      <c r="K863" s="111">
        <f t="shared" si="1225"/>
        <v>0</v>
      </c>
      <c r="L863" s="111">
        <f t="shared" si="1226"/>
        <v>0</v>
      </c>
      <c r="O863" s="125" t="str">
        <f t="shared" si="1232"/>
        <v>SNNC</v>
      </c>
      <c r="P863" s="126">
        <f t="shared" si="1227"/>
        <v>0</v>
      </c>
      <c r="Q863" s="111">
        <f t="shared" si="1228"/>
        <v>0</v>
      </c>
      <c r="R863" s="126" t="str">
        <f t="shared" si="1210"/>
        <v/>
      </c>
      <c r="S863" s="122"/>
      <c r="T863" s="125" t="str">
        <f t="shared" si="1229"/>
        <v>SNNC</v>
      </c>
      <c r="U863" s="126">
        <f t="shared" si="1229"/>
        <v>0</v>
      </c>
      <c r="V863" s="111">
        <f t="shared" si="1229"/>
        <v>0</v>
      </c>
      <c r="W863" s="127" t="str">
        <f t="shared" si="1212"/>
        <v/>
      </c>
      <c r="X863" s="148">
        <f t="shared" si="1230"/>
        <v>0</v>
      </c>
      <c r="Y863" s="111"/>
      <c r="Z863" s="155" t="str">
        <f t="shared" si="1236"/>
        <v/>
      </c>
      <c r="AA863" s="215">
        <f t="shared" si="1215"/>
        <v>0</v>
      </c>
      <c r="AN863" s="335">
        <f t="shared" si="1231"/>
        <v>0</v>
      </c>
      <c r="AO863" s="336">
        <f t="shared" si="1235"/>
        <v>0</v>
      </c>
      <c r="AP863" s="452"/>
    </row>
    <row r="864" spans="2:43" ht="17.45" hidden="1" customHeight="1" outlineLevel="1" thickBot="1">
      <c r="B864" s="1172"/>
      <c r="C864" s="113" t="s">
        <v>61</v>
      </c>
      <c r="D864" s="114">
        <f>SUM(D849:D863)</f>
        <v>0</v>
      </c>
      <c r="E864" s="179">
        <f>SUM(E849:E863)</f>
        <v>0</v>
      </c>
      <c r="F864" s="114">
        <f>SUM(F849:F863)</f>
        <v>0</v>
      </c>
      <c r="G864" s="115" t="str">
        <f t="shared" si="1206"/>
        <v/>
      </c>
      <c r="H864" s="185" t="str">
        <f>IFERROR(E864/F864,"")</f>
        <v/>
      </c>
      <c r="I864" s="115" t="str">
        <f>IFERROR(G864+H864,"")</f>
        <v/>
      </c>
      <c r="J864" s="114">
        <f t="shared" ref="J864:L864" si="1237">SUM(J849:J863)</f>
        <v>0</v>
      </c>
      <c r="K864" s="114">
        <f t="shared" si="1237"/>
        <v>0</v>
      </c>
      <c r="L864" s="114">
        <f t="shared" si="1237"/>
        <v>0</v>
      </c>
      <c r="O864" s="128" t="s">
        <v>61</v>
      </c>
      <c r="P864" s="129">
        <f>SUM(P849:P863)</f>
        <v>0</v>
      </c>
      <c r="Q864" s="114">
        <f>SUM(Q849:Q863)</f>
        <v>0</v>
      </c>
      <c r="R864" s="129" t="str">
        <f t="shared" si="1210"/>
        <v/>
      </c>
      <c r="S864" s="122"/>
      <c r="T864" s="128" t="s">
        <v>61</v>
      </c>
      <c r="U864" s="129">
        <f>SUM(U849:U863)</f>
        <v>0</v>
      </c>
      <c r="V864" s="114">
        <f>SUM(V849:V863)</f>
        <v>0</v>
      </c>
      <c r="W864" s="130" t="str">
        <f>IFERROR(U864/V864,"")</f>
        <v/>
      </c>
      <c r="X864" s="179">
        <f>SUM(X849:X863)</f>
        <v>0</v>
      </c>
      <c r="Y864" s="114">
        <f>SUM(Y849:Y863)</f>
        <v>0</v>
      </c>
      <c r="Z864" s="176" t="str">
        <f t="shared" si="1236"/>
        <v/>
      </c>
      <c r="AA864" s="213">
        <f>SUM(AA849:AA863)</f>
        <v>0</v>
      </c>
      <c r="AN864" s="341">
        <f>SUM(AN849:AN863)</f>
        <v>0</v>
      </c>
      <c r="AO864" s="341">
        <f>SUM(AO849:AO863)</f>
        <v>0</v>
      </c>
      <c r="AP864" s="455"/>
    </row>
    <row r="865" spans="2:43" ht="17.45" hidden="1" customHeight="1" outlineLevel="1" thickBot="1">
      <c r="B865" s="1106" t="s">
        <v>57</v>
      </c>
      <c r="C865" s="1106"/>
      <c r="D865" s="147">
        <f>SUM(D864,D848)</f>
        <v>0</v>
      </c>
      <c r="E865" s="182">
        <f>SUM(E864,E848)</f>
        <v>0</v>
      </c>
      <c r="F865" s="149">
        <f>SUM(F864,F848)</f>
        <v>0</v>
      </c>
      <c r="G865" s="183" t="str">
        <f t="shared" si="1206"/>
        <v/>
      </c>
      <c r="H865" s="186" t="str">
        <f>IFERROR(E865/F865,"")</f>
        <v/>
      </c>
      <c r="I865" s="184" t="str">
        <f>IFERROR(G865+H865,"")</f>
        <v/>
      </c>
      <c r="J865" s="116">
        <f t="shared" ref="J865:L865" si="1238">SUM(J864,J848)</f>
        <v>0</v>
      </c>
      <c r="K865" s="116">
        <f t="shared" si="1238"/>
        <v>0</v>
      </c>
      <c r="L865" s="116">
        <f t="shared" si="1238"/>
        <v>0</v>
      </c>
      <c r="O865" s="131" t="s">
        <v>79</v>
      </c>
      <c r="P865" s="132">
        <f>SUM(P864,P848)</f>
        <v>0</v>
      </c>
      <c r="Q865" s="116">
        <f>SUM(Q864,Q848)</f>
        <v>0</v>
      </c>
      <c r="R865" s="132" t="str">
        <f>IFERROR(P865/Q865,"")</f>
        <v/>
      </c>
      <c r="S865" s="122"/>
      <c r="T865" s="131" t="s">
        <v>76</v>
      </c>
      <c r="U865" s="132">
        <f>SUM(U864,U848)</f>
        <v>0</v>
      </c>
      <c r="V865" s="147">
        <f>SUM(V864,V848)</f>
        <v>0</v>
      </c>
      <c r="W865" s="173" t="str">
        <f t="shared" ref="W865:W866" si="1239">IFERROR(U865/V865,"")</f>
        <v/>
      </c>
      <c r="X865" s="182">
        <f>SUM(X848,X864)</f>
        <v>0</v>
      </c>
      <c r="Y865" s="175">
        <f>SUM(Y848,Y864)</f>
        <v>0</v>
      </c>
      <c r="Z865" s="178" t="str">
        <f t="shared" si="1236"/>
        <v/>
      </c>
      <c r="AA865" s="214">
        <f>SUM(AA848,AA864)</f>
        <v>0</v>
      </c>
      <c r="AN865" s="342">
        <f>SUM(AN848,AN864)</f>
        <v>0</v>
      </c>
      <c r="AO865" s="342">
        <f>SUM(AO848,AO864)</f>
        <v>0</v>
      </c>
      <c r="AP865" s="456"/>
    </row>
    <row r="866" spans="2:43" ht="17.45" hidden="1" customHeight="1" outlineLevel="1">
      <c r="D866" s="344" t="str">
        <f>IF(D865=L155,"","CHECK")</f>
        <v/>
      </c>
      <c r="E866" s="344" t="str">
        <f>IF(E865=M155,"","CHECK")</f>
        <v/>
      </c>
      <c r="F866" s="344" t="str">
        <f>IF(F865=N155,"","CHECK")</f>
        <v/>
      </c>
      <c r="O866" s="134" t="s">
        <v>77</v>
      </c>
      <c r="P866" s="126"/>
      <c r="Q866" s="126"/>
      <c r="R866" s="126" t="str">
        <f>IFERROR(P866/Q866,"")</f>
        <v/>
      </c>
      <c r="S866" s="122"/>
      <c r="T866" s="134" t="s">
        <v>77</v>
      </c>
      <c r="U866" s="126"/>
      <c r="V866" s="111"/>
      <c r="W866" s="135" t="str">
        <f t="shared" si="1239"/>
        <v/>
      </c>
      <c r="X866" s="180"/>
      <c r="Y866" s="126"/>
      <c r="Z866" s="181" t="str">
        <f t="shared" si="1236"/>
        <v/>
      </c>
      <c r="AA866" s="216">
        <f>X866-Y866</f>
        <v>0</v>
      </c>
      <c r="AN866" s="335">
        <f>Y758+Y812+Y866</f>
        <v>0</v>
      </c>
      <c r="AO866" s="336">
        <f t="shared" ref="AO866:AO867" si="1240">X866-Y866</f>
        <v>0</v>
      </c>
      <c r="AP866" s="452"/>
    </row>
    <row r="867" spans="2:43" ht="17.45" hidden="1" customHeight="1" outlineLevel="1">
      <c r="T867" s="345" t="s">
        <v>109</v>
      </c>
      <c r="U867" s="345"/>
      <c r="V867" s="328"/>
      <c r="W867" s="355"/>
      <c r="X867" s="355">
        <f>G882</f>
        <v>0</v>
      </c>
      <c r="Y867" s="347"/>
      <c r="Z867" s="155" t="str">
        <f t="shared" si="1236"/>
        <v/>
      </c>
      <c r="AA867" s="215">
        <f>X867-Y867</f>
        <v>0</v>
      </c>
      <c r="AN867" s="335">
        <f>Y759+Y813+Y867</f>
        <v>0</v>
      </c>
      <c r="AO867" s="336">
        <f t="shared" si="1240"/>
        <v>0</v>
      </c>
      <c r="AP867" s="452"/>
    </row>
    <row r="868" spans="2:43" ht="17.45" hidden="1" customHeight="1" outlineLevel="1">
      <c r="B868" s="1173" t="s">
        <v>80</v>
      </c>
      <c r="C868" s="1177" t="s">
        <v>52</v>
      </c>
      <c r="D868" s="1177"/>
      <c r="E868" s="1177"/>
      <c r="F868" s="1177" t="s">
        <v>73</v>
      </c>
      <c r="G868" s="1177" t="s">
        <v>75</v>
      </c>
      <c r="H868" s="1177" t="s">
        <v>95</v>
      </c>
      <c r="I868" s="119"/>
      <c r="J868" s="1173" t="s">
        <v>132</v>
      </c>
      <c r="K868" s="1174" t="s">
        <v>124</v>
      </c>
      <c r="L868" s="1174"/>
      <c r="M868" s="1174"/>
      <c r="N868" s="1174" t="s">
        <v>75</v>
      </c>
      <c r="O868" s="1174"/>
      <c r="P868" s="1174"/>
      <c r="Q868" s="1175" t="s">
        <v>72</v>
      </c>
      <c r="R868" s="1175" t="s">
        <v>73</v>
      </c>
      <c r="S868" s="1175" t="s">
        <v>74</v>
      </c>
      <c r="T868" s="262" t="s">
        <v>110</v>
      </c>
      <c r="U868" s="262"/>
      <c r="V868" s="334"/>
      <c r="W868" s="356"/>
      <c r="X868" s="356">
        <f>SUM(X865,X866,X867)</f>
        <v>0</v>
      </c>
      <c r="Y868" s="354">
        <f>SUM(Y865,Y867)</f>
        <v>0</v>
      </c>
      <c r="Z868" s="158" t="str">
        <f t="shared" si="1236"/>
        <v/>
      </c>
      <c r="AA868" s="357">
        <f>SUM(AA865,AA866,AA867)</f>
        <v>0</v>
      </c>
      <c r="AN868" s="342">
        <f>SUM(AN865,AN867)</f>
        <v>0</v>
      </c>
      <c r="AO868" s="342">
        <f>SUM(AO865,AO867)</f>
        <v>0</v>
      </c>
      <c r="AP868" s="456"/>
    </row>
    <row r="869" spans="2:43" ht="17.45" hidden="1" customHeight="1" outlineLevel="1">
      <c r="B869" s="1173"/>
      <c r="C869" s="628" t="s">
        <v>55</v>
      </c>
      <c r="D869" s="628" t="s">
        <v>56</v>
      </c>
      <c r="E869" s="628" t="s">
        <v>57</v>
      </c>
      <c r="F869" s="1177"/>
      <c r="G869" s="1177"/>
      <c r="H869" s="1177"/>
      <c r="I869" s="119"/>
      <c r="J869" s="1173"/>
      <c r="K869" s="627" t="s">
        <v>125</v>
      </c>
      <c r="L869" s="627" t="s">
        <v>126</v>
      </c>
      <c r="M869" s="627" t="s">
        <v>123</v>
      </c>
      <c r="N869" s="627" t="s">
        <v>125</v>
      </c>
      <c r="O869" s="627" t="s">
        <v>126</v>
      </c>
      <c r="P869" s="627" t="s">
        <v>123</v>
      </c>
      <c r="Q869" s="1176"/>
      <c r="R869" s="1176"/>
      <c r="S869" s="1176"/>
      <c r="T869" s="57"/>
      <c r="U869" s="57"/>
      <c r="V869" s="57"/>
      <c r="W869" s="57"/>
      <c r="X869" s="57"/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  <c r="AL869" s="57"/>
      <c r="AM869" s="57"/>
      <c r="AN869" s="57"/>
      <c r="AO869" s="57"/>
      <c r="AP869" s="57"/>
      <c r="AQ869" s="57"/>
    </row>
    <row r="870" spans="2:43" ht="17.45" hidden="1" customHeight="1" outlineLevel="1">
      <c r="B870" s="139" t="s">
        <v>81</v>
      </c>
      <c r="C870" s="111">
        <f t="shared" ref="C870:C880" si="1241">SUMIF($R$138:$R$155,B870,$L$138:$L$155)</f>
        <v>0</v>
      </c>
      <c r="D870" s="111">
        <f t="shared" ref="D870:D880" si="1242">SUMIF($R$138:$R$155,B870,$M$138:$M$155)</f>
        <v>0</v>
      </c>
      <c r="E870" s="111">
        <f>C870+D870</f>
        <v>0</v>
      </c>
      <c r="F870" s="111">
        <f t="shared" ref="F870:F880" si="1243">SUMIF($R$138:$R$155,B870,$AZ$138:$AZ$155)</f>
        <v>0</v>
      </c>
      <c r="G870" s="111">
        <f>E870/1000</f>
        <v>0</v>
      </c>
      <c r="H870" s="111"/>
      <c r="I870" s="119"/>
      <c r="J870" s="139" t="s">
        <v>117</v>
      </c>
      <c r="K870" s="111">
        <f t="shared" ref="K870:K877" si="1244">SUMIF($Q$138:$Q$155,J870,$L$138:$L$155)</f>
        <v>0</v>
      </c>
      <c r="L870" s="111">
        <f t="shared" ref="L870:L877" si="1245">SUMIF($Q$138:$Q$155,J870,$M$138:$M$155)</f>
        <v>0</v>
      </c>
      <c r="M870" s="202">
        <f>K870+L870</f>
        <v>0</v>
      </c>
      <c r="N870" s="202">
        <f>K870/1000</f>
        <v>0</v>
      </c>
      <c r="O870" s="202">
        <f>L870/1000</f>
        <v>0</v>
      </c>
      <c r="P870" s="202">
        <f>N870+O870</f>
        <v>0</v>
      </c>
      <c r="Q870" s="358">
        <f t="shared" ref="Q870:Q877" si="1246">SUMIF($Q$138:$Q$155,J870,$I$138:$I$155)</f>
        <v>0</v>
      </c>
      <c r="R870" s="111">
        <f t="shared" ref="R870:R877" si="1247">SUMIF($Q$138:$Q$155,J870,$AZ$138:$AZ$155)</f>
        <v>0</v>
      </c>
      <c r="S870" s="126" t="str">
        <f>IFERROR(Q870/R870,"")</f>
        <v/>
      </c>
      <c r="T870" s="57"/>
      <c r="U870" s="57"/>
      <c r="V870" s="57"/>
      <c r="W870" s="57"/>
      <c r="X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  <c r="AM870" s="57"/>
      <c r="AN870" s="57"/>
      <c r="AO870" s="57"/>
      <c r="AP870" s="57"/>
      <c r="AQ870" s="57"/>
    </row>
    <row r="871" spans="2:43" ht="17.45" hidden="1" customHeight="1" outlineLevel="1">
      <c r="B871" s="139" t="s">
        <v>82</v>
      </c>
      <c r="C871" s="111">
        <f t="shared" si="1241"/>
        <v>0</v>
      </c>
      <c r="D871" s="111">
        <f t="shared" si="1242"/>
        <v>0</v>
      </c>
      <c r="E871" s="111">
        <f t="shared" ref="E871:E880" si="1248">C871+D871</f>
        <v>0</v>
      </c>
      <c r="F871" s="111">
        <f t="shared" si="1243"/>
        <v>0</v>
      </c>
      <c r="G871" s="111">
        <f t="shared" ref="G871:G880" si="1249">E871/1000</f>
        <v>0</v>
      </c>
      <c r="H871" s="111"/>
      <c r="I871" s="119"/>
      <c r="J871" s="139" t="s">
        <v>118</v>
      </c>
      <c r="K871" s="111">
        <f t="shared" si="1244"/>
        <v>0</v>
      </c>
      <c r="L871" s="111">
        <f t="shared" si="1245"/>
        <v>0</v>
      </c>
      <c r="M871" s="202">
        <f t="shared" ref="M871:M877" si="1250">K871+L871</f>
        <v>0</v>
      </c>
      <c r="N871" s="202">
        <f t="shared" ref="N871:O877" si="1251">K871/1000</f>
        <v>0</v>
      </c>
      <c r="O871" s="202">
        <f t="shared" si="1251"/>
        <v>0</v>
      </c>
      <c r="P871" s="202">
        <f t="shared" ref="P871:P877" si="1252">N871+O871</f>
        <v>0</v>
      </c>
      <c r="Q871" s="358">
        <f t="shared" si="1246"/>
        <v>0</v>
      </c>
      <c r="R871" s="111">
        <f t="shared" si="1247"/>
        <v>0</v>
      </c>
      <c r="S871" s="126" t="str">
        <f t="shared" ref="S871:S877" si="1253">IFERROR(Q871/R871,"")</f>
        <v/>
      </c>
      <c r="T871" s="57"/>
      <c r="U871" s="57"/>
      <c r="V871" s="57"/>
      <c r="W871" s="57"/>
      <c r="X871" s="57"/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  <c r="AK871" s="57"/>
      <c r="AL871" s="57"/>
      <c r="AM871" s="57"/>
      <c r="AN871" s="57"/>
      <c r="AO871" s="57"/>
      <c r="AP871" s="57"/>
      <c r="AQ871" s="57"/>
    </row>
    <row r="872" spans="2:43" ht="17.45" hidden="1" customHeight="1" outlineLevel="1">
      <c r="B872" s="139" t="s">
        <v>83</v>
      </c>
      <c r="C872" s="111">
        <f t="shared" si="1241"/>
        <v>0</v>
      </c>
      <c r="D872" s="111">
        <f t="shared" si="1242"/>
        <v>0</v>
      </c>
      <c r="E872" s="111">
        <f t="shared" si="1248"/>
        <v>0</v>
      </c>
      <c r="F872" s="111">
        <f t="shared" si="1243"/>
        <v>0</v>
      </c>
      <c r="G872" s="111">
        <f t="shared" si="1249"/>
        <v>0</v>
      </c>
      <c r="H872" s="111"/>
      <c r="I872" s="119"/>
      <c r="J872" s="139" t="s">
        <v>119</v>
      </c>
      <c r="K872" s="111">
        <f t="shared" si="1244"/>
        <v>0</v>
      </c>
      <c r="L872" s="111">
        <f t="shared" si="1245"/>
        <v>0</v>
      </c>
      <c r="M872" s="202">
        <f t="shared" si="1250"/>
        <v>0</v>
      </c>
      <c r="N872" s="202">
        <f t="shared" si="1251"/>
        <v>0</v>
      </c>
      <c r="O872" s="202">
        <f t="shared" si="1251"/>
        <v>0</v>
      </c>
      <c r="P872" s="202">
        <f t="shared" si="1252"/>
        <v>0</v>
      </c>
      <c r="Q872" s="358">
        <f t="shared" si="1246"/>
        <v>0</v>
      </c>
      <c r="R872" s="111">
        <f t="shared" si="1247"/>
        <v>0</v>
      </c>
      <c r="S872" s="126" t="str">
        <f t="shared" si="1253"/>
        <v/>
      </c>
      <c r="T872" s="57"/>
      <c r="U872" s="57"/>
      <c r="V872" s="57"/>
      <c r="W872" s="57"/>
      <c r="X872" s="57"/>
      <c r="Z872" s="57"/>
      <c r="AA872" s="57"/>
      <c r="AB872" s="57"/>
      <c r="AC872" s="57"/>
      <c r="AD872" s="57"/>
      <c r="AE872" s="57"/>
      <c r="AF872" s="57"/>
      <c r="AG872" s="57"/>
      <c r="AH872" s="57"/>
      <c r="AI872" s="57"/>
      <c r="AJ872" s="57"/>
      <c r="AK872" s="57"/>
      <c r="AL872" s="57"/>
      <c r="AM872" s="57"/>
      <c r="AN872" s="57"/>
      <c r="AO872" s="57"/>
      <c r="AP872" s="57"/>
      <c r="AQ872" s="57"/>
    </row>
    <row r="873" spans="2:43" ht="17.45" hidden="1" customHeight="1" outlineLevel="1">
      <c r="B873" s="139" t="s">
        <v>84</v>
      </c>
      <c r="C873" s="111">
        <f t="shared" si="1241"/>
        <v>0</v>
      </c>
      <c r="D873" s="111">
        <f t="shared" si="1242"/>
        <v>0</v>
      </c>
      <c r="E873" s="111">
        <f t="shared" si="1248"/>
        <v>0</v>
      </c>
      <c r="F873" s="111">
        <f t="shared" si="1243"/>
        <v>0</v>
      </c>
      <c r="G873" s="111">
        <f t="shared" si="1249"/>
        <v>0</v>
      </c>
      <c r="H873" s="111"/>
      <c r="I873" s="119"/>
      <c r="J873" s="139" t="s">
        <v>113</v>
      </c>
      <c r="K873" s="111">
        <f t="shared" si="1244"/>
        <v>0</v>
      </c>
      <c r="L873" s="111">
        <f t="shared" si="1245"/>
        <v>0</v>
      </c>
      <c r="M873" s="202">
        <f t="shared" si="1250"/>
        <v>0</v>
      </c>
      <c r="N873" s="202">
        <f t="shared" si="1251"/>
        <v>0</v>
      </c>
      <c r="O873" s="202">
        <f t="shared" si="1251"/>
        <v>0</v>
      </c>
      <c r="P873" s="202">
        <f t="shared" si="1252"/>
        <v>0</v>
      </c>
      <c r="Q873" s="358">
        <f t="shared" si="1246"/>
        <v>0</v>
      </c>
      <c r="R873" s="111">
        <f t="shared" si="1247"/>
        <v>0</v>
      </c>
      <c r="S873" s="126" t="str">
        <f t="shared" si="1253"/>
        <v/>
      </c>
      <c r="T873" s="57"/>
      <c r="U873" s="57"/>
      <c r="V873" s="57"/>
      <c r="W873" s="57"/>
      <c r="X873" s="57"/>
      <c r="Z873" s="57"/>
      <c r="AA873" s="57"/>
      <c r="AB873" s="57"/>
      <c r="AC873" s="57"/>
      <c r="AD873" s="57"/>
      <c r="AE873" s="57"/>
      <c r="AF873" s="57"/>
      <c r="AG873" s="57"/>
      <c r="AH873" s="57"/>
      <c r="AI873" s="57"/>
      <c r="AJ873" s="57"/>
      <c r="AK873" s="57"/>
      <c r="AL873" s="57"/>
      <c r="AM873" s="57"/>
      <c r="AN873" s="57"/>
      <c r="AO873" s="57"/>
      <c r="AP873" s="57"/>
      <c r="AQ873" s="57"/>
    </row>
    <row r="874" spans="2:43" ht="17.45" hidden="1" customHeight="1" outlineLevel="1">
      <c r="B874" s="139" t="s">
        <v>223</v>
      </c>
      <c r="C874" s="111">
        <f t="shared" si="1241"/>
        <v>0</v>
      </c>
      <c r="D874" s="111">
        <f t="shared" si="1242"/>
        <v>0</v>
      </c>
      <c r="E874" s="111">
        <f t="shared" si="1248"/>
        <v>0</v>
      </c>
      <c r="F874" s="111">
        <f t="shared" si="1243"/>
        <v>0</v>
      </c>
      <c r="G874" s="111">
        <f t="shared" si="1249"/>
        <v>0</v>
      </c>
      <c r="H874" s="111"/>
      <c r="I874" s="119"/>
      <c r="J874" s="139" t="s">
        <v>120</v>
      </c>
      <c r="K874" s="111">
        <f t="shared" si="1244"/>
        <v>0</v>
      </c>
      <c r="L874" s="111">
        <f t="shared" si="1245"/>
        <v>0</v>
      </c>
      <c r="M874" s="202">
        <f t="shared" si="1250"/>
        <v>0</v>
      </c>
      <c r="N874" s="202">
        <f t="shared" si="1251"/>
        <v>0</v>
      </c>
      <c r="O874" s="202">
        <f t="shared" si="1251"/>
        <v>0</v>
      </c>
      <c r="P874" s="202">
        <f t="shared" si="1252"/>
        <v>0</v>
      </c>
      <c r="Q874" s="358">
        <f t="shared" si="1246"/>
        <v>0</v>
      </c>
      <c r="R874" s="111">
        <f t="shared" si="1247"/>
        <v>0</v>
      </c>
      <c r="S874" s="126" t="str">
        <f t="shared" si="1253"/>
        <v/>
      </c>
      <c r="T874" s="57"/>
      <c r="U874" s="57"/>
      <c r="V874" s="57"/>
      <c r="W874" s="57"/>
      <c r="X874" s="57"/>
      <c r="Z874" s="57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  <c r="AK874" s="57"/>
      <c r="AL874" s="57"/>
      <c r="AM874" s="57"/>
      <c r="AN874" s="57"/>
      <c r="AO874" s="57"/>
      <c r="AP874" s="57"/>
      <c r="AQ874" s="57"/>
    </row>
    <row r="875" spans="2:43" ht="17.45" hidden="1" customHeight="1" outlineLevel="1">
      <c r="B875" s="139" t="s">
        <v>158</v>
      </c>
      <c r="C875" s="111">
        <f t="shared" si="1241"/>
        <v>0</v>
      </c>
      <c r="D875" s="111">
        <f t="shared" si="1242"/>
        <v>0</v>
      </c>
      <c r="E875" s="111">
        <f t="shared" si="1248"/>
        <v>0</v>
      </c>
      <c r="F875" s="111">
        <f t="shared" si="1243"/>
        <v>0</v>
      </c>
      <c r="G875" s="111">
        <f t="shared" si="1249"/>
        <v>0</v>
      </c>
      <c r="H875" s="111"/>
      <c r="I875" s="119"/>
      <c r="J875" s="139" t="s">
        <v>121</v>
      </c>
      <c r="K875" s="111">
        <f t="shared" si="1244"/>
        <v>0</v>
      </c>
      <c r="L875" s="111">
        <f t="shared" si="1245"/>
        <v>0</v>
      </c>
      <c r="M875" s="202">
        <f t="shared" si="1250"/>
        <v>0</v>
      </c>
      <c r="N875" s="202">
        <f t="shared" si="1251"/>
        <v>0</v>
      </c>
      <c r="O875" s="202">
        <f t="shared" si="1251"/>
        <v>0</v>
      </c>
      <c r="P875" s="202">
        <f t="shared" si="1252"/>
        <v>0</v>
      </c>
      <c r="Q875" s="358">
        <f t="shared" si="1246"/>
        <v>0</v>
      </c>
      <c r="R875" s="111">
        <f t="shared" si="1247"/>
        <v>0</v>
      </c>
      <c r="S875" s="126" t="str">
        <f t="shared" si="1253"/>
        <v/>
      </c>
      <c r="T875" s="57"/>
      <c r="U875" s="57"/>
      <c r="V875" s="57"/>
      <c r="W875" s="57"/>
      <c r="X875" s="57"/>
      <c r="Z875" s="57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  <c r="AK875" s="57"/>
      <c r="AL875" s="57"/>
      <c r="AM875" s="57"/>
      <c r="AN875" s="57"/>
      <c r="AO875" s="57"/>
      <c r="AP875" s="57"/>
      <c r="AQ875" s="57"/>
    </row>
    <row r="876" spans="2:43" ht="17.45" hidden="1" customHeight="1" outlineLevel="1">
      <c r="B876" s="139" t="s">
        <v>85</v>
      </c>
      <c r="C876" s="111">
        <f t="shared" si="1241"/>
        <v>0</v>
      </c>
      <c r="D876" s="111">
        <f t="shared" si="1242"/>
        <v>0</v>
      </c>
      <c r="E876" s="111">
        <f t="shared" si="1248"/>
        <v>0</v>
      </c>
      <c r="F876" s="111">
        <f t="shared" si="1243"/>
        <v>0</v>
      </c>
      <c r="G876" s="111">
        <f t="shared" si="1249"/>
        <v>0</v>
      </c>
      <c r="H876" s="111"/>
      <c r="I876" s="119"/>
      <c r="J876" s="139" t="s">
        <v>122</v>
      </c>
      <c r="K876" s="111">
        <f t="shared" si="1244"/>
        <v>0</v>
      </c>
      <c r="L876" s="111">
        <f t="shared" si="1245"/>
        <v>0</v>
      </c>
      <c r="M876" s="202">
        <f t="shared" si="1250"/>
        <v>0</v>
      </c>
      <c r="N876" s="202">
        <f t="shared" si="1251"/>
        <v>0</v>
      </c>
      <c r="O876" s="202">
        <f t="shared" si="1251"/>
        <v>0</v>
      </c>
      <c r="P876" s="202">
        <f t="shared" si="1252"/>
        <v>0</v>
      </c>
      <c r="Q876" s="358">
        <f t="shared" si="1246"/>
        <v>0</v>
      </c>
      <c r="R876" s="111">
        <f t="shared" si="1247"/>
        <v>0</v>
      </c>
      <c r="S876" s="126" t="str">
        <f t="shared" si="1253"/>
        <v/>
      </c>
      <c r="T876" s="57"/>
      <c r="U876" s="57"/>
      <c r="V876" s="57"/>
      <c r="W876" s="57"/>
      <c r="X876" s="57"/>
      <c r="Z876" s="57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  <c r="AK876" s="57"/>
      <c r="AL876" s="57"/>
      <c r="AM876" s="57"/>
      <c r="AN876" s="57"/>
      <c r="AO876" s="57"/>
      <c r="AP876" s="57"/>
      <c r="AQ876" s="57"/>
    </row>
    <row r="877" spans="2:43" ht="17.45" hidden="1" customHeight="1" outlineLevel="1">
      <c r="B877" s="139" t="s">
        <v>96</v>
      </c>
      <c r="C877" s="111">
        <f t="shared" si="1241"/>
        <v>0</v>
      </c>
      <c r="D877" s="111">
        <f t="shared" si="1242"/>
        <v>0</v>
      </c>
      <c r="E877" s="111">
        <f t="shared" si="1248"/>
        <v>0</v>
      </c>
      <c r="F877" s="111">
        <f t="shared" si="1243"/>
        <v>0</v>
      </c>
      <c r="G877" s="111">
        <f t="shared" si="1249"/>
        <v>0</v>
      </c>
      <c r="H877" s="111"/>
      <c r="I877" s="119"/>
      <c r="J877" s="139" t="s">
        <v>162</v>
      </c>
      <c r="K877" s="111">
        <f t="shared" si="1244"/>
        <v>0</v>
      </c>
      <c r="L877" s="111">
        <f t="shared" si="1245"/>
        <v>0</v>
      </c>
      <c r="M877" s="202">
        <f t="shared" si="1250"/>
        <v>0</v>
      </c>
      <c r="N877" s="202">
        <f t="shared" si="1251"/>
        <v>0</v>
      </c>
      <c r="O877" s="202">
        <f t="shared" si="1251"/>
        <v>0</v>
      </c>
      <c r="P877" s="202">
        <f t="shared" si="1252"/>
        <v>0</v>
      </c>
      <c r="Q877" s="358">
        <f t="shared" si="1246"/>
        <v>0</v>
      </c>
      <c r="R877" s="111">
        <f t="shared" si="1247"/>
        <v>0</v>
      </c>
      <c r="S877" s="126" t="str">
        <f t="shared" si="1253"/>
        <v/>
      </c>
      <c r="T877" s="57"/>
      <c r="U877" s="57"/>
      <c r="V877" s="57"/>
      <c r="W877" s="57"/>
      <c r="X877" s="57"/>
      <c r="Z877" s="57"/>
      <c r="AA877" s="57"/>
      <c r="AB877" s="57"/>
      <c r="AC877" s="57"/>
      <c r="AD877" s="57"/>
      <c r="AE877" s="57"/>
      <c r="AF877" s="57"/>
      <c r="AG877" s="57"/>
      <c r="AH877" s="57"/>
      <c r="AI877" s="57"/>
      <c r="AJ877" s="57"/>
      <c r="AK877" s="57"/>
      <c r="AL877" s="57"/>
      <c r="AM877" s="57"/>
      <c r="AN877" s="57"/>
      <c r="AO877" s="57"/>
      <c r="AP877" s="57"/>
      <c r="AQ877" s="57"/>
    </row>
    <row r="878" spans="2:43" ht="17.45" hidden="1" customHeight="1" outlineLevel="1">
      <c r="B878" s="139" t="s">
        <v>86</v>
      </c>
      <c r="C878" s="111">
        <f t="shared" si="1241"/>
        <v>0</v>
      </c>
      <c r="D878" s="111">
        <f t="shared" si="1242"/>
        <v>0</v>
      </c>
      <c r="E878" s="111">
        <f t="shared" si="1248"/>
        <v>0</v>
      </c>
      <c r="F878" s="111">
        <f t="shared" si="1243"/>
        <v>0</v>
      </c>
      <c r="G878" s="111">
        <f t="shared" si="1249"/>
        <v>0</v>
      </c>
      <c r="H878" s="111"/>
      <c r="I878" s="119"/>
      <c r="J878" s="232" t="s">
        <v>123</v>
      </c>
      <c r="K878" s="203">
        <f>SUM(K870:K877)</f>
        <v>0</v>
      </c>
      <c r="L878" s="203">
        <f t="shared" ref="L878:M878" si="1254">SUM(L870:L877)</f>
        <v>0</v>
      </c>
      <c r="M878" s="203">
        <f t="shared" si="1254"/>
        <v>0</v>
      </c>
      <c r="N878" s="203">
        <f>SUM(N870:N877)</f>
        <v>0</v>
      </c>
      <c r="O878" s="203">
        <f t="shared" ref="O878:P878" si="1255">SUM(O870:O877)</f>
        <v>0</v>
      </c>
      <c r="P878" s="203">
        <f t="shared" si="1255"/>
        <v>0</v>
      </c>
      <c r="Q878" s="359">
        <f>SUM(Q870:Q877)</f>
        <v>0</v>
      </c>
      <c r="R878" s="359">
        <f>SUM(R870:R877)</f>
        <v>0</v>
      </c>
      <c r="S878" s="359" t="str">
        <f>IFERROR(Q878/R878,"")</f>
        <v/>
      </c>
      <c r="T878" s="57"/>
      <c r="U878" s="57"/>
      <c r="V878" s="57"/>
      <c r="W878" s="57"/>
      <c r="X878" s="57"/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  <c r="AK878" s="57"/>
      <c r="AL878" s="57"/>
      <c r="AM878" s="57"/>
      <c r="AN878" s="57"/>
      <c r="AO878" s="57"/>
      <c r="AP878" s="57"/>
      <c r="AQ878" s="57"/>
    </row>
    <row r="879" spans="2:43" ht="17.45" hidden="1" customHeight="1" outlineLevel="1">
      <c r="B879" s="139" t="s">
        <v>169</v>
      </c>
      <c r="C879" s="111">
        <f t="shared" si="1241"/>
        <v>0</v>
      </c>
      <c r="D879" s="111">
        <f t="shared" si="1242"/>
        <v>0</v>
      </c>
      <c r="E879" s="111">
        <f t="shared" si="1248"/>
        <v>0</v>
      </c>
      <c r="F879" s="111">
        <f t="shared" si="1243"/>
        <v>0</v>
      </c>
      <c r="G879" s="111">
        <f t="shared" si="1249"/>
        <v>0</v>
      </c>
      <c r="H879" s="111"/>
      <c r="I879" s="119"/>
      <c r="K879" s="343" t="str">
        <f>IF(K878=D865,"","CHECK")</f>
        <v/>
      </c>
      <c r="L879" s="343" t="str">
        <f>IF(L878=E865,"","CHECK")</f>
        <v/>
      </c>
      <c r="M879" s="343" t="str">
        <f>IF(M878=F865,"","CHECK")</f>
        <v/>
      </c>
      <c r="S879" s="343" t="str">
        <f>IF(S878=I891,"","CHECK")</f>
        <v/>
      </c>
      <c r="T879" s="57"/>
      <c r="U879" s="57"/>
      <c r="V879" s="57"/>
      <c r="W879" s="57"/>
      <c r="X879" s="57"/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  <c r="AK879" s="57"/>
      <c r="AL879" s="57"/>
      <c r="AM879" s="57"/>
      <c r="AN879" s="57"/>
      <c r="AO879" s="57"/>
      <c r="AP879" s="57"/>
      <c r="AQ879" s="57"/>
    </row>
    <row r="880" spans="2:43" ht="17.45" hidden="1" customHeight="1" outlineLevel="1" thickBot="1">
      <c r="B880" s="139" t="s">
        <v>155</v>
      </c>
      <c r="C880" s="111">
        <f t="shared" si="1241"/>
        <v>0</v>
      </c>
      <c r="D880" s="111">
        <f t="shared" si="1242"/>
        <v>0</v>
      </c>
      <c r="E880" s="111">
        <f t="shared" si="1248"/>
        <v>0</v>
      </c>
      <c r="F880" s="111">
        <f t="shared" si="1243"/>
        <v>0</v>
      </c>
      <c r="G880" s="111">
        <f t="shared" si="1249"/>
        <v>0</v>
      </c>
      <c r="H880" s="111"/>
      <c r="I880" s="119"/>
      <c r="L880" s="283"/>
      <c r="M880" s="220"/>
      <c r="P880" s="360" t="s">
        <v>161</v>
      </c>
      <c r="Q880" s="359">
        <f>SUM(Q870:Q875)</f>
        <v>0</v>
      </c>
      <c r="R880" s="359">
        <f>SUM(R870:R875)</f>
        <v>0</v>
      </c>
      <c r="S880" s="359" t="str">
        <f>IFERROR(Q880/R880,"")</f>
        <v/>
      </c>
      <c r="T880" s="57"/>
      <c r="U880" s="57"/>
      <c r="V880" s="57"/>
      <c r="W880" s="57"/>
      <c r="X880" s="57"/>
      <c r="Z880" s="57"/>
      <c r="AA880" s="57"/>
      <c r="AB880" s="57"/>
      <c r="AC880" s="57"/>
      <c r="AD880" s="57"/>
      <c r="AE880" s="57"/>
      <c r="AF880" s="57"/>
      <c r="AG880" s="57"/>
      <c r="AH880" s="57"/>
      <c r="AI880" s="57"/>
      <c r="AJ880" s="57"/>
      <c r="AK880" s="57"/>
      <c r="AL880" s="57"/>
      <c r="AM880" s="57"/>
      <c r="AN880" s="57"/>
      <c r="AO880" s="57"/>
      <c r="AP880" s="57"/>
      <c r="AQ880" s="57"/>
    </row>
    <row r="881" spans="2:43" ht="17.45" hidden="1" customHeight="1" outlineLevel="1" thickBot="1">
      <c r="B881" s="113" t="s">
        <v>61</v>
      </c>
      <c r="C881" s="114">
        <f>SUM(C870:C880)</f>
        <v>0</v>
      </c>
      <c r="D881" s="114">
        <f t="shared" ref="D881:E881" si="1256">SUM(D870:D880)</f>
        <v>0</v>
      </c>
      <c r="E881" s="114">
        <f t="shared" si="1256"/>
        <v>0</v>
      </c>
      <c r="F881" s="166">
        <f>SUM(F870:F880)</f>
        <v>0</v>
      </c>
      <c r="G881" s="170">
        <f>SUM(G870:G880)</f>
        <v>0</v>
      </c>
      <c r="H881" s="167"/>
      <c r="I881" s="119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Z881" s="57"/>
      <c r="AA881" s="57"/>
      <c r="AB881" s="57"/>
      <c r="AC881" s="57"/>
      <c r="AD881" s="57"/>
      <c r="AE881" s="57"/>
      <c r="AF881" s="57"/>
      <c r="AG881" s="57"/>
      <c r="AH881" s="57"/>
      <c r="AI881" s="57"/>
      <c r="AJ881" s="57"/>
      <c r="AK881" s="57"/>
      <c r="AL881" s="57"/>
      <c r="AM881" s="57"/>
      <c r="AN881" s="57"/>
      <c r="AO881" s="57"/>
      <c r="AP881" s="57"/>
      <c r="AQ881" s="57"/>
    </row>
    <row r="882" spans="2:43" ht="17.45" hidden="1" customHeight="1" outlineLevel="1">
      <c r="B882" s="151" t="s">
        <v>87</v>
      </c>
      <c r="C882" s="152"/>
      <c r="D882" s="152"/>
      <c r="E882" s="153">
        <f>$W$314</f>
        <v>0</v>
      </c>
      <c r="F882" s="143"/>
      <c r="G882" s="169">
        <f>E882/1000</f>
        <v>0</v>
      </c>
      <c r="H882" s="145"/>
      <c r="I882" s="119"/>
      <c r="T882" s="57"/>
      <c r="U882" s="57"/>
      <c r="V882" s="57"/>
      <c r="W882" s="57"/>
      <c r="X882" s="57"/>
      <c r="Z882" s="57"/>
      <c r="AA882" s="57"/>
      <c r="AB882" s="57"/>
      <c r="AC882" s="57"/>
      <c r="AD882" s="57"/>
      <c r="AE882" s="57"/>
      <c r="AF882" s="57"/>
      <c r="AG882" s="57"/>
      <c r="AH882" s="57"/>
      <c r="AI882" s="57"/>
      <c r="AJ882" s="57"/>
      <c r="AK882" s="57"/>
      <c r="AL882" s="57"/>
      <c r="AM882" s="57"/>
      <c r="AN882" s="57"/>
      <c r="AO882" s="57"/>
      <c r="AP882" s="57"/>
      <c r="AQ882" s="57"/>
    </row>
    <row r="883" spans="2:43" ht="17.45" hidden="1" customHeight="1" outlineLevel="1">
      <c r="B883" s="151" t="s">
        <v>57</v>
      </c>
      <c r="C883" s="152"/>
      <c r="D883" s="152"/>
      <c r="E883" s="140">
        <f>SUM(E881:E882)</f>
        <v>0</v>
      </c>
      <c r="F883" s="122"/>
      <c r="G883" s="140">
        <f>SUM(G881:G882)</f>
        <v>0</v>
      </c>
      <c r="H883" s="343" t="str">
        <f>IF(G883=K314,"","CHECK")</f>
        <v/>
      </c>
      <c r="I883" s="119"/>
      <c r="T883" s="57"/>
      <c r="U883" s="57"/>
      <c r="V883" s="57"/>
      <c r="W883" s="57"/>
      <c r="X883" s="57"/>
      <c r="Z883" s="57"/>
      <c r="AA883" s="57"/>
      <c r="AB883" s="57"/>
      <c r="AC883" s="57"/>
      <c r="AD883" s="57"/>
      <c r="AE883" s="57"/>
      <c r="AF883" s="57"/>
      <c r="AG883" s="57"/>
      <c r="AH883" s="57"/>
      <c r="AI883" s="57"/>
      <c r="AJ883" s="57"/>
      <c r="AK883" s="57"/>
      <c r="AL883" s="57"/>
      <c r="AM883" s="57"/>
      <c r="AN883" s="57"/>
      <c r="AO883" s="57"/>
      <c r="AP883" s="57"/>
      <c r="AQ883" s="57"/>
    </row>
    <row r="884" spans="2:43" ht="17.45" hidden="1" customHeight="1" outlineLevel="1">
      <c r="B884" s="137"/>
      <c r="C884" s="122"/>
      <c r="D884" s="122"/>
      <c r="E884" s="154"/>
      <c r="F884" s="122"/>
      <c r="G884" s="122"/>
      <c r="H884" s="137"/>
      <c r="I884" s="119"/>
      <c r="T884" s="57"/>
      <c r="U884" s="57"/>
      <c r="V884" s="57"/>
      <c r="W884" s="57"/>
      <c r="X884" s="57"/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57"/>
      <c r="AK884" s="57"/>
      <c r="AL884" s="57"/>
      <c r="AM884" s="57"/>
      <c r="AN884" s="57"/>
      <c r="AO884" s="57"/>
      <c r="AP884" s="57"/>
      <c r="AQ884" s="57"/>
    </row>
    <row r="885" spans="2:43" ht="17.45" hidden="1" customHeight="1" outlineLevel="1">
      <c r="B885" s="1173" t="s">
        <v>88</v>
      </c>
      <c r="C885" s="1177" t="s">
        <v>52</v>
      </c>
      <c r="D885" s="1177"/>
      <c r="E885" s="1177"/>
      <c r="F885" s="1177" t="s">
        <v>73</v>
      </c>
      <c r="G885" s="1177" t="s">
        <v>75</v>
      </c>
      <c r="H885" s="1168" t="s">
        <v>72</v>
      </c>
      <c r="I885" s="1168"/>
      <c r="T885" s="57"/>
      <c r="U885" s="57"/>
      <c r="V885" s="57"/>
      <c r="W885" s="57"/>
      <c r="X885" s="57"/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57"/>
      <c r="AK885" s="57"/>
      <c r="AL885" s="57"/>
      <c r="AM885" s="57"/>
      <c r="AN885" s="57"/>
      <c r="AO885" s="57"/>
      <c r="AP885" s="57"/>
      <c r="AQ885" s="57"/>
    </row>
    <row r="886" spans="2:43" ht="17.45" hidden="1" customHeight="1" outlineLevel="1">
      <c r="B886" s="1173"/>
      <c r="C886" s="628" t="s">
        <v>55</v>
      </c>
      <c r="D886" s="628" t="s">
        <v>56</v>
      </c>
      <c r="E886" s="628" t="s">
        <v>57</v>
      </c>
      <c r="F886" s="1177"/>
      <c r="G886" s="1177"/>
      <c r="H886" s="626" t="s">
        <v>89</v>
      </c>
      <c r="I886" s="626" t="s">
        <v>90</v>
      </c>
    </row>
    <row r="887" spans="2:43" ht="17.45" hidden="1" customHeight="1" outlineLevel="1">
      <c r="B887" s="138" t="s">
        <v>91</v>
      </c>
      <c r="C887" s="111">
        <f>SUMIF($V$138:$V$155,B887,$L$138:$L$155)</f>
        <v>0</v>
      </c>
      <c r="D887" s="111">
        <f>SUMIF($V$138:$V$155,B887,$M$138:$M$155)</f>
        <v>0</v>
      </c>
      <c r="E887" s="111">
        <f>C887+D887</f>
        <v>0</v>
      </c>
      <c r="F887" s="111">
        <f>SUMIF($V$138:$V$155,B887,$AZ$138:$AZ$155)</f>
        <v>0</v>
      </c>
      <c r="G887" s="111">
        <f>E887/1000</f>
        <v>0</v>
      </c>
      <c r="H887" s="126">
        <f>SUMIF($V$138:$V$155,B887,$I$138:$I$155)</f>
        <v>0</v>
      </c>
      <c r="I887" s="141" t="str">
        <f>IFERROR(H887/F887,"")</f>
        <v/>
      </c>
    </row>
    <row r="888" spans="2:43" ht="17.45" hidden="1" customHeight="1" outlineLevel="1">
      <c r="B888" s="138" t="s">
        <v>92</v>
      </c>
      <c r="C888" s="111">
        <f>SUMIF($V$138:$V$155,B888,$L$138:$L$155)</f>
        <v>0</v>
      </c>
      <c r="D888" s="111">
        <f>SUMIF($V$138:$V$155,B888,$M$138:$M$155)</f>
        <v>0</v>
      </c>
      <c r="E888" s="111">
        <f t="shared" ref="E888:E890" si="1257">C888+D888</f>
        <v>0</v>
      </c>
      <c r="F888" s="111">
        <f>SUMIF($V$138:$V$155,B888,$AZ$138:$AZ$155)</f>
        <v>0</v>
      </c>
      <c r="G888" s="111">
        <f t="shared" ref="G888:G890" si="1258">E888/1000</f>
        <v>0</v>
      </c>
      <c r="H888" s="126">
        <f>SUMIF($V$138:$V$155,B888,$I$138:$I$155)</f>
        <v>0</v>
      </c>
      <c r="I888" s="141" t="str">
        <f t="shared" ref="I888:I890" si="1259">IFERROR(H888/F888,"")</f>
        <v/>
      </c>
    </row>
    <row r="889" spans="2:43" ht="17.45" hidden="1" customHeight="1" outlineLevel="1">
      <c r="B889" s="138" t="s">
        <v>93</v>
      </c>
      <c r="C889" s="111">
        <f>SUMIF($V$138:$V$155,B889,$L$138:$L$155)</f>
        <v>0</v>
      </c>
      <c r="D889" s="111">
        <f>SUMIF($V$138:$V$155,B889,$M$138:$M$155)</f>
        <v>0</v>
      </c>
      <c r="E889" s="111">
        <f t="shared" si="1257"/>
        <v>0</v>
      </c>
      <c r="F889" s="111">
        <f>SUMIF($V$138:$V$155,B889,$AZ$138:$AZ$155)</f>
        <v>0</v>
      </c>
      <c r="G889" s="111">
        <f t="shared" si="1258"/>
        <v>0</v>
      </c>
      <c r="H889" s="126">
        <f>SUMIF($V$138:$V$155,B889,$I$138:$I$155)</f>
        <v>0</v>
      </c>
      <c r="I889" s="141" t="str">
        <f t="shared" si="1259"/>
        <v/>
      </c>
    </row>
    <row r="890" spans="2:43" ht="17.45" hidden="1" customHeight="1" outlineLevel="1" thickBot="1">
      <c r="B890" s="138" t="s">
        <v>94</v>
      </c>
      <c r="C890" s="111">
        <f>SUMIF($V$138:$V$155,B890,$L$138:$L$155)</f>
        <v>0</v>
      </c>
      <c r="D890" s="111">
        <f>SUMIF($V$138:$V$155,B890,$M$138:$M$155)</f>
        <v>0</v>
      </c>
      <c r="E890" s="111">
        <f t="shared" si="1257"/>
        <v>0</v>
      </c>
      <c r="F890" s="111">
        <f>SUMIF($V$138:$V$155,B890,$AZ$138:$AZ$155)</f>
        <v>0</v>
      </c>
      <c r="G890" s="111">
        <f t="shared" si="1258"/>
        <v>0</v>
      </c>
      <c r="H890" s="126">
        <f>SUMIF($V$138:$V$155,B890,$I$138:$I$155)</f>
        <v>0</v>
      </c>
      <c r="I890" s="141" t="str">
        <f t="shared" si="1259"/>
        <v/>
      </c>
    </row>
    <row r="891" spans="2:43" ht="17.45" hidden="1" customHeight="1" outlineLevel="1" thickBot="1">
      <c r="B891" s="113" t="s">
        <v>61</v>
      </c>
      <c r="C891" s="114">
        <f>SUM(C887:C890)</f>
        <v>0</v>
      </c>
      <c r="D891" s="114">
        <f t="shared" ref="D891:F891" si="1260">SUM(D887:D890)</f>
        <v>0</v>
      </c>
      <c r="E891" s="114">
        <f t="shared" si="1260"/>
        <v>0</v>
      </c>
      <c r="F891" s="114">
        <f t="shared" si="1260"/>
        <v>0</v>
      </c>
      <c r="G891" s="114">
        <f>SUM(G887:G890)</f>
        <v>0</v>
      </c>
      <c r="H891" s="189">
        <f>SUM(H887:H890)</f>
        <v>0</v>
      </c>
      <c r="I891" s="191" t="str">
        <f>IFERROR(H891/F891,"")</f>
        <v/>
      </c>
    </row>
    <row r="892" spans="2:43" ht="17.45" hidden="1" customHeight="1" outlineLevel="1"/>
    <row r="893" spans="2:43" ht="17.45" customHeight="1" collapsed="1">
      <c r="B893" s="329" t="s">
        <v>264</v>
      </c>
      <c r="O893" s="122"/>
      <c r="P893" s="122"/>
      <c r="Q893" s="122"/>
      <c r="R893" s="123"/>
      <c r="S893" s="331"/>
      <c r="T893" s="124"/>
      <c r="U893" s="332"/>
      <c r="V893" s="332"/>
      <c r="W893" s="245"/>
      <c r="X893" s="245"/>
      <c r="Y893" s="333"/>
    </row>
    <row r="894" spans="2:43" ht="17.45" hidden="1" customHeight="1" outlineLevel="1">
      <c r="B894" s="1173" t="s">
        <v>51</v>
      </c>
      <c r="C894" s="1173"/>
      <c r="D894" s="1168" t="s">
        <v>52</v>
      </c>
      <c r="E894" s="1168"/>
      <c r="F894" s="1168"/>
      <c r="G894" s="1168" t="s">
        <v>53</v>
      </c>
      <c r="H894" s="1168"/>
      <c r="I894" s="1168"/>
      <c r="J894" s="1168" t="s">
        <v>54</v>
      </c>
      <c r="K894" s="1168"/>
      <c r="L894" s="1168"/>
      <c r="O894" s="1168" t="s">
        <v>71</v>
      </c>
      <c r="P894" s="1168" t="s">
        <v>72</v>
      </c>
      <c r="Q894" s="1168" t="s">
        <v>73</v>
      </c>
      <c r="R894" s="1168" t="s">
        <v>74</v>
      </c>
      <c r="S894" s="122"/>
      <c r="T894" s="1168" t="s">
        <v>71</v>
      </c>
      <c r="U894" s="1168" t="s">
        <v>72</v>
      </c>
      <c r="V894" s="1168" t="s">
        <v>73</v>
      </c>
      <c r="W894" s="1168" t="s">
        <v>74</v>
      </c>
      <c r="X894" s="1168" t="s">
        <v>75</v>
      </c>
      <c r="Y894" s="1169" t="str">
        <f>RIGHT(B893,3)&amp;" 목표(ST)"</f>
        <v>10월 목표(ST)</v>
      </c>
      <c r="Z894" s="1170" t="s">
        <v>111</v>
      </c>
      <c r="AA894" s="1169" t="s">
        <v>153</v>
      </c>
    </row>
    <row r="895" spans="2:43" ht="17.45" hidden="1" customHeight="1" outlineLevel="1">
      <c r="B895" s="1173"/>
      <c r="C895" s="1173"/>
      <c r="D895" s="626" t="s">
        <v>55</v>
      </c>
      <c r="E895" s="626" t="s">
        <v>56</v>
      </c>
      <c r="F895" s="626" t="s">
        <v>57</v>
      </c>
      <c r="G895" s="626" t="s">
        <v>55</v>
      </c>
      <c r="H895" s="626" t="s">
        <v>56</v>
      </c>
      <c r="I895" s="626" t="s">
        <v>57</v>
      </c>
      <c r="J895" s="626" t="s">
        <v>55</v>
      </c>
      <c r="K895" s="626" t="s">
        <v>56</v>
      </c>
      <c r="L895" s="626" t="s">
        <v>57</v>
      </c>
      <c r="O895" s="1168"/>
      <c r="P895" s="1168"/>
      <c r="Q895" s="1168"/>
      <c r="R895" s="1168"/>
      <c r="S895" s="122"/>
      <c r="T895" s="1168"/>
      <c r="U895" s="1168"/>
      <c r="V895" s="1168"/>
      <c r="W895" s="1168"/>
      <c r="X895" s="1168"/>
      <c r="Y895" s="1168"/>
      <c r="Z895" s="1168"/>
      <c r="AA895" s="1168"/>
      <c r="AN895" s="361"/>
      <c r="AO895" s="362" t="s">
        <v>156</v>
      </c>
      <c r="AP895" s="457"/>
    </row>
    <row r="896" spans="2:43" ht="17.45" hidden="1" customHeight="1" outlineLevel="1">
      <c r="B896" s="1171" t="s">
        <v>58</v>
      </c>
      <c r="C896" s="110" t="s">
        <v>179</v>
      </c>
      <c r="D896" s="111">
        <f t="shared" ref="D896:D901" si="1261">SUMIF($B$157:$B$174,C896,$L$157:$L$174)</f>
        <v>0</v>
      </c>
      <c r="E896" s="111">
        <f t="shared" ref="E896:E901" si="1262">SUMIF($B$157:$B$174,C896,$M$157:$M$174)</f>
        <v>0</v>
      </c>
      <c r="F896" s="111">
        <f>D896+E896</f>
        <v>0</v>
      </c>
      <c r="G896" s="112" t="str">
        <f>IFERROR(D896/F896,"")</f>
        <v/>
      </c>
      <c r="H896" s="112" t="str">
        <f>IFERROR(E896/F896,"")</f>
        <v/>
      </c>
      <c r="I896" s="112" t="str">
        <f t="shared" ref="I896:I901" si="1263">IFERROR(G896+H896,"")</f>
        <v/>
      </c>
      <c r="J896" s="111">
        <f t="shared" ref="J896:J901" si="1264">SUMIF($B$157:$B$174,C896,$AX$157:$AX$174)</f>
        <v>0</v>
      </c>
      <c r="K896" s="111">
        <f t="shared" ref="K896:K901" si="1265">SUMIF($B$157:$B$174,C896,$AY$157:$AY$174)</f>
        <v>0</v>
      </c>
      <c r="L896" s="111">
        <f>J896+K896</f>
        <v>0</v>
      </c>
      <c r="O896" s="125" t="str">
        <f>C896</f>
        <v>SGC에너지</v>
      </c>
      <c r="P896" s="126">
        <f t="shared" ref="P896:P901" si="1266">SUMIF($B$157:$B$174,O896,$I$157:$I$174)</f>
        <v>0</v>
      </c>
      <c r="Q896" s="111">
        <f t="shared" ref="Q896:Q901" si="1267">SUMIF($B$157:$B$174,O896,$AZ$157:$AZ$174)</f>
        <v>0</v>
      </c>
      <c r="R896" s="126" t="str">
        <f>IFERROR(P896/Q896,"")</f>
        <v/>
      </c>
      <c r="S896" s="122"/>
      <c r="T896" s="125" t="str">
        <f>O896</f>
        <v>SGC에너지</v>
      </c>
      <c r="U896" s="126">
        <f>P896</f>
        <v>0</v>
      </c>
      <c r="V896" s="111">
        <f>Q896</f>
        <v>0</v>
      </c>
      <c r="W896" s="127" t="str">
        <f>IFERROR(U896/V896,"")</f>
        <v/>
      </c>
      <c r="X896" s="148">
        <f>F896/1000</f>
        <v>0</v>
      </c>
      <c r="Y896" s="111"/>
      <c r="Z896" s="155" t="str">
        <f>IFERROR(IF(X896=0,"",X896/Y896),"")</f>
        <v/>
      </c>
      <c r="AA896" s="215">
        <f>X896-Y896</f>
        <v>0</v>
      </c>
      <c r="AN896" s="335"/>
      <c r="AO896" s="336">
        <f>X896-Y896</f>
        <v>0</v>
      </c>
      <c r="AP896" s="452"/>
    </row>
    <row r="897" spans="2:43" ht="17.45" hidden="1" customHeight="1" outlineLevel="1">
      <c r="B897" s="1172"/>
      <c r="C897" s="110" t="s">
        <v>59</v>
      </c>
      <c r="D897" s="111">
        <f t="shared" si="1261"/>
        <v>0</v>
      </c>
      <c r="E897" s="111">
        <f t="shared" si="1262"/>
        <v>0</v>
      </c>
      <c r="F897" s="111">
        <f t="shared" ref="F897:F901" si="1268">D897+E897</f>
        <v>0</v>
      </c>
      <c r="G897" s="112" t="str">
        <f t="shared" ref="G897:G919" si="1269">IFERROR(D897/F897,"")</f>
        <v/>
      </c>
      <c r="H897" s="112" t="str">
        <f t="shared" ref="H897:H901" si="1270">IFERROR(E897/F897,"")</f>
        <v/>
      </c>
      <c r="I897" s="112" t="str">
        <f t="shared" si="1263"/>
        <v/>
      </c>
      <c r="J897" s="111">
        <f t="shared" si="1264"/>
        <v>0</v>
      </c>
      <c r="K897" s="111">
        <f t="shared" si="1265"/>
        <v>0</v>
      </c>
      <c r="L897" s="111">
        <f t="shared" ref="L897:L901" si="1271">J897+K897</f>
        <v>0</v>
      </c>
      <c r="O897" s="125" t="str">
        <f t="shared" ref="O897:O901" si="1272">C897</f>
        <v>남동발전</v>
      </c>
      <c r="P897" s="126">
        <f t="shared" si="1266"/>
        <v>0</v>
      </c>
      <c r="Q897" s="111">
        <f t="shared" si="1267"/>
        <v>0</v>
      </c>
      <c r="R897" s="126" t="str">
        <f t="shared" ref="R897:R918" si="1273">IFERROR(P897/Q897,"")</f>
        <v/>
      </c>
      <c r="S897" s="122"/>
      <c r="T897" s="125" t="str">
        <f t="shared" ref="T897:V901" si="1274">O897</f>
        <v>남동발전</v>
      </c>
      <c r="U897" s="126">
        <f t="shared" si="1274"/>
        <v>0</v>
      </c>
      <c r="V897" s="111">
        <f t="shared" si="1274"/>
        <v>0</v>
      </c>
      <c r="W897" s="127" t="str">
        <f t="shared" ref="W897:W917" si="1275">IFERROR(U897/V897,"")</f>
        <v/>
      </c>
      <c r="X897" s="148">
        <f t="shared" ref="X897:X901" si="1276">F897/1000</f>
        <v>0</v>
      </c>
      <c r="Y897" s="111"/>
      <c r="Z897" s="155" t="str">
        <f t="shared" ref="Z897:Z911" si="1277">IFERROR(IF(X897=0,"",X897/Y897),"")</f>
        <v/>
      </c>
      <c r="AA897" s="215">
        <f t="shared" ref="AA897:AA901" si="1278">X897-Y897</f>
        <v>0</v>
      </c>
      <c r="AN897" s="335"/>
      <c r="AO897" s="336">
        <f t="shared" ref="AO897:AO901" si="1279">X897-Y897</f>
        <v>0</v>
      </c>
      <c r="AP897" s="452"/>
    </row>
    <row r="898" spans="2:43" ht="17.45" hidden="1" customHeight="1" outlineLevel="1">
      <c r="B898" s="1172"/>
      <c r="C898" s="110" t="s">
        <v>60</v>
      </c>
      <c r="D898" s="111">
        <f t="shared" si="1261"/>
        <v>0</v>
      </c>
      <c r="E898" s="111">
        <f t="shared" si="1262"/>
        <v>0</v>
      </c>
      <c r="F898" s="111">
        <f t="shared" si="1268"/>
        <v>0</v>
      </c>
      <c r="G898" s="112" t="str">
        <f t="shared" si="1269"/>
        <v/>
      </c>
      <c r="H898" s="112" t="str">
        <f t="shared" si="1270"/>
        <v/>
      </c>
      <c r="I898" s="112" t="str">
        <f t="shared" si="1263"/>
        <v/>
      </c>
      <c r="J898" s="111">
        <f t="shared" si="1264"/>
        <v>0</v>
      </c>
      <c r="K898" s="111">
        <f t="shared" si="1265"/>
        <v>0</v>
      </c>
      <c r="L898" s="111">
        <f t="shared" si="1271"/>
        <v>0</v>
      </c>
      <c r="O898" s="125" t="str">
        <f t="shared" si="1272"/>
        <v>동서발전</v>
      </c>
      <c r="P898" s="126">
        <f t="shared" si="1266"/>
        <v>0</v>
      </c>
      <c r="Q898" s="111">
        <f t="shared" si="1267"/>
        <v>0</v>
      </c>
      <c r="R898" s="126" t="str">
        <f t="shared" si="1273"/>
        <v/>
      </c>
      <c r="S898" s="122"/>
      <c r="T898" s="125" t="str">
        <f t="shared" si="1274"/>
        <v>동서발전</v>
      </c>
      <c r="U898" s="126">
        <f t="shared" si="1274"/>
        <v>0</v>
      </c>
      <c r="V898" s="111">
        <f t="shared" si="1274"/>
        <v>0</v>
      </c>
      <c r="W898" s="127" t="str">
        <f t="shared" si="1275"/>
        <v/>
      </c>
      <c r="X898" s="148">
        <f t="shared" si="1276"/>
        <v>0</v>
      </c>
      <c r="Y898" s="111"/>
      <c r="Z898" s="155" t="str">
        <f t="shared" si="1277"/>
        <v/>
      </c>
      <c r="AA898" s="215">
        <f t="shared" si="1278"/>
        <v>0</v>
      </c>
      <c r="AN898" s="335"/>
      <c r="AO898" s="336">
        <f t="shared" si="1279"/>
        <v>0</v>
      </c>
      <c r="AP898" s="452"/>
    </row>
    <row r="899" spans="2:43" ht="17.45" hidden="1" customHeight="1" outlineLevel="1">
      <c r="B899" s="1172"/>
      <c r="C899" s="110" t="s">
        <v>159</v>
      </c>
      <c r="D899" s="111">
        <f t="shared" si="1261"/>
        <v>0</v>
      </c>
      <c r="E899" s="111">
        <f t="shared" si="1262"/>
        <v>0</v>
      </c>
      <c r="F899" s="111">
        <f t="shared" si="1268"/>
        <v>0</v>
      </c>
      <c r="G899" s="112" t="str">
        <f t="shared" si="1269"/>
        <v/>
      </c>
      <c r="H899" s="112" t="str">
        <f t="shared" si="1270"/>
        <v/>
      </c>
      <c r="I899" s="112" t="str">
        <f t="shared" si="1263"/>
        <v/>
      </c>
      <c r="J899" s="111">
        <f t="shared" si="1264"/>
        <v>0</v>
      </c>
      <c r="K899" s="111">
        <f t="shared" si="1265"/>
        <v>0</v>
      </c>
      <c r="L899" s="111">
        <f t="shared" si="1271"/>
        <v>0</v>
      </c>
      <c r="O899" s="125" t="str">
        <f t="shared" si="1272"/>
        <v>미쓰이</v>
      </c>
      <c r="P899" s="126">
        <f t="shared" si="1266"/>
        <v>0</v>
      </c>
      <c r="Q899" s="111">
        <f t="shared" si="1267"/>
        <v>0</v>
      </c>
      <c r="R899" s="126" t="str">
        <f t="shared" si="1273"/>
        <v/>
      </c>
      <c r="S899" s="122"/>
      <c r="T899" s="125" t="str">
        <f t="shared" si="1274"/>
        <v>미쓰이</v>
      </c>
      <c r="U899" s="126">
        <f t="shared" si="1274"/>
        <v>0</v>
      </c>
      <c r="V899" s="111">
        <f t="shared" si="1274"/>
        <v>0</v>
      </c>
      <c r="W899" s="127" t="str">
        <f t="shared" si="1275"/>
        <v/>
      </c>
      <c r="X899" s="148">
        <f t="shared" si="1276"/>
        <v>0</v>
      </c>
      <c r="Y899" s="111"/>
      <c r="Z899" s="155" t="str">
        <f t="shared" si="1277"/>
        <v/>
      </c>
      <c r="AA899" s="215"/>
      <c r="AN899" s="335"/>
      <c r="AO899" s="336">
        <f t="shared" si="1279"/>
        <v>0</v>
      </c>
      <c r="AP899" s="452"/>
    </row>
    <row r="900" spans="2:43" ht="17.45" hidden="1" customHeight="1" outlineLevel="1">
      <c r="B900" s="1172"/>
      <c r="C900" s="110" t="s">
        <v>168</v>
      </c>
      <c r="D900" s="111">
        <f t="shared" si="1261"/>
        <v>0</v>
      </c>
      <c r="E900" s="111">
        <f t="shared" si="1262"/>
        <v>0</v>
      </c>
      <c r="F900" s="111">
        <f t="shared" si="1268"/>
        <v>0</v>
      </c>
      <c r="G900" s="112" t="str">
        <f t="shared" si="1269"/>
        <v/>
      </c>
      <c r="H900" s="112" t="str">
        <f t="shared" si="1270"/>
        <v/>
      </c>
      <c r="I900" s="112" t="str">
        <f t="shared" si="1263"/>
        <v/>
      </c>
      <c r="J900" s="111">
        <f t="shared" si="1264"/>
        <v>0</v>
      </c>
      <c r="K900" s="111">
        <f t="shared" si="1265"/>
        <v>0</v>
      </c>
      <c r="L900" s="111">
        <f t="shared" si="1271"/>
        <v>0</v>
      </c>
      <c r="O900" s="125" t="str">
        <f t="shared" si="1272"/>
        <v>포스코인터</v>
      </c>
      <c r="P900" s="126">
        <f t="shared" si="1266"/>
        <v>0</v>
      </c>
      <c r="Q900" s="111">
        <f t="shared" si="1267"/>
        <v>0</v>
      </c>
      <c r="R900" s="126" t="str">
        <f t="shared" si="1273"/>
        <v/>
      </c>
      <c r="S900" s="122"/>
      <c r="T900" s="125" t="str">
        <f t="shared" si="1274"/>
        <v>포스코인터</v>
      </c>
      <c r="U900" s="126">
        <f t="shared" si="1274"/>
        <v>0</v>
      </c>
      <c r="V900" s="111">
        <f t="shared" si="1274"/>
        <v>0</v>
      </c>
      <c r="W900" s="127" t="str">
        <f t="shared" si="1275"/>
        <v/>
      </c>
      <c r="X900" s="148">
        <f t="shared" si="1276"/>
        <v>0</v>
      </c>
      <c r="Y900" s="111"/>
      <c r="Z900" s="155" t="str">
        <f t="shared" si="1277"/>
        <v/>
      </c>
      <c r="AA900" s="215"/>
      <c r="AN900" s="335"/>
      <c r="AO900" s="336">
        <f t="shared" si="1279"/>
        <v>0</v>
      </c>
      <c r="AP900" s="452"/>
    </row>
    <row r="901" spans="2:43" ht="17.45" hidden="1" customHeight="1" outlineLevel="1">
      <c r="B901" s="1172"/>
      <c r="C901" s="110" t="s">
        <v>154</v>
      </c>
      <c r="D901" s="111">
        <f t="shared" si="1261"/>
        <v>0</v>
      </c>
      <c r="E901" s="111">
        <f t="shared" si="1262"/>
        <v>0</v>
      </c>
      <c r="F901" s="111">
        <f t="shared" si="1268"/>
        <v>0</v>
      </c>
      <c r="G901" s="112" t="str">
        <f t="shared" si="1269"/>
        <v/>
      </c>
      <c r="H901" s="112" t="str">
        <f t="shared" si="1270"/>
        <v/>
      </c>
      <c r="I901" s="112" t="str">
        <f t="shared" si="1263"/>
        <v/>
      </c>
      <c r="J901" s="111">
        <f t="shared" si="1264"/>
        <v>0</v>
      </c>
      <c r="K901" s="111">
        <f t="shared" si="1265"/>
        <v>0</v>
      </c>
      <c r="L901" s="111">
        <f t="shared" si="1271"/>
        <v>0</v>
      </c>
      <c r="O901" s="125" t="str">
        <f t="shared" si="1272"/>
        <v>이노샌드</v>
      </c>
      <c r="P901" s="126">
        <f t="shared" si="1266"/>
        <v>0</v>
      </c>
      <c r="Q901" s="111">
        <f t="shared" si="1267"/>
        <v>0</v>
      </c>
      <c r="R901" s="126" t="str">
        <f t="shared" si="1273"/>
        <v/>
      </c>
      <c r="S901" s="122"/>
      <c r="T901" s="125" t="str">
        <f t="shared" si="1274"/>
        <v>이노샌드</v>
      </c>
      <c r="U901" s="126">
        <f t="shared" si="1274"/>
        <v>0</v>
      </c>
      <c r="V901" s="111">
        <f t="shared" si="1274"/>
        <v>0</v>
      </c>
      <c r="W901" s="127" t="str">
        <f t="shared" si="1275"/>
        <v/>
      </c>
      <c r="X901" s="148">
        <f t="shared" si="1276"/>
        <v>0</v>
      </c>
      <c r="Y901" s="111"/>
      <c r="Z901" s="155" t="str">
        <f t="shared" si="1277"/>
        <v/>
      </c>
      <c r="AA901" s="215">
        <f t="shared" si="1278"/>
        <v>0</v>
      </c>
      <c r="AN901" s="335"/>
      <c r="AO901" s="336">
        <f t="shared" si="1279"/>
        <v>0</v>
      </c>
      <c r="AP901" s="452"/>
      <c r="AQ901" s="337"/>
    </row>
    <row r="902" spans="2:43" ht="17.45" hidden="1" customHeight="1" outlineLevel="1">
      <c r="B902" s="1172"/>
      <c r="C902" s="113" t="s">
        <v>61</v>
      </c>
      <c r="D902" s="114">
        <f>SUM(D896:D901)</f>
        <v>0</v>
      </c>
      <c r="E902" s="114">
        <f>SUM(E896:E901)</f>
        <v>0</v>
      </c>
      <c r="F902" s="114">
        <f>SUM(F896:F901)</f>
        <v>0</v>
      </c>
      <c r="G902" s="115" t="str">
        <f t="shared" si="1269"/>
        <v/>
      </c>
      <c r="H902" s="115" t="str">
        <f>IFERROR(E902/F902,"")</f>
        <v/>
      </c>
      <c r="I902" s="115" t="str">
        <f>IFERROR(G902+H902,"")</f>
        <v/>
      </c>
      <c r="J902" s="114">
        <f>SUM(J896:J901)</f>
        <v>0</v>
      </c>
      <c r="K902" s="114">
        <f t="shared" ref="K902:L902" si="1280">SUM(K896:K901)</f>
        <v>0</v>
      </c>
      <c r="L902" s="114">
        <f t="shared" si="1280"/>
        <v>0</v>
      </c>
      <c r="O902" s="128" t="s">
        <v>61</v>
      </c>
      <c r="P902" s="129">
        <f>SUM(P896:P901)</f>
        <v>0</v>
      </c>
      <c r="Q902" s="114">
        <f>SUM(Q896:Q901)</f>
        <v>0</v>
      </c>
      <c r="R902" s="129" t="str">
        <f t="shared" si="1273"/>
        <v/>
      </c>
      <c r="S902" s="122"/>
      <c r="T902" s="128" t="s">
        <v>61</v>
      </c>
      <c r="U902" s="129">
        <f>SUM(U896:U901)</f>
        <v>0</v>
      </c>
      <c r="V902" s="114">
        <f>SUM(V896:V901)</f>
        <v>0</v>
      </c>
      <c r="W902" s="129" t="str">
        <f t="shared" si="1275"/>
        <v/>
      </c>
      <c r="X902" s="114">
        <f>SUM(X896:X901)</f>
        <v>0</v>
      </c>
      <c r="Y902" s="114">
        <f>SUM(Y896:Y901)</f>
        <v>0</v>
      </c>
      <c r="Z902" s="156" t="str">
        <f t="shared" si="1277"/>
        <v/>
      </c>
      <c r="AA902" s="212">
        <f>SUM(AA896:AA901)</f>
        <v>0</v>
      </c>
      <c r="AN902" s="338">
        <f>SUM(AN896:AN901)</f>
        <v>0</v>
      </c>
      <c r="AO902" s="338">
        <f>SUM(AO896:AO901)</f>
        <v>0</v>
      </c>
      <c r="AP902" s="453"/>
    </row>
    <row r="903" spans="2:43" ht="17.45" hidden="1" customHeight="1" outlineLevel="1">
      <c r="B903" s="1171" t="s">
        <v>62</v>
      </c>
      <c r="C903" s="110" t="s">
        <v>222</v>
      </c>
      <c r="D903" s="111">
        <f t="shared" ref="D903:D917" si="1281">SUMIF($B$157:$B$174,C903,$L$157:$L$174)</f>
        <v>0</v>
      </c>
      <c r="E903" s="111">
        <f t="shared" ref="E903:E917" si="1282">SUMIF($B$157:$B$174,C903,$M$157:$M$174)</f>
        <v>0</v>
      </c>
      <c r="F903" s="111">
        <f t="shared" ref="F903:F917" si="1283">D903+E903</f>
        <v>0</v>
      </c>
      <c r="G903" s="112" t="str">
        <f t="shared" si="1269"/>
        <v/>
      </c>
      <c r="H903" s="112" t="str">
        <f t="shared" ref="H903:H917" si="1284">IFERROR(E903/F903,"")</f>
        <v/>
      </c>
      <c r="I903" s="112" t="str">
        <f t="shared" ref="I903:I917" si="1285">IFERROR(G903+H903,"")</f>
        <v/>
      </c>
      <c r="J903" s="111">
        <f t="shared" ref="J903:J917" si="1286">SUMIF($B$157:$B$174,C903,$AX$157:$AX$174)</f>
        <v>0</v>
      </c>
      <c r="K903" s="111">
        <f t="shared" ref="K903:K917" si="1287">SUMIF($B$157:$B$174,C903,$AY$157:$AY$174)</f>
        <v>0</v>
      </c>
      <c r="L903" s="111">
        <f t="shared" ref="L903:L917" si="1288">J903+K903</f>
        <v>0</v>
      </c>
      <c r="O903" s="125" t="str">
        <f>C903</f>
        <v>태경비케이</v>
      </c>
      <c r="P903" s="126">
        <f t="shared" ref="P903:P917" si="1289">SUMIF($B$157:$B$174,O903,$I$157:$I$174)</f>
        <v>0</v>
      </c>
      <c r="Q903" s="111">
        <f t="shared" ref="Q903:Q917" si="1290">SUMIF($B$157:$B$174,O903,$AZ$157:$AZ$174)</f>
        <v>0</v>
      </c>
      <c r="R903" s="126" t="str">
        <f t="shared" si="1273"/>
        <v/>
      </c>
      <c r="S903" s="122"/>
      <c r="T903" s="125" t="str">
        <f t="shared" ref="T903:V917" si="1291">O903</f>
        <v>태경비케이</v>
      </c>
      <c r="U903" s="126">
        <f t="shared" si="1291"/>
        <v>0</v>
      </c>
      <c r="V903" s="111">
        <f t="shared" si="1291"/>
        <v>0</v>
      </c>
      <c r="W903" s="127" t="str">
        <f t="shared" si="1275"/>
        <v/>
      </c>
      <c r="X903" s="148">
        <f t="shared" ref="X903:X917" si="1292">F903/1000</f>
        <v>0</v>
      </c>
      <c r="Y903" s="111"/>
      <c r="Z903" s="155" t="str">
        <f t="shared" si="1277"/>
        <v/>
      </c>
      <c r="AA903" s="215">
        <f t="shared" ref="AA903:AA917" si="1293">X903-Y903</f>
        <v>0</v>
      </c>
      <c r="AN903" s="335"/>
      <c r="AO903" s="336">
        <f>X903-Y903</f>
        <v>0</v>
      </c>
      <c r="AP903" s="452"/>
    </row>
    <row r="904" spans="2:43" ht="17.45" hidden="1" customHeight="1" outlineLevel="1">
      <c r="B904" s="1172"/>
      <c r="C904" s="110" t="s">
        <v>78</v>
      </c>
      <c r="D904" s="111">
        <f t="shared" si="1281"/>
        <v>0</v>
      </c>
      <c r="E904" s="111">
        <f t="shared" si="1282"/>
        <v>0</v>
      </c>
      <c r="F904" s="111">
        <f t="shared" si="1283"/>
        <v>0</v>
      </c>
      <c r="G904" s="112" t="str">
        <f t="shared" si="1269"/>
        <v/>
      </c>
      <c r="H904" s="112" t="str">
        <f t="shared" si="1284"/>
        <v/>
      </c>
      <c r="I904" s="112" t="str">
        <f t="shared" si="1285"/>
        <v/>
      </c>
      <c r="J904" s="111">
        <f t="shared" si="1286"/>
        <v>0</v>
      </c>
      <c r="K904" s="111">
        <f t="shared" si="1287"/>
        <v>0</v>
      </c>
      <c r="L904" s="111">
        <f t="shared" si="1288"/>
        <v>0</v>
      </c>
      <c r="O904" s="125" t="str">
        <f t="shared" ref="O904:O917" si="1294">C904</f>
        <v>삼영산업</v>
      </c>
      <c r="P904" s="126">
        <f t="shared" si="1289"/>
        <v>0</v>
      </c>
      <c r="Q904" s="111">
        <f t="shared" si="1290"/>
        <v>0</v>
      </c>
      <c r="R904" s="126" t="str">
        <f t="shared" si="1273"/>
        <v/>
      </c>
      <c r="S904" s="122"/>
      <c r="T904" s="125" t="str">
        <f t="shared" si="1291"/>
        <v>삼영산업</v>
      </c>
      <c r="U904" s="126">
        <f t="shared" si="1291"/>
        <v>0</v>
      </c>
      <c r="V904" s="111">
        <f t="shared" si="1291"/>
        <v>0</v>
      </c>
      <c r="W904" s="127" t="str">
        <f t="shared" si="1275"/>
        <v/>
      </c>
      <c r="X904" s="148">
        <f t="shared" si="1292"/>
        <v>0</v>
      </c>
      <c r="Y904" s="111"/>
      <c r="Z904" s="155" t="str">
        <f t="shared" si="1277"/>
        <v/>
      </c>
      <c r="AA904" s="215">
        <f t="shared" si="1293"/>
        <v>0</v>
      </c>
      <c r="AN904" s="335"/>
      <c r="AO904" s="336">
        <f t="shared" ref="AO904:AO905" si="1295">X904-Y904</f>
        <v>0</v>
      </c>
      <c r="AP904" s="452"/>
    </row>
    <row r="905" spans="2:43" ht="17.45" hidden="1" customHeight="1" outlineLevel="1">
      <c r="B905" s="1172"/>
      <c r="C905" s="110" t="s">
        <v>176</v>
      </c>
      <c r="D905" s="111">
        <f t="shared" si="1281"/>
        <v>0</v>
      </c>
      <c r="E905" s="111">
        <f t="shared" si="1282"/>
        <v>0</v>
      </c>
      <c r="F905" s="111">
        <f t="shared" si="1283"/>
        <v>0</v>
      </c>
      <c r="G905" s="112" t="str">
        <f t="shared" si="1269"/>
        <v/>
      </c>
      <c r="H905" s="112" t="str">
        <f t="shared" si="1284"/>
        <v/>
      </c>
      <c r="I905" s="112" t="str">
        <f t="shared" si="1285"/>
        <v/>
      </c>
      <c r="J905" s="111">
        <f t="shared" si="1286"/>
        <v>0</v>
      </c>
      <c r="K905" s="111">
        <f t="shared" si="1287"/>
        <v>0</v>
      </c>
      <c r="L905" s="111">
        <f t="shared" si="1288"/>
        <v>0</v>
      </c>
      <c r="O905" s="125" t="str">
        <f t="shared" si="1294"/>
        <v>고려시멘트</v>
      </c>
      <c r="P905" s="126">
        <f t="shared" si="1289"/>
        <v>0</v>
      </c>
      <c r="Q905" s="111">
        <f t="shared" si="1290"/>
        <v>0</v>
      </c>
      <c r="R905" s="126" t="str">
        <f t="shared" si="1273"/>
        <v/>
      </c>
      <c r="S905" s="122"/>
      <c r="T905" s="125" t="str">
        <f t="shared" si="1291"/>
        <v>고려시멘트</v>
      </c>
      <c r="U905" s="126">
        <f t="shared" si="1291"/>
        <v>0</v>
      </c>
      <c r="V905" s="111">
        <f t="shared" si="1291"/>
        <v>0</v>
      </c>
      <c r="W905" s="127" t="str">
        <f t="shared" si="1275"/>
        <v/>
      </c>
      <c r="X905" s="148">
        <f t="shared" si="1292"/>
        <v>0</v>
      </c>
      <c r="Y905" s="111"/>
      <c r="Z905" s="155" t="str">
        <f t="shared" si="1277"/>
        <v/>
      </c>
      <c r="AA905" s="215">
        <f t="shared" si="1293"/>
        <v>0</v>
      </c>
      <c r="AN905" s="335"/>
      <c r="AO905" s="336">
        <f t="shared" si="1295"/>
        <v>0</v>
      </c>
      <c r="AP905" s="452"/>
    </row>
    <row r="906" spans="2:43" ht="17.45" hidden="1" customHeight="1" outlineLevel="1">
      <c r="B906" s="1172"/>
      <c r="C906" s="110" t="s">
        <v>63</v>
      </c>
      <c r="D906" s="111">
        <f t="shared" si="1281"/>
        <v>0</v>
      </c>
      <c r="E906" s="111">
        <f t="shared" si="1282"/>
        <v>0</v>
      </c>
      <c r="F906" s="111">
        <f t="shared" si="1283"/>
        <v>0</v>
      </c>
      <c r="G906" s="112" t="str">
        <f t="shared" si="1269"/>
        <v/>
      </c>
      <c r="H906" s="112" t="str">
        <f t="shared" si="1284"/>
        <v/>
      </c>
      <c r="I906" s="112" t="str">
        <f t="shared" si="1285"/>
        <v/>
      </c>
      <c r="J906" s="111">
        <f t="shared" si="1286"/>
        <v>0</v>
      </c>
      <c r="K906" s="111">
        <f t="shared" si="1287"/>
        <v>0</v>
      </c>
      <c r="L906" s="111">
        <f t="shared" si="1288"/>
        <v>0</v>
      </c>
      <c r="O906" s="125" t="str">
        <f t="shared" si="1294"/>
        <v>청해실업</v>
      </c>
      <c r="P906" s="126">
        <f t="shared" si="1289"/>
        <v>0</v>
      </c>
      <c r="Q906" s="111">
        <f t="shared" si="1290"/>
        <v>0</v>
      </c>
      <c r="R906" s="126" t="str">
        <f t="shared" si="1273"/>
        <v/>
      </c>
      <c r="S906" s="122"/>
      <c r="T906" s="125" t="str">
        <f t="shared" si="1291"/>
        <v>청해실업</v>
      </c>
      <c r="U906" s="126">
        <f t="shared" si="1291"/>
        <v>0</v>
      </c>
      <c r="V906" s="111">
        <f t="shared" si="1291"/>
        <v>0</v>
      </c>
      <c r="W906" s="127" t="str">
        <f t="shared" si="1275"/>
        <v/>
      </c>
      <c r="X906" s="148">
        <f t="shared" si="1292"/>
        <v>0</v>
      </c>
      <c r="Y906" s="111"/>
      <c r="Z906" s="155" t="str">
        <f t="shared" si="1277"/>
        <v/>
      </c>
      <c r="AA906" s="215">
        <f t="shared" si="1293"/>
        <v>0</v>
      </c>
      <c r="AN906" s="339"/>
      <c r="AO906" s="340">
        <f t="shared" ref="AO906" si="1296">X906-AN906</f>
        <v>0</v>
      </c>
      <c r="AP906" s="454"/>
      <c r="AQ906" s="240" t="s">
        <v>30</v>
      </c>
    </row>
    <row r="907" spans="2:43" ht="17.45" hidden="1" customHeight="1" outlineLevel="1">
      <c r="B907" s="1172"/>
      <c r="C907" s="110" t="s">
        <v>64</v>
      </c>
      <c r="D907" s="111">
        <f t="shared" si="1281"/>
        <v>0</v>
      </c>
      <c r="E907" s="111">
        <f t="shared" si="1282"/>
        <v>0</v>
      </c>
      <c r="F907" s="111">
        <f t="shared" si="1283"/>
        <v>0</v>
      </c>
      <c r="G907" s="112" t="str">
        <f t="shared" si="1269"/>
        <v/>
      </c>
      <c r="H907" s="112" t="str">
        <f t="shared" si="1284"/>
        <v/>
      </c>
      <c r="I907" s="112" t="str">
        <f t="shared" si="1285"/>
        <v/>
      </c>
      <c r="J907" s="111">
        <f t="shared" si="1286"/>
        <v>0</v>
      </c>
      <c r="K907" s="111">
        <f t="shared" si="1287"/>
        <v>0</v>
      </c>
      <c r="L907" s="111">
        <f t="shared" si="1288"/>
        <v>0</v>
      </c>
      <c r="O907" s="125" t="str">
        <f t="shared" si="1294"/>
        <v>한화에너지</v>
      </c>
      <c r="P907" s="126">
        <f t="shared" si="1289"/>
        <v>0</v>
      </c>
      <c r="Q907" s="111">
        <f t="shared" si="1290"/>
        <v>0</v>
      </c>
      <c r="R907" s="126" t="str">
        <f t="shared" si="1273"/>
        <v/>
      </c>
      <c r="S907" s="122"/>
      <c r="T907" s="125" t="str">
        <f t="shared" si="1291"/>
        <v>한화에너지</v>
      </c>
      <c r="U907" s="126">
        <f t="shared" si="1291"/>
        <v>0</v>
      </c>
      <c r="V907" s="111">
        <f t="shared" si="1291"/>
        <v>0</v>
      </c>
      <c r="W907" s="127" t="str">
        <f t="shared" si="1275"/>
        <v/>
      </c>
      <c r="X907" s="148">
        <f t="shared" si="1292"/>
        <v>0</v>
      </c>
      <c r="Y907" s="111"/>
      <c r="Z907" s="155" t="str">
        <f t="shared" si="1277"/>
        <v/>
      </c>
      <c r="AA907" s="215">
        <f t="shared" si="1293"/>
        <v>0</v>
      </c>
      <c r="AN907" s="335"/>
      <c r="AO907" s="336">
        <f t="shared" ref="AO907:AO917" si="1297">X907-Y907</f>
        <v>0</v>
      </c>
      <c r="AP907" s="452"/>
    </row>
    <row r="908" spans="2:43" ht="17.45" hidden="1" customHeight="1" outlineLevel="1">
      <c r="B908" s="1172"/>
      <c r="C908" s="110" t="s">
        <v>178</v>
      </c>
      <c r="D908" s="111">
        <f t="shared" si="1281"/>
        <v>0</v>
      </c>
      <c r="E908" s="111">
        <f t="shared" si="1282"/>
        <v>0</v>
      </c>
      <c r="F908" s="111">
        <f t="shared" si="1283"/>
        <v>0</v>
      </c>
      <c r="G908" s="112" t="str">
        <f t="shared" si="1269"/>
        <v/>
      </c>
      <c r="H908" s="112" t="str">
        <f t="shared" si="1284"/>
        <v/>
      </c>
      <c r="I908" s="112" t="str">
        <f t="shared" si="1285"/>
        <v/>
      </c>
      <c r="J908" s="111">
        <f t="shared" si="1286"/>
        <v>0</v>
      </c>
      <c r="K908" s="111">
        <f t="shared" si="1287"/>
        <v>0</v>
      </c>
      <c r="L908" s="111">
        <f t="shared" si="1288"/>
        <v>0</v>
      </c>
      <c r="O908" s="125" t="str">
        <f t="shared" si="1294"/>
        <v>금호석유화학</v>
      </c>
      <c r="P908" s="126">
        <f t="shared" si="1289"/>
        <v>0</v>
      </c>
      <c r="Q908" s="111">
        <f t="shared" si="1290"/>
        <v>0</v>
      </c>
      <c r="R908" s="126" t="str">
        <f t="shared" si="1273"/>
        <v/>
      </c>
      <c r="S908" s="122"/>
      <c r="T908" s="125" t="str">
        <f t="shared" si="1291"/>
        <v>금호석유화학</v>
      </c>
      <c r="U908" s="126">
        <f t="shared" si="1291"/>
        <v>0</v>
      </c>
      <c r="V908" s="111">
        <f t="shared" si="1291"/>
        <v>0</v>
      </c>
      <c r="W908" s="127" t="str">
        <f t="shared" si="1275"/>
        <v/>
      </c>
      <c r="X908" s="148">
        <f t="shared" si="1292"/>
        <v>0</v>
      </c>
      <c r="Y908" s="111"/>
      <c r="Z908" s="155" t="str">
        <f t="shared" si="1277"/>
        <v/>
      </c>
      <c r="AA908" s="215">
        <f t="shared" si="1293"/>
        <v>0</v>
      </c>
      <c r="AN908" s="335"/>
      <c r="AO908" s="336">
        <f t="shared" si="1297"/>
        <v>0</v>
      </c>
      <c r="AP908" s="452"/>
    </row>
    <row r="909" spans="2:43" ht="17.45" hidden="1" customHeight="1" outlineLevel="1">
      <c r="B909" s="1172"/>
      <c r="C909" s="110" t="s">
        <v>65</v>
      </c>
      <c r="D909" s="111">
        <f t="shared" si="1281"/>
        <v>0</v>
      </c>
      <c r="E909" s="111">
        <f t="shared" si="1282"/>
        <v>0</v>
      </c>
      <c r="F909" s="111">
        <f t="shared" si="1283"/>
        <v>0</v>
      </c>
      <c r="G909" s="112" t="str">
        <f t="shared" si="1269"/>
        <v/>
      </c>
      <c r="H909" s="112" t="str">
        <f t="shared" si="1284"/>
        <v/>
      </c>
      <c r="I909" s="112" t="str">
        <f t="shared" si="1285"/>
        <v/>
      </c>
      <c r="J909" s="111">
        <f t="shared" si="1286"/>
        <v>0</v>
      </c>
      <c r="K909" s="111">
        <f t="shared" si="1287"/>
        <v>0</v>
      </c>
      <c r="L909" s="111">
        <f t="shared" si="1288"/>
        <v>0</v>
      </c>
      <c r="O909" s="125" t="str">
        <f t="shared" si="1294"/>
        <v>LG상사</v>
      </c>
      <c r="P909" s="126">
        <f t="shared" si="1289"/>
        <v>0</v>
      </c>
      <c r="Q909" s="111">
        <f t="shared" si="1290"/>
        <v>0</v>
      </c>
      <c r="R909" s="126" t="str">
        <f t="shared" si="1273"/>
        <v/>
      </c>
      <c r="S909" s="122"/>
      <c r="T909" s="125" t="str">
        <f t="shared" si="1291"/>
        <v>LG상사</v>
      </c>
      <c r="U909" s="126">
        <f t="shared" si="1291"/>
        <v>0</v>
      </c>
      <c r="V909" s="111">
        <f t="shared" si="1291"/>
        <v>0</v>
      </c>
      <c r="W909" s="127" t="str">
        <f t="shared" si="1275"/>
        <v/>
      </c>
      <c r="X909" s="148">
        <f t="shared" si="1292"/>
        <v>0</v>
      </c>
      <c r="Y909" s="111"/>
      <c r="Z909" s="155" t="str">
        <f t="shared" si="1277"/>
        <v/>
      </c>
      <c r="AA909" s="215">
        <f t="shared" si="1293"/>
        <v>0</v>
      </c>
      <c r="AN909" s="335"/>
      <c r="AO909" s="336">
        <f t="shared" si="1297"/>
        <v>0</v>
      </c>
      <c r="AP909" s="452"/>
    </row>
    <row r="910" spans="2:43" ht="17.45" hidden="1" customHeight="1" outlineLevel="1">
      <c r="B910" s="1172"/>
      <c r="C910" s="110" t="s">
        <v>66</v>
      </c>
      <c r="D910" s="111">
        <f t="shared" si="1281"/>
        <v>0</v>
      </c>
      <c r="E910" s="111">
        <f t="shared" si="1282"/>
        <v>0</v>
      </c>
      <c r="F910" s="111">
        <f t="shared" si="1283"/>
        <v>0</v>
      </c>
      <c r="G910" s="112" t="str">
        <f t="shared" si="1269"/>
        <v/>
      </c>
      <c r="H910" s="112" t="str">
        <f t="shared" si="1284"/>
        <v/>
      </c>
      <c r="I910" s="112" t="str">
        <f t="shared" si="1285"/>
        <v/>
      </c>
      <c r="J910" s="111">
        <f t="shared" si="1286"/>
        <v>0</v>
      </c>
      <c r="K910" s="111">
        <f t="shared" si="1287"/>
        <v>0</v>
      </c>
      <c r="L910" s="111">
        <f t="shared" si="1288"/>
        <v>0</v>
      </c>
      <c r="O910" s="125" t="str">
        <f t="shared" si="1294"/>
        <v>LG화학</v>
      </c>
      <c r="P910" s="126">
        <f t="shared" si="1289"/>
        <v>0</v>
      </c>
      <c r="Q910" s="111">
        <f t="shared" si="1290"/>
        <v>0</v>
      </c>
      <c r="R910" s="126" t="str">
        <f t="shared" si="1273"/>
        <v/>
      </c>
      <c r="S910" s="122"/>
      <c r="T910" s="125" t="str">
        <f t="shared" si="1291"/>
        <v>LG화학</v>
      </c>
      <c r="U910" s="126">
        <f t="shared" si="1291"/>
        <v>0</v>
      </c>
      <c r="V910" s="111">
        <f t="shared" si="1291"/>
        <v>0</v>
      </c>
      <c r="W910" s="127" t="str">
        <f t="shared" si="1275"/>
        <v/>
      </c>
      <c r="X910" s="148">
        <f t="shared" si="1292"/>
        <v>0</v>
      </c>
      <c r="Y910" s="111"/>
      <c r="Z910" s="155" t="str">
        <f t="shared" si="1277"/>
        <v/>
      </c>
      <c r="AA910" s="215">
        <f t="shared" si="1293"/>
        <v>0</v>
      </c>
      <c r="AN910" s="335"/>
      <c r="AO910" s="336">
        <f t="shared" si="1297"/>
        <v>0</v>
      </c>
      <c r="AP910" s="452"/>
    </row>
    <row r="911" spans="2:43" ht="17.45" hidden="1" customHeight="1" outlineLevel="1">
      <c r="B911" s="1172"/>
      <c r="C911" s="110" t="s">
        <v>67</v>
      </c>
      <c r="D911" s="111">
        <f t="shared" si="1281"/>
        <v>0</v>
      </c>
      <c r="E911" s="111">
        <f t="shared" si="1282"/>
        <v>0</v>
      </c>
      <c r="F911" s="111">
        <f t="shared" si="1283"/>
        <v>0</v>
      </c>
      <c r="G911" s="112" t="str">
        <f t="shared" si="1269"/>
        <v/>
      </c>
      <c r="H911" s="112" t="str">
        <f t="shared" si="1284"/>
        <v/>
      </c>
      <c r="I911" s="112" t="str">
        <f t="shared" si="1285"/>
        <v/>
      </c>
      <c r="J911" s="111">
        <f t="shared" si="1286"/>
        <v>0</v>
      </c>
      <c r="K911" s="111">
        <f t="shared" si="1287"/>
        <v>0</v>
      </c>
      <c r="L911" s="111">
        <f t="shared" si="1288"/>
        <v>0</v>
      </c>
      <c r="O911" s="125" t="str">
        <f t="shared" si="1294"/>
        <v>OCI SE</v>
      </c>
      <c r="P911" s="126">
        <f t="shared" si="1289"/>
        <v>0</v>
      </c>
      <c r="Q911" s="111">
        <f t="shared" si="1290"/>
        <v>0</v>
      </c>
      <c r="R911" s="126" t="str">
        <f t="shared" si="1273"/>
        <v/>
      </c>
      <c r="S911" s="122"/>
      <c r="T911" s="125" t="str">
        <f t="shared" si="1291"/>
        <v>OCI SE</v>
      </c>
      <c r="U911" s="126">
        <f t="shared" si="1291"/>
        <v>0</v>
      </c>
      <c r="V911" s="111">
        <f t="shared" si="1291"/>
        <v>0</v>
      </c>
      <c r="W911" s="127" t="str">
        <f t="shared" si="1275"/>
        <v/>
      </c>
      <c r="X911" s="148">
        <f t="shared" si="1292"/>
        <v>0</v>
      </c>
      <c r="Y911" s="111"/>
      <c r="Z911" s="155" t="str">
        <f t="shared" si="1277"/>
        <v/>
      </c>
      <c r="AA911" s="215">
        <f t="shared" si="1293"/>
        <v>0</v>
      </c>
      <c r="AN911" s="335"/>
      <c r="AO911" s="336">
        <f t="shared" si="1297"/>
        <v>0</v>
      </c>
      <c r="AP911" s="452"/>
    </row>
    <row r="912" spans="2:43" ht="17.45" hidden="1" customHeight="1" outlineLevel="1">
      <c r="B912" s="1172"/>
      <c r="C912" s="110" t="s">
        <v>37</v>
      </c>
      <c r="D912" s="111">
        <f t="shared" si="1281"/>
        <v>0</v>
      </c>
      <c r="E912" s="111">
        <f t="shared" si="1282"/>
        <v>0</v>
      </c>
      <c r="F912" s="111">
        <f t="shared" si="1283"/>
        <v>0</v>
      </c>
      <c r="G912" s="112" t="str">
        <f t="shared" si="1269"/>
        <v/>
      </c>
      <c r="H912" s="112" t="str">
        <f t="shared" si="1284"/>
        <v/>
      </c>
      <c r="I912" s="112" t="str">
        <f t="shared" si="1285"/>
        <v/>
      </c>
      <c r="J912" s="111">
        <f t="shared" si="1286"/>
        <v>0</v>
      </c>
      <c r="K912" s="111">
        <f t="shared" si="1287"/>
        <v>0</v>
      </c>
      <c r="L912" s="111">
        <f t="shared" si="1288"/>
        <v>0</v>
      </c>
      <c r="O912" s="125" t="str">
        <f t="shared" si="1294"/>
        <v>청해소재</v>
      </c>
      <c r="P912" s="126">
        <f t="shared" si="1289"/>
        <v>0</v>
      </c>
      <c r="Q912" s="111">
        <f t="shared" si="1290"/>
        <v>0</v>
      </c>
      <c r="R912" s="126" t="str">
        <f t="shared" si="1273"/>
        <v/>
      </c>
      <c r="S912" s="122"/>
      <c r="T912" s="125" t="str">
        <f t="shared" si="1291"/>
        <v>청해소재</v>
      </c>
      <c r="U912" s="126">
        <f t="shared" si="1291"/>
        <v>0</v>
      </c>
      <c r="V912" s="111">
        <f t="shared" si="1291"/>
        <v>0</v>
      </c>
      <c r="W912" s="127" t="str">
        <f t="shared" si="1275"/>
        <v/>
      </c>
      <c r="X912" s="148">
        <f t="shared" si="1292"/>
        <v>0</v>
      </c>
      <c r="Y912" s="111"/>
      <c r="Z912" s="155" t="str">
        <f>IFERROR(IF(X912=0,"",X912/Y912),"")</f>
        <v/>
      </c>
      <c r="AA912" s="215">
        <f t="shared" si="1293"/>
        <v>0</v>
      </c>
      <c r="AN912" s="335"/>
      <c r="AO912" s="336">
        <f t="shared" si="1297"/>
        <v>0</v>
      </c>
      <c r="AP912" s="452"/>
      <c r="AQ912" s="240" t="s">
        <v>157</v>
      </c>
    </row>
    <row r="913" spans="2:43" ht="17.45" hidden="1" customHeight="1" outlineLevel="1">
      <c r="B913" s="1172"/>
      <c r="C913" s="110" t="s">
        <v>365</v>
      </c>
      <c r="D913" s="111">
        <f t="shared" si="1281"/>
        <v>0</v>
      </c>
      <c r="E913" s="111">
        <f t="shared" si="1282"/>
        <v>0</v>
      </c>
      <c r="F913" s="111">
        <f t="shared" si="1283"/>
        <v>0</v>
      </c>
      <c r="G913" s="112" t="str">
        <f t="shared" si="1269"/>
        <v/>
      </c>
      <c r="H913" s="112" t="str">
        <f t="shared" si="1284"/>
        <v/>
      </c>
      <c r="I913" s="112" t="str">
        <f t="shared" si="1285"/>
        <v/>
      </c>
      <c r="J913" s="111">
        <f t="shared" si="1286"/>
        <v>0</v>
      </c>
      <c r="K913" s="111">
        <f t="shared" si="1287"/>
        <v>0</v>
      </c>
      <c r="L913" s="111">
        <f t="shared" si="1288"/>
        <v>0</v>
      </c>
      <c r="O913" s="125" t="str">
        <f t="shared" si="1294"/>
        <v>김천에너지</v>
      </c>
      <c r="P913" s="126">
        <f t="shared" si="1289"/>
        <v>0</v>
      </c>
      <c r="Q913" s="111">
        <f t="shared" si="1290"/>
        <v>0</v>
      </c>
      <c r="R913" s="126" t="str">
        <f t="shared" si="1273"/>
        <v/>
      </c>
      <c r="S913" s="122"/>
      <c r="T913" s="125" t="str">
        <f t="shared" si="1291"/>
        <v>김천에너지</v>
      </c>
      <c r="U913" s="126">
        <f t="shared" si="1291"/>
        <v>0</v>
      </c>
      <c r="V913" s="111">
        <f t="shared" si="1291"/>
        <v>0</v>
      </c>
      <c r="W913" s="127" t="str">
        <f t="shared" si="1275"/>
        <v/>
      </c>
      <c r="X913" s="148">
        <f t="shared" si="1292"/>
        <v>0</v>
      </c>
      <c r="Y913" s="111"/>
      <c r="Z913" s="155" t="str">
        <f t="shared" ref="Z913:Z922" si="1298">IFERROR(IF(X913=0,"",X913/Y913),"")</f>
        <v/>
      </c>
      <c r="AA913" s="215">
        <f t="shared" si="1293"/>
        <v>0</v>
      </c>
      <c r="AN913" s="335"/>
      <c r="AO913" s="336">
        <f t="shared" si="1297"/>
        <v>0</v>
      </c>
      <c r="AP913" s="452"/>
    </row>
    <row r="914" spans="2:43" ht="17.45" hidden="1" customHeight="1" outlineLevel="1">
      <c r="B914" s="1172"/>
      <c r="C914" s="110" t="s">
        <v>107</v>
      </c>
      <c r="D914" s="111">
        <f t="shared" si="1281"/>
        <v>0</v>
      </c>
      <c r="E914" s="111">
        <f t="shared" si="1282"/>
        <v>0</v>
      </c>
      <c r="F914" s="111">
        <f t="shared" si="1283"/>
        <v>0</v>
      </c>
      <c r="G914" s="112" t="str">
        <f t="shared" si="1269"/>
        <v/>
      </c>
      <c r="H914" s="112" t="str">
        <f t="shared" si="1284"/>
        <v/>
      </c>
      <c r="I914" s="112" t="str">
        <f t="shared" si="1285"/>
        <v/>
      </c>
      <c r="J914" s="111">
        <f t="shared" si="1286"/>
        <v>0</v>
      </c>
      <c r="K914" s="111">
        <f t="shared" si="1287"/>
        <v>0</v>
      </c>
      <c r="L914" s="111">
        <f t="shared" si="1288"/>
        <v>0</v>
      </c>
      <c r="O914" s="125" t="str">
        <f t="shared" si="1294"/>
        <v>대구염색공단</v>
      </c>
      <c r="P914" s="126">
        <f t="shared" si="1289"/>
        <v>0</v>
      </c>
      <c r="Q914" s="111">
        <f t="shared" si="1290"/>
        <v>0</v>
      </c>
      <c r="R914" s="126" t="str">
        <f t="shared" si="1273"/>
        <v/>
      </c>
      <c r="S914" s="122"/>
      <c r="T914" s="125" t="str">
        <f t="shared" si="1291"/>
        <v>대구염색공단</v>
      </c>
      <c r="U914" s="126">
        <f t="shared" si="1291"/>
        <v>0</v>
      </c>
      <c r="V914" s="111">
        <f t="shared" si="1291"/>
        <v>0</v>
      </c>
      <c r="W914" s="127" t="str">
        <f t="shared" si="1275"/>
        <v/>
      </c>
      <c r="X914" s="148">
        <f t="shared" si="1292"/>
        <v>0</v>
      </c>
      <c r="Y914" s="111"/>
      <c r="Z914" s="155" t="str">
        <f t="shared" si="1298"/>
        <v/>
      </c>
      <c r="AA914" s="215">
        <f t="shared" si="1293"/>
        <v>0</v>
      </c>
      <c r="AN914" s="335"/>
      <c r="AO914" s="336">
        <f t="shared" si="1297"/>
        <v>0</v>
      </c>
      <c r="AP914" s="452"/>
    </row>
    <row r="915" spans="2:43" ht="17.45" hidden="1" customHeight="1" outlineLevel="1">
      <c r="B915" s="1172"/>
      <c r="C915" s="110" t="s">
        <v>108</v>
      </c>
      <c r="D915" s="111">
        <f t="shared" si="1281"/>
        <v>0</v>
      </c>
      <c r="E915" s="111">
        <f t="shared" si="1282"/>
        <v>0</v>
      </c>
      <c r="F915" s="111">
        <f t="shared" si="1283"/>
        <v>0</v>
      </c>
      <c r="G915" s="112" t="str">
        <f t="shared" si="1269"/>
        <v/>
      </c>
      <c r="H915" s="112" t="str">
        <f t="shared" si="1284"/>
        <v/>
      </c>
      <c r="I915" s="112" t="str">
        <f t="shared" si="1285"/>
        <v/>
      </c>
      <c r="J915" s="111">
        <f t="shared" si="1286"/>
        <v>0</v>
      </c>
      <c r="K915" s="111">
        <f t="shared" si="1287"/>
        <v>0</v>
      </c>
      <c r="L915" s="111">
        <f t="shared" si="1288"/>
        <v>0</v>
      </c>
      <c r="O915" s="125" t="str">
        <f t="shared" si="1294"/>
        <v>SNNC(니켈)</v>
      </c>
      <c r="P915" s="126">
        <f t="shared" si="1289"/>
        <v>0</v>
      </c>
      <c r="Q915" s="111">
        <f t="shared" si="1290"/>
        <v>0</v>
      </c>
      <c r="R915" s="126" t="str">
        <f t="shared" si="1273"/>
        <v/>
      </c>
      <c r="S915" s="122"/>
      <c r="T915" s="125" t="str">
        <f t="shared" si="1291"/>
        <v>SNNC(니켈)</v>
      </c>
      <c r="U915" s="126">
        <f t="shared" si="1291"/>
        <v>0</v>
      </c>
      <c r="V915" s="111">
        <f t="shared" si="1291"/>
        <v>0</v>
      </c>
      <c r="W915" s="127" t="str">
        <f t="shared" si="1275"/>
        <v/>
      </c>
      <c r="X915" s="148">
        <f t="shared" si="1292"/>
        <v>0</v>
      </c>
      <c r="Y915" s="111"/>
      <c r="Z915" s="155" t="str">
        <f t="shared" si="1298"/>
        <v/>
      </c>
      <c r="AA915" s="215">
        <f t="shared" si="1293"/>
        <v>0</v>
      </c>
      <c r="AN915" s="335"/>
      <c r="AO915" s="336">
        <f t="shared" si="1297"/>
        <v>0</v>
      </c>
      <c r="AP915" s="452"/>
    </row>
    <row r="916" spans="2:43" ht="17.45" hidden="1" customHeight="1" outlineLevel="1">
      <c r="B916" s="1172"/>
      <c r="C916" s="110" t="s">
        <v>130</v>
      </c>
      <c r="D916" s="111">
        <f t="shared" si="1281"/>
        <v>0</v>
      </c>
      <c r="E916" s="111">
        <f t="shared" si="1282"/>
        <v>0</v>
      </c>
      <c r="F916" s="111">
        <f t="shared" si="1283"/>
        <v>0</v>
      </c>
      <c r="G916" s="112" t="str">
        <f t="shared" si="1269"/>
        <v/>
      </c>
      <c r="H916" s="112" t="str">
        <f t="shared" si="1284"/>
        <v/>
      </c>
      <c r="I916" s="112" t="str">
        <f t="shared" si="1285"/>
        <v/>
      </c>
      <c r="J916" s="111">
        <f t="shared" si="1286"/>
        <v>0</v>
      </c>
      <c r="K916" s="111">
        <f t="shared" si="1287"/>
        <v>0</v>
      </c>
      <c r="L916" s="111">
        <f t="shared" si="1288"/>
        <v>0</v>
      </c>
      <c r="O916" s="125" t="str">
        <f t="shared" si="1294"/>
        <v>SK-N(고려시멘트)</v>
      </c>
      <c r="P916" s="126">
        <f t="shared" si="1289"/>
        <v>0</v>
      </c>
      <c r="Q916" s="111">
        <f t="shared" si="1290"/>
        <v>0</v>
      </c>
      <c r="R916" s="126" t="str">
        <f t="shared" si="1273"/>
        <v/>
      </c>
      <c r="S916" s="122"/>
      <c r="T916" s="125" t="str">
        <f t="shared" si="1291"/>
        <v>SK-N(고려시멘트)</v>
      </c>
      <c r="U916" s="126">
        <f t="shared" si="1291"/>
        <v>0</v>
      </c>
      <c r="V916" s="111">
        <f t="shared" si="1291"/>
        <v>0</v>
      </c>
      <c r="W916" s="127" t="str">
        <f t="shared" si="1275"/>
        <v/>
      </c>
      <c r="X916" s="148">
        <f t="shared" si="1292"/>
        <v>0</v>
      </c>
      <c r="Y916" s="111"/>
      <c r="Z916" s="155" t="str">
        <f t="shared" si="1298"/>
        <v/>
      </c>
      <c r="AA916" s="215">
        <f t="shared" si="1293"/>
        <v>0</v>
      </c>
      <c r="AN916" s="335"/>
      <c r="AO916" s="336">
        <f t="shared" si="1297"/>
        <v>0</v>
      </c>
      <c r="AP916" s="452"/>
    </row>
    <row r="917" spans="2:43" ht="17.45" hidden="1" customHeight="1" outlineLevel="1">
      <c r="B917" s="1172"/>
      <c r="C917" s="110" t="s">
        <v>68</v>
      </c>
      <c r="D917" s="111">
        <f t="shared" si="1281"/>
        <v>0</v>
      </c>
      <c r="E917" s="111">
        <f t="shared" si="1282"/>
        <v>0</v>
      </c>
      <c r="F917" s="111">
        <f t="shared" si="1283"/>
        <v>0</v>
      </c>
      <c r="G917" s="112" t="str">
        <f t="shared" si="1269"/>
        <v/>
      </c>
      <c r="H917" s="112" t="str">
        <f t="shared" si="1284"/>
        <v/>
      </c>
      <c r="I917" s="112" t="str">
        <f t="shared" si="1285"/>
        <v/>
      </c>
      <c r="J917" s="111">
        <f t="shared" si="1286"/>
        <v>0</v>
      </c>
      <c r="K917" s="111">
        <f t="shared" si="1287"/>
        <v>0</v>
      </c>
      <c r="L917" s="111">
        <f t="shared" si="1288"/>
        <v>0</v>
      </c>
      <c r="O917" s="125" t="str">
        <f t="shared" si="1294"/>
        <v>SNNC</v>
      </c>
      <c r="P917" s="126">
        <f t="shared" si="1289"/>
        <v>0</v>
      </c>
      <c r="Q917" s="111">
        <f t="shared" si="1290"/>
        <v>0</v>
      </c>
      <c r="R917" s="126" t="str">
        <f t="shared" si="1273"/>
        <v/>
      </c>
      <c r="S917" s="122"/>
      <c r="T917" s="125" t="str">
        <f t="shared" si="1291"/>
        <v>SNNC</v>
      </c>
      <c r="U917" s="126">
        <f t="shared" si="1291"/>
        <v>0</v>
      </c>
      <c r="V917" s="111">
        <f t="shared" si="1291"/>
        <v>0</v>
      </c>
      <c r="W917" s="127" t="str">
        <f t="shared" si="1275"/>
        <v/>
      </c>
      <c r="X917" s="148">
        <f t="shared" si="1292"/>
        <v>0</v>
      </c>
      <c r="Y917" s="111"/>
      <c r="Z917" s="155" t="str">
        <f t="shared" si="1298"/>
        <v/>
      </c>
      <c r="AA917" s="215">
        <f t="shared" si="1293"/>
        <v>0</v>
      </c>
      <c r="AN917" s="335"/>
      <c r="AO917" s="336">
        <f t="shared" si="1297"/>
        <v>0</v>
      </c>
      <c r="AP917" s="452"/>
    </row>
    <row r="918" spans="2:43" ht="17.45" hidden="1" customHeight="1" outlineLevel="1" thickBot="1">
      <c r="B918" s="1172"/>
      <c r="C918" s="113" t="s">
        <v>61</v>
      </c>
      <c r="D918" s="114">
        <f>SUM(D903:D917)</f>
        <v>0</v>
      </c>
      <c r="E918" s="179">
        <f>SUM(E903:E917)</f>
        <v>0</v>
      </c>
      <c r="F918" s="114">
        <f>SUM(F903:F917)</f>
        <v>0</v>
      </c>
      <c r="G918" s="115" t="str">
        <f t="shared" si="1269"/>
        <v/>
      </c>
      <c r="H918" s="185" t="str">
        <f>IFERROR(E918/F918,"")</f>
        <v/>
      </c>
      <c r="I918" s="115" t="str">
        <f>IFERROR(G918+H918,"")</f>
        <v/>
      </c>
      <c r="J918" s="114">
        <f t="shared" ref="J918:L918" si="1299">SUM(J903:J917)</f>
        <v>0</v>
      </c>
      <c r="K918" s="114">
        <f t="shared" si="1299"/>
        <v>0</v>
      </c>
      <c r="L918" s="114">
        <f t="shared" si="1299"/>
        <v>0</v>
      </c>
      <c r="O918" s="128" t="s">
        <v>61</v>
      </c>
      <c r="P918" s="129">
        <f>SUM(P903:P917)</f>
        <v>0</v>
      </c>
      <c r="Q918" s="114">
        <f>SUM(Q903:Q917)</f>
        <v>0</v>
      </c>
      <c r="R918" s="129" t="str">
        <f t="shared" si="1273"/>
        <v/>
      </c>
      <c r="S918" s="122"/>
      <c r="T918" s="128" t="s">
        <v>61</v>
      </c>
      <c r="U918" s="129">
        <f>SUM(U903:U917)</f>
        <v>0</v>
      </c>
      <c r="V918" s="114">
        <f>SUM(V903:V917)</f>
        <v>0</v>
      </c>
      <c r="W918" s="130" t="str">
        <f>IFERROR(U918/V918,"")</f>
        <v/>
      </c>
      <c r="X918" s="179">
        <f>SUM(X903:X917)</f>
        <v>0</v>
      </c>
      <c r="Y918" s="114">
        <f>SUM(Y903:Y917)</f>
        <v>0</v>
      </c>
      <c r="Z918" s="176" t="str">
        <f t="shared" si="1298"/>
        <v/>
      </c>
      <c r="AA918" s="213">
        <f>SUM(AA903:AA917)</f>
        <v>0</v>
      </c>
      <c r="AN918" s="341">
        <f>SUM(AN903:AN917)</f>
        <v>0</v>
      </c>
      <c r="AO918" s="341">
        <f>SUM(AO903:AO917)</f>
        <v>0</v>
      </c>
      <c r="AP918" s="455"/>
    </row>
    <row r="919" spans="2:43" ht="17.45" hidden="1" customHeight="1" outlineLevel="1" thickBot="1">
      <c r="B919" s="1106" t="s">
        <v>57</v>
      </c>
      <c r="C919" s="1106"/>
      <c r="D919" s="147">
        <f>SUM(D918,D902)</f>
        <v>0</v>
      </c>
      <c r="E919" s="182">
        <f>SUM(E918,E902)</f>
        <v>0</v>
      </c>
      <c r="F919" s="149">
        <f>SUM(F918,F902)</f>
        <v>0</v>
      </c>
      <c r="G919" s="183" t="str">
        <f t="shared" si="1269"/>
        <v/>
      </c>
      <c r="H919" s="186" t="str">
        <f>IFERROR(E919/F919,"")</f>
        <v/>
      </c>
      <c r="I919" s="184" t="str">
        <f>IFERROR(G919+H919,"")</f>
        <v/>
      </c>
      <c r="J919" s="116">
        <f t="shared" ref="J919:L919" si="1300">SUM(J918,J902)</f>
        <v>0</v>
      </c>
      <c r="K919" s="116">
        <f t="shared" si="1300"/>
        <v>0</v>
      </c>
      <c r="L919" s="116">
        <f t="shared" si="1300"/>
        <v>0</v>
      </c>
      <c r="O919" s="131" t="s">
        <v>79</v>
      </c>
      <c r="P919" s="132">
        <f>SUM(P918,P902)</f>
        <v>0</v>
      </c>
      <c r="Q919" s="116">
        <f>SUM(Q918,Q902)</f>
        <v>0</v>
      </c>
      <c r="R919" s="132" t="str">
        <f>IFERROR(P919/Q919,"")</f>
        <v/>
      </c>
      <c r="S919" s="122"/>
      <c r="T919" s="131" t="s">
        <v>76</v>
      </c>
      <c r="U919" s="132">
        <f>SUM(U918,U902)</f>
        <v>0</v>
      </c>
      <c r="V919" s="147">
        <f>SUM(V918,V902)</f>
        <v>0</v>
      </c>
      <c r="W919" s="173" t="str">
        <f t="shared" ref="W919:W920" si="1301">IFERROR(U919/V919,"")</f>
        <v/>
      </c>
      <c r="X919" s="182">
        <f>SUM(X902,X918)</f>
        <v>0</v>
      </c>
      <c r="Y919" s="175">
        <f>SUM(Y902,Y918)</f>
        <v>0</v>
      </c>
      <c r="Z919" s="178" t="str">
        <f t="shared" si="1298"/>
        <v/>
      </c>
      <c r="AA919" s="214">
        <f>SUM(AA902,AA918)</f>
        <v>0</v>
      </c>
      <c r="AN919" s="342">
        <f>SUM(AN902,AN918)</f>
        <v>0</v>
      </c>
      <c r="AO919" s="342">
        <f>SUM(AO902,AO918)</f>
        <v>0</v>
      </c>
      <c r="AP919" s="456"/>
      <c r="AQ919" s="57"/>
    </row>
    <row r="920" spans="2:43" ht="17.45" hidden="1" customHeight="1" outlineLevel="1">
      <c r="D920" s="344" t="str">
        <f>IF(D919=L174,"","CHECK")</f>
        <v/>
      </c>
      <c r="E920" s="344" t="str">
        <f>IF(E919=M174,"","CHECK")</f>
        <v/>
      </c>
      <c r="F920" s="344" t="str">
        <f>IF(F919=N174,"","CHECK")</f>
        <v/>
      </c>
      <c r="G920" s="344"/>
      <c r="O920" s="134" t="s">
        <v>77</v>
      </c>
      <c r="P920" s="126"/>
      <c r="Q920" s="126"/>
      <c r="R920" s="126" t="str">
        <f>IFERROR(P920/Q920,"")</f>
        <v/>
      </c>
      <c r="S920" s="122"/>
      <c r="T920" s="134" t="s">
        <v>77</v>
      </c>
      <c r="U920" s="126"/>
      <c r="V920" s="111"/>
      <c r="W920" s="135" t="str">
        <f t="shared" si="1301"/>
        <v/>
      </c>
      <c r="X920" s="180"/>
      <c r="Y920" s="126"/>
      <c r="Z920" s="181" t="str">
        <f t="shared" si="1298"/>
        <v/>
      </c>
      <c r="AA920" s="216">
        <f>X920-Y920</f>
        <v>0</v>
      </c>
      <c r="AN920" s="335"/>
      <c r="AO920" s="336">
        <f t="shared" ref="AO920:AO921" si="1302">X920-Y920</f>
        <v>0</v>
      </c>
      <c r="AP920" s="452"/>
      <c r="AQ920" s="57"/>
    </row>
    <row r="921" spans="2:43" ht="17.45" hidden="1" customHeight="1" outlineLevel="1">
      <c r="T921" s="345" t="s">
        <v>109</v>
      </c>
      <c r="U921" s="345"/>
      <c r="V921" s="328"/>
      <c r="W921" s="355"/>
      <c r="X921" s="355">
        <f>G936</f>
        <v>0</v>
      </c>
      <c r="Y921" s="347"/>
      <c r="Z921" s="155" t="str">
        <f t="shared" si="1298"/>
        <v/>
      </c>
      <c r="AA921" s="215">
        <f>X921-Y921</f>
        <v>0</v>
      </c>
      <c r="AN921" s="335"/>
      <c r="AO921" s="336">
        <f t="shared" si="1302"/>
        <v>0</v>
      </c>
      <c r="AP921" s="452"/>
      <c r="AQ921" s="57"/>
    </row>
    <row r="922" spans="2:43" ht="17.45" hidden="1" customHeight="1" outlineLevel="1">
      <c r="B922" s="1173" t="s">
        <v>80</v>
      </c>
      <c r="C922" s="1177" t="s">
        <v>52</v>
      </c>
      <c r="D922" s="1177"/>
      <c r="E922" s="1177"/>
      <c r="F922" s="1177" t="s">
        <v>73</v>
      </c>
      <c r="G922" s="1177" t="s">
        <v>75</v>
      </c>
      <c r="H922" s="1177" t="s">
        <v>95</v>
      </c>
      <c r="I922" s="119"/>
      <c r="J922" s="1173" t="s">
        <v>132</v>
      </c>
      <c r="K922" s="1174" t="s">
        <v>124</v>
      </c>
      <c r="L922" s="1174"/>
      <c r="M922" s="1174"/>
      <c r="N922" s="1174" t="s">
        <v>75</v>
      </c>
      <c r="O922" s="1174"/>
      <c r="P922" s="1174"/>
      <c r="Q922" s="1175" t="s">
        <v>72</v>
      </c>
      <c r="R922" s="1175" t="s">
        <v>73</v>
      </c>
      <c r="S922" s="1175" t="s">
        <v>74</v>
      </c>
      <c r="T922" s="262" t="s">
        <v>110</v>
      </c>
      <c r="U922" s="262"/>
      <c r="V922" s="334"/>
      <c r="W922" s="356"/>
      <c r="X922" s="356">
        <f>SUM(X919,X920,X921)</f>
        <v>0</v>
      </c>
      <c r="Y922" s="354">
        <f>SUM(Y919,Y921)</f>
        <v>0</v>
      </c>
      <c r="Z922" s="158" t="str">
        <f t="shared" si="1298"/>
        <v/>
      </c>
      <c r="AA922" s="357">
        <f>SUM(AA919,AA920,AA921)</f>
        <v>0</v>
      </c>
      <c r="AN922" s="342">
        <f>SUM(AN919,AN921)</f>
        <v>0</v>
      </c>
      <c r="AO922" s="342">
        <f>SUM(AO919,AO921)</f>
        <v>0</v>
      </c>
      <c r="AP922" s="456"/>
      <c r="AQ922" s="57"/>
    </row>
    <row r="923" spans="2:43" ht="17.45" hidden="1" customHeight="1" outlineLevel="1">
      <c r="B923" s="1173"/>
      <c r="C923" s="628" t="s">
        <v>55</v>
      </c>
      <c r="D923" s="628" t="s">
        <v>56</v>
      </c>
      <c r="E923" s="628" t="s">
        <v>57</v>
      </c>
      <c r="F923" s="1177"/>
      <c r="G923" s="1177"/>
      <c r="H923" s="1177"/>
      <c r="I923" s="119"/>
      <c r="J923" s="1173"/>
      <c r="K923" s="627" t="s">
        <v>125</v>
      </c>
      <c r="L923" s="627" t="s">
        <v>126</v>
      </c>
      <c r="M923" s="627" t="s">
        <v>123</v>
      </c>
      <c r="N923" s="627" t="s">
        <v>125</v>
      </c>
      <c r="O923" s="627" t="s">
        <v>126</v>
      </c>
      <c r="P923" s="627" t="s">
        <v>123</v>
      </c>
      <c r="Q923" s="1176"/>
      <c r="R923" s="1176"/>
      <c r="S923" s="1176"/>
      <c r="AQ923" s="57"/>
    </row>
    <row r="924" spans="2:43" ht="17.45" hidden="1" customHeight="1" outlineLevel="1">
      <c r="B924" s="139" t="s">
        <v>81</v>
      </c>
      <c r="C924" s="111">
        <f t="shared" ref="C924:C934" si="1303">SUMIF($R$157:$R$174,B924,$L$157:$L$174)</f>
        <v>0</v>
      </c>
      <c r="D924" s="111">
        <f t="shared" ref="D924:D934" si="1304">SUMIF($R$157:$R$174,B924,$M$157:$M$174)</f>
        <v>0</v>
      </c>
      <c r="E924" s="111">
        <f>C924+D924</f>
        <v>0</v>
      </c>
      <c r="F924" s="111">
        <f t="shared" ref="F924:F934" si="1305">SUMIF($R$157:$R$174,B924,$AZ$157:$AZ$174)</f>
        <v>0</v>
      </c>
      <c r="G924" s="111">
        <f>E924/1000</f>
        <v>0</v>
      </c>
      <c r="H924" s="111"/>
      <c r="I924" s="119"/>
      <c r="J924" s="139" t="s">
        <v>117</v>
      </c>
      <c r="K924" s="111">
        <f t="shared" ref="K924:K931" si="1306">SUMIF($Q$157:$Q$174,J924,$L$157:$L$174)</f>
        <v>0</v>
      </c>
      <c r="L924" s="111">
        <f t="shared" ref="L924:L931" si="1307">SUMIF($Q$157:$Q$174,J924,$M$157:$M$174)</f>
        <v>0</v>
      </c>
      <c r="M924" s="202">
        <f>K924+L924</f>
        <v>0</v>
      </c>
      <c r="N924" s="202">
        <f>K924/1000</f>
        <v>0</v>
      </c>
      <c r="O924" s="202">
        <f>L924/1000</f>
        <v>0</v>
      </c>
      <c r="P924" s="202">
        <f>N924+O924</f>
        <v>0</v>
      </c>
      <c r="Q924" s="358">
        <f t="shared" ref="Q924:Q931" si="1308">SUMIF($Q$157:$Q$174,J924,$I$157:$I$174)</f>
        <v>0</v>
      </c>
      <c r="R924" s="111">
        <f t="shared" ref="R924:R931" si="1309">SUMIF($Q$157:$Q$174,J924,$AZ$157:$AZ$174)</f>
        <v>0</v>
      </c>
      <c r="S924" s="126" t="str">
        <f>IFERROR(Q924/R924,"")</f>
        <v/>
      </c>
      <c r="AQ924" s="57"/>
    </row>
    <row r="925" spans="2:43" ht="17.45" hidden="1" customHeight="1" outlineLevel="1">
      <c r="B925" s="139" t="s">
        <v>82</v>
      </c>
      <c r="C925" s="111">
        <f t="shared" si="1303"/>
        <v>0</v>
      </c>
      <c r="D925" s="111">
        <f t="shared" si="1304"/>
        <v>0</v>
      </c>
      <c r="E925" s="111">
        <f t="shared" ref="E925:E934" si="1310">C925+D925</f>
        <v>0</v>
      </c>
      <c r="F925" s="111">
        <f t="shared" si="1305"/>
        <v>0</v>
      </c>
      <c r="G925" s="111">
        <f t="shared" ref="G925:G934" si="1311">E925/1000</f>
        <v>0</v>
      </c>
      <c r="H925" s="111"/>
      <c r="I925" s="119"/>
      <c r="J925" s="139" t="s">
        <v>118</v>
      </c>
      <c r="K925" s="111">
        <f t="shared" si="1306"/>
        <v>0</v>
      </c>
      <c r="L925" s="111">
        <f t="shared" si="1307"/>
        <v>0</v>
      </c>
      <c r="M925" s="202">
        <f t="shared" ref="M925:M931" si="1312">K925+L925</f>
        <v>0</v>
      </c>
      <c r="N925" s="202">
        <f t="shared" ref="N925:O931" si="1313">K925/1000</f>
        <v>0</v>
      </c>
      <c r="O925" s="202">
        <f t="shared" si="1313"/>
        <v>0</v>
      </c>
      <c r="P925" s="202">
        <f t="shared" ref="P925:P931" si="1314">N925+O925</f>
        <v>0</v>
      </c>
      <c r="Q925" s="358">
        <f t="shared" si="1308"/>
        <v>0</v>
      </c>
      <c r="R925" s="111">
        <f t="shared" si="1309"/>
        <v>0</v>
      </c>
      <c r="S925" s="126" t="str">
        <f t="shared" ref="S925:S931" si="1315">IFERROR(Q925/R925,"")</f>
        <v/>
      </c>
      <c r="AQ925" s="57"/>
    </row>
    <row r="926" spans="2:43" ht="17.45" hidden="1" customHeight="1" outlineLevel="1">
      <c r="B926" s="139" t="s">
        <v>83</v>
      </c>
      <c r="C926" s="111">
        <f t="shared" si="1303"/>
        <v>0</v>
      </c>
      <c r="D926" s="111">
        <f t="shared" si="1304"/>
        <v>0</v>
      </c>
      <c r="E926" s="111">
        <f t="shared" si="1310"/>
        <v>0</v>
      </c>
      <c r="F926" s="111">
        <f t="shared" si="1305"/>
        <v>0</v>
      </c>
      <c r="G926" s="111">
        <f t="shared" si="1311"/>
        <v>0</v>
      </c>
      <c r="H926" s="111"/>
      <c r="I926" s="119"/>
      <c r="J926" s="139" t="s">
        <v>119</v>
      </c>
      <c r="K926" s="111">
        <f t="shared" si="1306"/>
        <v>0</v>
      </c>
      <c r="L926" s="111">
        <f t="shared" si="1307"/>
        <v>0</v>
      </c>
      <c r="M926" s="202">
        <f t="shared" si="1312"/>
        <v>0</v>
      </c>
      <c r="N926" s="202">
        <f t="shared" si="1313"/>
        <v>0</v>
      </c>
      <c r="O926" s="202">
        <f t="shared" si="1313"/>
        <v>0</v>
      </c>
      <c r="P926" s="202">
        <f t="shared" si="1314"/>
        <v>0</v>
      </c>
      <c r="Q926" s="358">
        <f t="shared" si="1308"/>
        <v>0</v>
      </c>
      <c r="R926" s="111">
        <f t="shared" si="1309"/>
        <v>0</v>
      </c>
      <c r="S926" s="126" t="str">
        <f t="shared" si="1315"/>
        <v/>
      </c>
      <c r="AQ926" s="57"/>
    </row>
    <row r="927" spans="2:43" ht="17.45" hidden="1" customHeight="1" outlineLevel="1">
      <c r="B927" s="139" t="s">
        <v>84</v>
      </c>
      <c r="C927" s="111">
        <f t="shared" si="1303"/>
        <v>0</v>
      </c>
      <c r="D927" s="111">
        <f t="shared" si="1304"/>
        <v>0</v>
      </c>
      <c r="E927" s="111">
        <f t="shared" si="1310"/>
        <v>0</v>
      </c>
      <c r="F927" s="111">
        <f t="shared" si="1305"/>
        <v>0</v>
      </c>
      <c r="G927" s="111">
        <f t="shared" si="1311"/>
        <v>0</v>
      </c>
      <c r="H927" s="111"/>
      <c r="I927" s="119"/>
      <c r="J927" s="139" t="s">
        <v>113</v>
      </c>
      <c r="K927" s="111">
        <f t="shared" si="1306"/>
        <v>0</v>
      </c>
      <c r="L927" s="111">
        <f t="shared" si="1307"/>
        <v>0</v>
      </c>
      <c r="M927" s="202">
        <f t="shared" si="1312"/>
        <v>0</v>
      </c>
      <c r="N927" s="202">
        <f t="shared" si="1313"/>
        <v>0</v>
      </c>
      <c r="O927" s="202">
        <f t="shared" si="1313"/>
        <v>0</v>
      </c>
      <c r="P927" s="202">
        <f t="shared" si="1314"/>
        <v>0</v>
      </c>
      <c r="Q927" s="358">
        <f t="shared" si="1308"/>
        <v>0</v>
      </c>
      <c r="R927" s="111">
        <f t="shared" si="1309"/>
        <v>0</v>
      </c>
      <c r="S927" s="126" t="str">
        <f t="shared" si="1315"/>
        <v/>
      </c>
      <c r="AQ927" s="57"/>
    </row>
    <row r="928" spans="2:43" ht="17.45" hidden="1" customHeight="1" outlineLevel="1">
      <c r="B928" s="139" t="s">
        <v>223</v>
      </c>
      <c r="C928" s="111">
        <f t="shared" si="1303"/>
        <v>0</v>
      </c>
      <c r="D928" s="111">
        <f t="shared" si="1304"/>
        <v>0</v>
      </c>
      <c r="E928" s="111">
        <f t="shared" si="1310"/>
        <v>0</v>
      </c>
      <c r="F928" s="111">
        <f t="shared" si="1305"/>
        <v>0</v>
      </c>
      <c r="G928" s="111">
        <f t="shared" si="1311"/>
        <v>0</v>
      </c>
      <c r="H928" s="111"/>
      <c r="I928" s="119"/>
      <c r="J928" s="139" t="s">
        <v>120</v>
      </c>
      <c r="K928" s="111">
        <f t="shared" si="1306"/>
        <v>0</v>
      </c>
      <c r="L928" s="111">
        <f t="shared" si="1307"/>
        <v>0</v>
      </c>
      <c r="M928" s="202">
        <f t="shared" si="1312"/>
        <v>0</v>
      </c>
      <c r="N928" s="202">
        <f t="shared" si="1313"/>
        <v>0</v>
      </c>
      <c r="O928" s="202">
        <f t="shared" si="1313"/>
        <v>0</v>
      </c>
      <c r="P928" s="202">
        <f t="shared" si="1314"/>
        <v>0</v>
      </c>
      <c r="Q928" s="358">
        <f t="shared" si="1308"/>
        <v>0</v>
      </c>
      <c r="R928" s="111">
        <f t="shared" si="1309"/>
        <v>0</v>
      </c>
      <c r="S928" s="126" t="str">
        <f t="shared" si="1315"/>
        <v/>
      </c>
      <c r="AQ928" s="57"/>
    </row>
    <row r="929" spans="2:43" ht="17.45" hidden="1" customHeight="1" outlineLevel="1">
      <c r="B929" s="139" t="s">
        <v>158</v>
      </c>
      <c r="C929" s="111">
        <f t="shared" si="1303"/>
        <v>0</v>
      </c>
      <c r="D929" s="111">
        <f t="shared" si="1304"/>
        <v>0</v>
      </c>
      <c r="E929" s="111">
        <f t="shared" si="1310"/>
        <v>0</v>
      </c>
      <c r="F929" s="111">
        <f t="shared" si="1305"/>
        <v>0</v>
      </c>
      <c r="G929" s="111">
        <f t="shared" si="1311"/>
        <v>0</v>
      </c>
      <c r="H929" s="111"/>
      <c r="I929" s="119"/>
      <c r="J929" s="139" t="s">
        <v>121</v>
      </c>
      <c r="K929" s="111">
        <f t="shared" si="1306"/>
        <v>0</v>
      </c>
      <c r="L929" s="111">
        <f t="shared" si="1307"/>
        <v>0</v>
      </c>
      <c r="M929" s="202">
        <f t="shared" si="1312"/>
        <v>0</v>
      </c>
      <c r="N929" s="202">
        <f t="shared" si="1313"/>
        <v>0</v>
      </c>
      <c r="O929" s="202">
        <f t="shared" si="1313"/>
        <v>0</v>
      </c>
      <c r="P929" s="202">
        <f t="shared" si="1314"/>
        <v>0</v>
      </c>
      <c r="Q929" s="358">
        <f t="shared" si="1308"/>
        <v>0</v>
      </c>
      <c r="R929" s="111">
        <f t="shared" si="1309"/>
        <v>0</v>
      </c>
      <c r="S929" s="126" t="str">
        <f t="shared" si="1315"/>
        <v/>
      </c>
      <c r="AQ929" s="57"/>
    </row>
    <row r="930" spans="2:43" ht="17.45" hidden="1" customHeight="1" outlineLevel="1">
      <c r="B930" s="139" t="s">
        <v>85</v>
      </c>
      <c r="C930" s="111">
        <f t="shared" si="1303"/>
        <v>0</v>
      </c>
      <c r="D930" s="111">
        <f t="shared" si="1304"/>
        <v>0</v>
      </c>
      <c r="E930" s="111">
        <f t="shared" si="1310"/>
        <v>0</v>
      </c>
      <c r="F930" s="111">
        <f t="shared" si="1305"/>
        <v>0</v>
      </c>
      <c r="G930" s="111">
        <f t="shared" si="1311"/>
        <v>0</v>
      </c>
      <c r="H930" s="111"/>
      <c r="I930" s="119"/>
      <c r="J930" s="139" t="s">
        <v>122</v>
      </c>
      <c r="K930" s="111">
        <f t="shared" si="1306"/>
        <v>0</v>
      </c>
      <c r="L930" s="111">
        <f t="shared" si="1307"/>
        <v>0</v>
      </c>
      <c r="M930" s="202">
        <f t="shared" si="1312"/>
        <v>0</v>
      </c>
      <c r="N930" s="202">
        <f t="shared" si="1313"/>
        <v>0</v>
      </c>
      <c r="O930" s="202">
        <f t="shared" si="1313"/>
        <v>0</v>
      </c>
      <c r="P930" s="202">
        <f t="shared" si="1314"/>
        <v>0</v>
      </c>
      <c r="Q930" s="358">
        <f t="shared" si="1308"/>
        <v>0</v>
      </c>
      <c r="R930" s="111">
        <f t="shared" si="1309"/>
        <v>0</v>
      </c>
      <c r="S930" s="126" t="str">
        <f t="shared" si="1315"/>
        <v/>
      </c>
      <c r="AQ930" s="57"/>
    </row>
    <row r="931" spans="2:43" ht="17.45" hidden="1" customHeight="1" outlineLevel="1">
      <c r="B931" s="139" t="s">
        <v>96</v>
      </c>
      <c r="C931" s="111">
        <f t="shared" si="1303"/>
        <v>0</v>
      </c>
      <c r="D931" s="111">
        <f t="shared" si="1304"/>
        <v>0</v>
      </c>
      <c r="E931" s="111">
        <f t="shared" si="1310"/>
        <v>0</v>
      </c>
      <c r="F931" s="111">
        <f t="shared" si="1305"/>
        <v>0</v>
      </c>
      <c r="G931" s="111">
        <f t="shared" si="1311"/>
        <v>0</v>
      </c>
      <c r="H931" s="111"/>
      <c r="I931" s="119"/>
      <c r="J931" s="139" t="s">
        <v>162</v>
      </c>
      <c r="K931" s="111">
        <f t="shared" si="1306"/>
        <v>0</v>
      </c>
      <c r="L931" s="111">
        <f t="shared" si="1307"/>
        <v>0</v>
      </c>
      <c r="M931" s="202">
        <f t="shared" si="1312"/>
        <v>0</v>
      </c>
      <c r="N931" s="202">
        <f t="shared" si="1313"/>
        <v>0</v>
      </c>
      <c r="O931" s="202">
        <f t="shared" si="1313"/>
        <v>0</v>
      </c>
      <c r="P931" s="202">
        <f t="shared" si="1314"/>
        <v>0</v>
      </c>
      <c r="Q931" s="358">
        <f t="shared" si="1308"/>
        <v>0</v>
      </c>
      <c r="R931" s="111">
        <f t="shared" si="1309"/>
        <v>0</v>
      </c>
      <c r="S931" s="126" t="str">
        <f t="shared" si="1315"/>
        <v/>
      </c>
      <c r="AQ931" s="57"/>
    </row>
    <row r="932" spans="2:43" ht="17.45" hidden="1" customHeight="1" outlineLevel="1">
      <c r="B932" s="139" t="s">
        <v>86</v>
      </c>
      <c r="C932" s="111">
        <f t="shared" si="1303"/>
        <v>0</v>
      </c>
      <c r="D932" s="111">
        <f t="shared" si="1304"/>
        <v>0</v>
      </c>
      <c r="E932" s="111">
        <f t="shared" si="1310"/>
        <v>0</v>
      </c>
      <c r="F932" s="111">
        <f t="shared" si="1305"/>
        <v>0</v>
      </c>
      <c r="G932" s="111">
        <f t="shared" si="1311"/>
        <v>0</v>
      </c>
      <c r="H932" s="111"/>
      <c r="I932" s="119"/>
      <c r="J932" s="232" t="s">
        <v>123</v>
      </c>
      <c r="K932" s="203">
        <f>SUM(K924:K931)</f>
        <v>0</v>
      </c>
      <c r="L932" s="203">
        <f t="shared" ref="L932:M932" si="1316">SUM(L924:L931)</f>
        <v>0</v>
      </c>
      <c r="M932" s="203">
        <f t="shared" si="1316"/>
        <v>0</v>
      </c>
      <c r="N932" s="203">
        <f>SUM(N924:N931)</f>
        <v>0</v>
      </c>
      <c r="O932" s="203">
        <f t="shared" ref="O932:P932" si="1317">SUM(O924:O931)</f>
        <v>0</v>
      </c>
      <c r="P932" s="203">
        <f t="shared" si="1317"/>
        <v>0</v>
      </c>
      <c r="Q932" s="359">
        <f>SUM(Q924:Q931)</f>
        <v>0</v>
      </c>
      <c r="R932" s="359">
        <f>SUM(R924:R931)</f>
        <v>0</v>
      </c>
      <c r="S932" s="359" t="str">
        <f>IFERROR(Q932/R932,"")</f>
        <v/>
      </c>
      <c r="AQ932" s="57"/>
    </row>
    <row r="933" spans="2:43" ht="17.45" hidden="1" customHeight="1" outlineLevel="1">
      <c r="B933" s="139" t="s">
        <v>169</v>
      </c>
      <c r="C933" s="111">
        <f t="shared" si="1303"/>
        <v>0</v>
      </c>
      <c r="D933" s="111">
        <f t="shared" si="1304"/>
        <v>0</v>
      </c>
      <c r="E933" s="111">
        <f t="shared" si="1310"/>
        <v>0</v>
      </c>
      <c r="F933" s="111">
        <f t="shared" si="1305"/>
        <v>0</v>
      </c>
      <c r="G933" s="111">
        <f t="shared" si="1311"/>
        <v>0</v>
      </c>
      <c r="H933" s="111"/>
      <c r="I933" s="119"/>
      <c r="K933" s="343" t="str">
        <f>IF(K932=D919,"","CHECK")</f>
        <v/>
      </c>
      <c r="L933" s="343" t="str">
        <f>IF(L932=E919,"","CHECK")</f>
        <v/>
      </c>
      <c r="M933" s="343" t="str">
        <f>IF(M932=F919,"","CHECK")</f>
        <v/>
      </c>
      <c r="S933" s="343" t="str">
        <f>IF(S932=I945,"","CHECK")</f>
        <v/>
      </c>
      <c r="AQ933" s="57"/>
    </row>
    <row r="934" spans="2:43" ht="17.45" hidden="1" customHeight="1" outlineLevel="1" thickBot="1">
      <c r="B934" s="139" t="s">
        <v>155</v>
      </c>
      <c r="C934" s="111">
        <f t="shared" si="1303"/>
        <v>0</v>
      </c>
      <c r="D934" s="111">
        <f t="shared" si="1304"/>
        <v>0</v>
      </c>
      <c r="E934" s="111">
        <f t="shared" si="1310"/>
        <v>0</v>
      </c>
      <c r="F934" s="111">
        <f t="shared" si="1305"/>
        <v>0</v>
      </c>
      <c r="G934" s="111">
        <f t="shared" si="1311"/>
        <v>0</v>
      </c>
      <c r="H934" s="111"/>
      <c r="I934" s="119"/>
      <c r="L934" s="283"/>
      <c r="M934" s="220"/>
      <c r="P934" s="360" t="s">
        <v>161</v>
      </c>
      <c r="Q934" s="359">
        <f>SUM(Q924:Q929)</f>
        <v>0</v>
      </c>
      <c r="R934" s="359">
        <f>SUM(R924:R929)</f>
        <v>0</v>
      </c>
      <c r="S934" s="359" t="str">
        <f>IFERROR(Q934/R934,"")</f>
        <v/>
      </c>
      <c r="AQ934" s="57"/>
    </row>
    <row r="935" spans="2:43" ht="17.45" hidden="1" customHeight="1" outlineLevel="1" thickBot="1">
      <c r="B935" s="113" t="s">
        <v>61</v>
      </c>
      <c r="C935" s="114">
        <f>SUM(C924:C934)</f>
        <v>0</v>
      </c>
      <c r="D935" s="114">
        <f t="shared" ref="D935:E935" si="1318">SUM(D924:D934)</f>
        <v>0</v>
      </c>
      <c r="E935" s="114">
        <f t="shared" si="1318"/>
        <v>0</v>
      </c>
      <c r="F935" s="166">
        <f>SUM(F924:F934)</f>
        <v>0</v>
      </c>
      <c r="G935" s="170">
        <f>SUM(G924:G934)</f>
        <v>0</v>
      </c>
      <c r="H935" s="167"/>
      <c r="I935" s="119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AQ935" s="57"/>
    </row>
    <row r="936" spans="2:43" ht="17.45" hidden="1" customHeight="1" outlineLevel="1">
      <c r="B936" s="151" t="s">
        <v>87</v>
      </c>
      <c r="C936" s="152"/>
      <c r="D936" s="152"/>
      <c r="E936" s="153">
        <f>$W$324</f>
        <v>0</v>
      </c>
      <c r="F936" s="143"/>
      <c r="G936" s="169">
        <f>E936/1000</f>
        <v>0</v>
      </c>
      <c r="H936" s="145"/>
      <c r="I936" s="119"/>
      <c r="AQ936" s="57"/>
    </row>
    <row r="937" spans="2:43" ht="17.45" hidden="1" customHeight="1" outlineLevel="1">
      <c r="B937" s="151" t="s">
        <v>57</v>
      </c>
      <c r="C937" s="152"/>
      <c r="D937" s="152"/>
      <c r="E937" s="140">
        <f>SUM(E935:E936)</f>
        <v>0</v>
      </c>
      <c r="F937" s="122"/>
      <c r="G937" s="140">
        <f>SUM(G935:G936)</f>
        <v>0</v>
      </c>
      <c r="H937" s="343" t="str">
        <f>IF(G937=K324,"","CHECK")</f>
        <v/>
      </c>
      <c r="I937" s="119"/>
      <c r="AQ937" s="57"/>
    </row>
    <row r="938" spans="2:43" ht="17.45" hidden="1" customHeight="1" outlineLevel="1">
      <c r="B938" s="137"/>
      <c r="C938" s="122"/>
      <c r="D938" s="122"/>
      <c r="E938" s="154"/>
      <c r="F938" s="122"/>
      <c r="G938" s="122"/>
      <c r="H938" s="137"/>
      <c r="I938" s="119"/>
      <c r="AQ938" s="57"/>
    </row>
    <row r="939" spans="2:43" ht="17.45" hidden="1" customHeight="1" outlineLevel="1">
      <c r="B939" s="1173" t="s">
        <v>88</v>
      </c>
      <c r="C939" s="1177" t="s">
        <v>52</v>
      </c>
      <c r="D939" s="1177"/>
      <c r="E939" s="1177"/>
      <c r="F939" s="1177" t="s">
        <v>73</v>
      </c>
      <c r="G939" s="1177" t="s">
        <v>75</v>
      </c>
      <c r="H939" s="1168" t="s">
        <v>72</v>
      </c>
      <c r="I939" s="1168"/>
      <c r="AQ939" s="57"/>
    </row>
    <row r="940" spans="2:43" ht="17.45" hidden="1" customHeight="1" outlineLevel="1">
      <c r="B940" s="1173"/>
      <c r="C940" s="628" t="s">
        <v>55</v>
      </c>
      <c r="D940" s="628" t="s">
        <v>56</v>
      </c>
      <c r="E940" s="628" t="s">
        <v>57</v>
      </c>
      <c r="F940" s="1177"/>
      <c r="G940" s="1177"/>
      <c r="H940" s="626" t="s">
        <v>89</v>
      </c>
      <c r="I940" s="626" t="s">
        <v>90</v>
      </c>
      <c r="AQ940" s="57"/>
    </row>
    <row r="941" spans="2:43" ht="17.45" hidden="1" customHeight="1" outlineLevel="1">
      <c r="B941" s="138" t="s">
        <v>91</v>
      </c>
      <c r="C941" s="111">
        <f>SUMIF($V$157:$V$174,B941,$L$157:$L$174)</f>
        <v>0</v>
      </c>
      <c r="D941" s="111">
        <f>SUMIF($V$157:$V$174,B941,$M$157:$M$174)</f>
        <v>0</v>
      </c>
      <c r="E941" s="111">
        <f>C941+D941</f>
        <v>0</v>
      </c>
      <c r="F941" s="111">
        <f>SUMIF($V$157:$V$174,B941,$AZ$157:$AZ$174)</f>
        <v>0</v>
      </c>
      <c r="G941" s="111">
        <f>E941/1000</f>
        <v>0</v>
      </c>
      <c r="H941" s="126">
        <f>SUMIF($V$157:$V$174,B941,$I$157:$I$174)</f>
        <v>0</v>
      </c>
      <c r="I941" s="141" t="str">
        <f>IFERROR(H941/F941,"")</f>
        <v/>
      </c>
      <c r="AQ941" s="57"/>
    </row>
    <row r="942" spans="2:43" ht="17.45" hidden="1" customHeight="1" outlineLevel="1">
      <c r="B942" s="138" t="s">
        <v>92</v>
      </c>
      <c r="C942" s="111">
        <f>SUMIF($V$157:$V$174,B942,$L$157:$L$174)</f>
        <v>0</v>
      </c>
      <c r="D942" s="111">
        <f>SUMIF($V$157:$V$174,B942,$M$157:$M$174)</f>
        <v>0</v>
      </c>
      <c r="E942" s="111">
        <f t="shared" ref="E942:E944" si="1319">C942+D942</f>
        <v>0</v>
      </c>
      <c r="F942" s="111">
        <f>SUMIF($V$157:$V$174,B942,$AZ$157:$AZ$174)</f>
        <v>0</v>
      </c>
      <c r="G942" s="111">
        <f t="shared" ref="G942:G944" si="1320">E942/1000</f>
        <v>0</v>
      </c>
      <c r="H942" s="126">
        <f>SUMIF($V$157:$V$174,B942,$I$157:$I$174)</f>
        <v>0</v>
      </c>
      <c r="I942" s="141" t="str">
        <f t="shared" ref="I942:I944" si="1321">IFERROR(H942/F942,"")</f>
        <v/>
      </c>
      <c r="AQ942" s="57"/>
    </row>
    <row r="943" spans="2:43" ht="17.45" hidden="1" customHeight="1" outlineLevel="1">
      <c r="B943" s="138" t="s">
        <v>93</v>
      </c>
      <c r="C943" s="111">
        <f>SUMIF($V$157:$V$174,B943,$L$157:$L$174)</f>
        <v>0</v>
      </c>
      <c r="D943" s="111">
        <f>SUMIF($V$157:$V$174,B943,$M$157:$M$174)</f>
        <v>0</v>
      </c>
      <c r="E943" s="111">
        <f t="shared" si="1319"/>
        <v>0</v>
      </c>
      <c r="F943" s="111">
        <f>SUMIF($V$157:$V$174,B943,$AZ$157:$AZ$174)</f>
        <v>0</v>
      </c>
      <c r="G943" s="111">
        <f t="shared" si="1320"/>
        <v>0</v>
      </c>
      <c r="H943" s="126">
        <f>SUMIF($V$157:$V$174,B943,$I$157:$I$174)</f>
        <v>0</v>
      </c>
      <c r="I943" s="141" t="str">
        <f t="shared" si="1321"/>
        <v/>
      </c>
      <c r="AQ943" s="57"/>
    </row>
    <row r="944" spans="2:43" ht="17.45" hidden="1" customHeight="1" outlineLevel="1" thickBot="1">
      <c r="B944" s="138" t="s">
        <v>94</v>
      </c>
      <c r="C944" s="111">
        <f>SUMIF($V$157:$V$174,B944,$L$157:$L$174)</f>
        <v>0</v>
      </c>
      <c r="D944" s="111">
        <f>SUMIF($V$157:$V$174,B944,$M$157:$M$174)</f>
        <v>0</v>
      </c>
      <c r="E944" s="111">
        <f t="shared" si="1319"/>
        <v>0</v>
      </c>
      <c r="F944" s="111">
        <f>SUMIF($V$157:$V$174,B944,$AZ$157:$AZ$174)</f>
        <v>0</v>
      </c>
      <c r="G944" s="111">
        <f t="shared" si="1320"/>
        <v>0</v>
      </c>
      <c r="H944" s="126">
        <f>SUMIF($V$157:$V$174,B944,$I$157:$I$174)</f>
        <v>0</v>
      </c>
      <c r="I944" s="141" t="str">
        <f t="shared" si="1321"/>
        <v/>
      </c>
      <c r="AQ944" s="57"/>
    </row>
    <row r="945" spans="2:43" ht="17.45" hidden="1" customHeight="1" outlineLevel="1" thickBot="1">
      <c r="B945" s="113" t="s">
        <v>61</v>
      </c>
      <c r="C945" s="114">
        <f>SUM(C941:C944)</f>
        <v>0</v>
      </c>
      <c r="D945" s="114">
        <f t="shared" ref="D945:F945" si="1322">SUM(D941:D944)</f>
        <v>0</v>
      </c>
      <c r="E945" s="114">
        <f t="shared" si="1322"/>
        <v>0</v>
      </c>
      <c r="F945" s="114">
        <f t="shared" si="1322"/>
        <v>0</v>
      </c>
      <c r="G945" s="114">
        <f>SUM(G941:G944)</f>
        <v>0</v>
      </c>
      <c r="H945" s="189">
        <f>SUM(H941:H944)</f>
        <v>0</v>
      </c>
      <c r="I945" s="191" t="str">
        <f>IFERROR(H945/F945,"")</f>
        <v/>
      </c>
      <c r="AQ945" s="57"/>
    </row>
    <row r="946" spans="2:43" ht="17.45" hidden="1" customHeight="1" outlineLevel="1">
      <c r="AQ946" s="57"/>
    </row>
    <row r="947" spans="2:43" ht="17.45" customHeight="1" collapsed="1">
      <c r="B947" s="329" t="s">
        <v>265</v>
      </c>
      <c r="O947" s="122"/>
      <c r="P947" s="122"/>
      <c r="Q947" s="122"/>
      <c r="R947" s="123"/>
      <c r="S947" s="331"/>
      <c r="T947" s="124"/>
      <c r="U947" s="332"/>
      <c r="V947" s="332"/>
      <c r="W947" s="245"/>
      <c r="X947" s="245"/>
      <c r="Y947" s="333"/>
      <c r="AQ947" s="57"/>
    </row>
    <row r="948" spans="2:43" ht="17.45" hidden="1" customHeight="1" outlineLevel="1">
      <c r="B948" s="1173" t="s">
        <v>51</v>
      </c>
      <c r="C948" s="1173"/>
      <c r="D948" s="1168" t="s">
        <v>52</v>
      </c>
      <c r="E948" s="1168"/>
      <c r="F948" s="1168"/>
      <c r="G948" s="1168" t="s">
        <v>53</v>
      </c>
      <c r="H948" s="1168"/>
      <c r="I948" s="1168"/>
      <c r="J948" s="1168" t="s">
        <v>54</v>
      </c>
      <c r="K948" s="1168"/>
      <c r="L948" s="1168"/>
      <c r="O948" s="1168" t="s">
        <v>71</v>
      </c>
      <c r="P948" s="1168" t="s">
        <v>72</v>
      </c>
      <c r="Q948" s="1168" t="s">
        <v>73</v>
      </c>
      <c r="R948" s="1168" t="s">
        <v>74</v>
      </c>
      <c r="S948" s="122"/>
      <c r="T948" s="1168" t="s">
        <v>71</v>
      </c>
      <c r="U948" s="1168" t="s">
        <v>72</v>
      </c>
      <c r="V948" s="1168" t="s">
        <v>73</v>
      </c>
      <c r="W948" s="1168" t="s">
        <v>74</v>
      </c>
      <c r="X948" s="1168" t="s">
        <v>75</v>
      </c>
      <c r="Y948" s="1169" t="str">
        <f>RIGHT(B947,3)&amp;" 목표(ST)"</f>
        <v>11월 목표(ST)</v>
      </c>
      <c r="Z948" s="1170" t="s">
        <v>111</v>
      </c>
      <c r="AA948" s="1169" t="s">
        <v>153</v>
      </c>
      <c r="AQ948" s="57"/>
    </row>
    <row r="949" spans="2:43" ht="17.45" hidden="1" customHeight="1" outlineLevel="1">
      <c r="B949" s="1173"/>
      <c r="C949" s="1173"/>
      <c r="D949" s="626" t="s">
        <v>55</v>
      </c>
      <c r="E949" s="626" t="s">
        <v>56</v>
      </c>
      <c r="F949" s="626" t="s">
        <v>57</v>
      </c>
      <c r="G949" s="626" t="s">
        <v>55</v>
      </c>
      <c r="H949" s="626" t="s">
        <v>56</v>
      </c>
      <c r="I949" s="626" t="s">
        <v>57</v>
      </c>
      <c r="J949" s="626" t="s">
        <v>55</v>
      </c>
      <c r="K949" s="626" t="s">
        <v>56</v>
      </c>
      <c r="L949" s="626" t="s">
        <v>57</v>
      </c>
      <c r="O949" s="1168"/>
      <c r="P949" s="1168"/>
      <c r="Q949" s="1168"/>
      <c r="R949" s="1168"/>
      <c r="S949" s="122"/>
      <c r="T949" s="1168"/>
      <c r="U949" s="1168"/>
      <c r="V949" s="1168"/>
      <c r="W949" s="1168"/>
      <c r="X949" s="1168"/>
      <c r="Y949" s="1168"/>
      <c r="Z949" s="1168"/>
      <c r="AA949" s="1168"/>
      <c r="AN949" s="361"/>
      <c r="AO949" s="362" t="s">
        <v>156</v>
      </c>
      <c r="AP949" s="457"/>
      <c r="AQ949" s="57"/>
    </row>
    <row r="950" spans="2:43" ht="17.45" hidden="1" customHeight="1" outlineLevel="1">
      <c r="B950" s="1171" t="s">
        <v>58</v>
      </c>
      <c r="C950" s="110" t="s">
        <v>179</v>
      </c>
      <c r="D950" s="111">
        <f t="shared" ref="D950:D955" si="1323">SUMIF($B$176:$B$199,C950,$L$176:$L$199)</f>
        <v>0</v>
      </c>
      <c r="E950" s="111">
        <f t="shared" ref="E950:E955" si="1324">SUMIF($B$176:$B$199,C950,$M$176:$M$199)</f>
        <v>0</v>
      </c>
      <c r="F950" s="111">
        <f>D950+E950</f>
        <v>0</v>
      </c>
      <c r="G950" s="112" t="str">
        <f>IFERROR(D950/F950,"")</f>
        <v/>
      </c>
      <c r="H950" s="112" t="str">
        <f>IFERROR(E950/F950,"")</f>
        <v/>
      </c>
      <c r="I950" s="112" t="str">
        <f t="shared" ref="I950:I955" si="1325">IFERROR(G950+H950,"")</f>
        <v/>
      </c>
      <c r="J950" s="111">
        <f t="shared" ref="J950:J955" si="1326">SUMIF($B$176:$B$199,C950,$AX$176:$AX$199)</f>
        <v>0</v>
      </c>
      <c r="K950" s="111">
        <f t="shared" ref="K950:K955" si="1327">SUMIF($B$176:$B$199,C950,$AY$176:$AY$199)</f>
        <v>0</v>
      </c>
      <c r="L950" s="111">
        <f>J950+K950</f>
        <v>0</v>
      </c>
      <c r="O950" s="125" t="str">
        <f>C950</f>
        <v>SGC에너지</v>
      </c>
      <c r="P950" s="126">
        <f t="shared" ref="P950:P955" si="1328">SUMIF($B$176:$B$199,O950,$I$176:$I$199)</f>
        <v>0</v>
      </c>
      <c r="Q950" s="111">
        <f t="shared" ref="Q950:Q955" si="1329">SUMIF($B$176:$B$199,O950,$AZ$176:$AZ$199)</f>
        <v>0</v>
      </c>
      <c r="R950" s="126" t="str">
        <f>IFERROR(P950/Q950,"")</f>
        <v/>
      </c>
      <c r="S950" s="122"/>
      <c r="T950" s="125" t="str">
        <f>O950</f>
        <v>SGC에너지</v>
      </c>
      <c r="U950" s="126">
        <f>P950</f>
        <v>0</v>
      </c>
      <c r="V950" s="111">
        <f>Q950</f>
        <v>0</v>
      </c>
      <c r="W950" s="127" t="str">
        <f>IFERROR(U950/V950,"")</f>
        <v/>
      </c>
      <c r="X950" s="148">
        <f>F950/1000</f>
        <v>0</v>
      </c>
      <c r="Y950" s="111"/>
      <c r="Z950" s="155" t="str">
        <f>IFERROR(IF(X950=0,"",X950/Y950),"")</f>
        <v/>
      </c>
      <c r="AA950" s="215">
        <f>X950-Y950</f>
        <v>0</v>
      </c>
      <c r="AN950" s="335"/>
      <c r="AO950" s="336">
        <f>X950-Y950</f>
        <v>0</v>
      </c>
      <c r="AP950" s="452"/>
      <c r="AQ950" s="57"/>
    </row>
    <row r="951" spans="2:43" ht="17.45" hidden="1" customHeight="1" outlineLevel="1">
      <c r="B951" s="1172"/>
      <c r="C951" s="110" t="s">
        <v>59</v>
      </c>
      <c r="D951" s="111">
        <f t="shared" si="1323"/>
        <v>0</v>
      </c>
      <c r="E951" s="111">
        <f t="shared" si="1324"/>
        <v>0</v>
      </c>
      <c r="F951" s="111">
        <f t="shared" ref="F951:F955" si="1330">D951+E951</f>
        <v>0</v>
      </c>
      <c r="G951" s="112" t="str">
        <f t="shared" ref="G951:G973" si="1331">IFERROR(D951/F951,"")</f>
        <v/>
      </c>
      <c r="H951" s="112" t="str">
        <f t="shared" ref="H951:H955" si="1332">IFERROR(E951/F951,"")</f>
        <v/>
      </c>
      <c r="I951" s="112" t="str">
        <f t="shared" si="1325"/>
        <v/>
      </c>
      <c r="J951" s="111">
        <f t="shared" si="1326"/>
        <v>0</v>
      </c>
      <c r="K951" s="111">
        <f t="shared" si="1327"/>
        <v>0</v>
      </c>
      <c r="L951" s="111">
        <f t="shared" ref="L951:L955" si="1333">J951+K951</f>
        <v>0</v>
      </c>
      <c r="O951" s="125" t="str">
        <f t="shared" ref="O951:O955" si="1334">C951</f>
        <v>남동발전</v>
      </c>
      <c r="P951" s="126">
        <f t="shared" si="1328"/>
        <v>0</v>
      </c>
      <c r="Q951" s="111">
        <f t="shared" si="1329"/>
        <v>0</v>
      </c>
      <c r="R951" s="126" t="str">
        <f t="shared" ref="R951:R972" si="1335">IFERROR(P951/Q951,"")</f>
        <v/>
      </c>
      <c r="S951" s="122"/>
      <c r="T951" s="125" t="str">
        <f t="shared" ref="T951:V955" si="1336">O951</f>
        <v>남동발전</v>
      </c>
      <c r="U951" s="126">
        <f t="shared" si="1336"/>
        <v>0</v>
      </c>
      <c r="V951" s="111">
        <f t="shared" si="1336"/>
        <v>0</v>
      </c>
      <c r="W951" s="127" t="str">
        <f t="shared" ref="W951:W971" si="1337">IFERROR(U951/V951,"")</f>
        <v/>
      </c>
      <c r="X951" s="148">
        <f t="shared" ref="X951:X955" si="1338">F951/1000</f>
        <v>0</v>
      </c>
      <c r="Y951" s="111"/>
      <c r="Z951" s="155" t="str">
        <f t="shared" ref="Z951:Z965" si="1339">IFERROR(IF(X951=0,"",X951/Y951),"")</f>
        <v/>
      </c>
      <c r="AA951" s="215">
        <f t="shared" ref="AA951:AA955" si="1340">X951-Y951</f>
        <v>0</v>
      </c>
      <c r="AN951" s="335"/>
      <c r="AO951" s="336">
        <f t="shared" ref="AO951:AO955" si="1341">X951-Y951</f>
        <v>0</v>
      </c>
      <c r="AP951" s="452"/>
      <c r="AQ951" s="57"/>
    </row>
    <row r="952" spans="2:43" ht="17.45" hidden="1" customHeight="1" outlineLevel="1">
      <c r="B952" s="1172"/>
      <c r="C952" s="110" t="s">
        <v>60</v>
      </c>
      <c r="D952" s="111">
        <f t="shared" si="1323"/>
        <v>0</v>
      </c>
      <c r="E952" s="111">
        <f t="shared" si="1324"/>
        <v>0</v>
      </c>
      <c r="F952" s="111">
        <f t="shared" si="1330"/>
        <v>0</v>
      </c>
      <c r="G952" s="112" t="str">
        <f t="shared" si="1331"/>
        <v/>
      </c>
      <c r="H952" s="112" t="str">
        <f t="shared" si="1332"/>
        <v/>
      </c>
      <c r="I952" s="112" t="str">
        <f t="shared" si="1325"/>
        <v/>
      </c>
      <c r="J952" s="111">
        <f t="shared" si="1326"/>
        <v>0</v>
      </c>
      <c r="K952" s="111">
        <f t="shared" si="1327"/>
        <v>0</v>
      </c>
      <c r="L952" s="111">
        <f t="shared" si="1333"/>
        <v>0</v>
      </c>
      <c r="O952" s="125" t="str">
        <f t="shared" si="1334"/>
        <v>동서발전</v>
      </c>
      <c r="P952" s="126">
        <f t="shared" si="1328"/>
        <v>0</v>
      </c>
      <c r="Q952" s="111">
        <f t="shared" si="1329"/>
        <v>0</v>
      </c>
      <c r="R952" s="126" t="str">
        <f t="shared" si="1335"/>
        <v/>
      </c>
      <c r="S952" s="122"/>
      <c r="T952" s="125" t="str">
        <f t="shared" si="1336"/>
        <v>동서발전</v>
      </c>
      <c r="U952" s="126">
        <f t="shared" si="1336"/>
        <v>0</v>
      </c>
      <c r="V952" s="111">
        <f t="shared" si="1336"/>
        <v>0</v>
      </c>
      <c r="W952" s="127" t="str">
        <f t="shared" si="1337"/>
        <v/>
      </c>
      <c r="X952" s="148">
        <f t="shared" si="1338"/>
        <v>0</v>
      </c>
      <c r="Y952" s="111"/>
      <c r="Z952" s="155" t="str">
        <f t="shared" si="1339"/>
        <v/>
      </c>
      <c r="AA952" s="215">
        <f t="shared" si="1340"/>
        <v>0</v>
      </c>
      <c r="AN952" s="335"/>
      <c r="AO952" s="336">
        <f t="shared" si="1341"/>
        <v>0</v>
      </c>
      <c r="AP952" s="452"/>
    </row>
    <row r="953" spans="2:43" ht="17.45" hidden="1" customHeight="1" outlineLevel="1">
      <c r="B953" s="1172"/>
      <c r="C953" s="110" t="s">
        <v>159</v>
      </c>
      <c r="D953" s="111">
        <f t="shared" si="1323"/>
        <v>0</v>
      </c>
      <c r="E953" s="111">
        <f t="shared" si="1324"/>
        <v>0</v>
      </c>
      <c r="F953" s="111">
        <f t="shared" si="1330"/>
        <v>0</v>
      </c>
      <c r="G953" s="112" t="str">
        <f t="shared" si="1331"/>
        <v/>
      </c>
      <c r="H953" s="112" t="str">
        <f t="shared" si="1332"/>
        <v/>
      </c>
      <c r="I953" s="112" t="str">
        <f t="shared" si="1325"/>
        <v/>
      </c>
      <c r="J953" s="111">
        <f t="shared" si="1326"/>
        <v>0</v>
      </c>
      <c r="K953" s="111">
        <f t="shared" si="1327"/>
        <v>0</v>
      </c>
      <c r="L953" s="111">
        <f t="shared" si="1333"/>
        <v>0</v>
      </c>
      <c r="O953" s="125" t="str">
        <f t="shared" si="1334"/>
        <v>미쓰이</v>
      </c>
      <c r="P953" s="126">
        <f t="shared" si="1328"/>
        <v>0</v>
      </c>
      <c r="Q953" s="111">
        <f t="shared" si="1329"/>
        <v>0</v>
      </c>
      <c r="R953" s="126" t="str">
        <f t="shared" si="1335"/>
        <v/>
      </c>
      <c r="S953" s="122"/>
      <c r="T953" s="125" t="str">
        <f t="shared" si="1336"/>
        <v>미쓰이</v>
      </c>
      <c r="U953" s="126">
        <f t="shared" si="1336"/>
        <v>0</v>
      </c>
      <c r="V953" s="111">
        <f t="shared" si="1336"/>
        <v>0</v>
      </c>
      <c r="W953" s="127" t="str">
        <f t="shared" si="1337"/>
        <v/>
      </c>
      <c r="X953" s="148">
        <f t="shared" si="1338"/>
        <v>0</v>
      </c>
      <c r="Y953" s="111"/>
      <c r="Z953" s="155" t="str">
        <f t="shared" si="1339"/>
        <v/>
      </c>
      <c r="AA953" s="215"/>
      <c r="AN953" s="335"/>
      <c r="AO953" s="336">
        <f t="shared" si="1341"/>
        <v>0</v>
      </c>
      <c r="AP953" s="452"/>
    </row>
    <row r="954" spans="2:43" ht="17.45" hidden="1" customHeight="1" outlineLevel="1">
      <c r="B954" s="1172"/>
      <c r="C954" s="110" t="s">
        <v>168</v>
      </c>
      <c r="D954" s="111">
        <f t="shared" si="1323"/>
        <v>0</v>
      </c>
      <c r="E954" s="111">
        <f t="shared" si="1324"/>
        <v>0</v>
      </c>
      <c r="F954" s="111">
        <f t="shared" si="1330"/>
        <v>0</v>
      </c>
      <c r="G954" s="112" t="str">
        <f t="shared" si="1331"/>
        <v/>
      </c>
      <c r="H954" s="112" t="str">
        <f t="shared" si="1332"/>
        <v/>
      </c>
      <c r="I954" s="112" t="str">
        <f t="shared" si="1325"/>
        <v/>
      </c>
      <c r="J954" s="111">
        <f t="shared" si="1326"/>
        <v>0</v>
      </c>
      <c r="K954" s="111">
        <f t="shared" si="1327"/>
        <v>0</v>
      </c>
      <c r="L954" s="111">
        <f t="shared" si="1333"/>
        <v>0</v>
      </c>
      <c r="O954" s="125" t="str">
        <f t="shared" si="1334"/>
        <v>포스코인터</v>
      </c>
      <c r="P954" s="126">
        <f t="shared" si="1328"/>
        <v>0</v>
      </c>
      <c r="Q954" s="111">
        <f t="shared" si="1329"/>
        <v>0</v>
      </c>
      <c r="R954" s="126" t="str">
        <f t="shared" si="1335"/>
        <v/>
      </c>
      <c r="S954" s="122"/>
      <c r="T954" s="125" t="str">
        <f t="shared" si="1336"/>
        <v>포스코인터</v>
      </c>
      <c r="U954" s="126">
        <f t="shared" si="1336"/>
        <v>0</v>
      </c>
      <c r="V954" s="111">
        <f t="shared" si="1336"/>
        <v>0</v>
      </c>
      <c r="W954" s="127" t="str">
        <f t="shared" si="1337"/>
        <v/>
      </c>
      <c r="X954" s="148">
        <f t="shared" si="1338"/>
        <v>0</v>
      </c>
      <c r="Y954" s="111"/>
      <c r="Z954" s="155" t="str">
        <f t="shared" si="1339"/>
        <v/>
      </c>
      <c r="AA954" s="215"/>
      <c r="AN954" s="335"/>
      <c r="AO954" s="336">
        <f t="shared" si="1341"/>
        <v>0</v>
      </c>
      <c r="AP954" s="452"/>
    </row>
    <row r="955" spans="2:43" ht="17.45" hidden="1" customHeight="1" outlineLevel="1">
      <c r="B955" s="1172"/>
      <c r="C955" s="110" t="s">
        <v>154</v>
      </c>
      <c r="D955" s="111">
        <f t="shared" si="1323"/>
        <v>0</v>
      </c>
      <c r="E955" s="111">
        <f t="shared" si="1324"/>
        <v>0</v>
      </c>
      <c r="F955" s="111">
        <f t="shared" si="1330"/>
        <v>0</v>
      </c>
      <c r="G955" s="112" t="str">
        <f t="shared" si="1331"/>
        <v/>
      </c>
      <c r="H955" s="112" t="str">
        <f t="shared" si="1332"/>
        <v/>
      </c>
      <c r="I955" s="112" t="str">
        <f t="shared" si="1325"/>
        <v/>
      </c>
      <c r="J955" s="111">
        <f t="shared" si="1326"/>
        <v>0</v>
      </c>
      <c r="K955" s="111">
        <f t="shared" si="1327"/>
        <v>0</v>
      </c>
      <c r="L955" s="111">
        <f t="shared" si="1333"/>
        <v>0</v>
      </c>
      <c r="O955" s="125" t="str">
        <f t="shared" si="1334"/>
        <v>이노샌드</v>
      </c>
      <c r="P955" s="126">
        <f t="shared" si="1328"/>
        <v>0</v>
      </c>
      <c r="Q955" s="111">
        <f t="shared" si="1329"/>
        <v>0</v>
      </c>
      <c r="R955" s="126" t="str">
        <f t="shared" si="1335"/>
        <v/>
      </c>
      <c r="S955" s="122"/>
      <c r="T955" s="125" t="str">
        <f t="shared" si="1336"/>
        <v>이노샌드</v>
      </c>
      <c r="U955" s="126">
        <f t="shared" si="1336"/>
        <v>0</v>
      </c>
      <c r="V955" s="111">
        <f t="shared" si="1336"/>
        <v>0</v>
      </c>
      <c r="W955" s="127" t="str">
        <f t="shared" si="1337"/>
        <v/>
      </c>
      <c r="X955" s="148">
        <f t="shared" si="1338"/>
        <v>0</v>
      </c>
      <c r="Y955" s="111"/>
      <c r="Z955" s="155" t="str">
        <f t="shared" si="1339"/>
        <v/>
      </c>
      <c r="AA955" s="215">
        <f t="shared" si="1340"/>
        <v>0</v>
      </c>
      <c r="AN955" s="335"/>
      <c r="AO955" s="336">
        <f t="shared" si="1341"/>
        <v>0</v>
      </c>
      <c r="AP955" s="452"/>
      <c r="AQ955" s="337"/>
    </row>
    <row r="956" spans="2:43" ht="17.45" hidden="1" customHeight="1" outlineLevel="1">
      <c r="B956" s="1172"/>
      <c r="C956" s="113" t="s">
        <v>61</v>
      </c>
      <c r="D956" s="114">
        <f>SUM(D950:D955)</f>
        <v>0</v>
      </c>
      <c r="E956" s="114">
        <f>SUM(E950:E955)</f>
        <v>0</v>
      </c>
      <c r="F956" s="114">
        <f>SUM(F950:F955)</f>
        <v>0</v>
      </c>
      <c r="G956" s="115" t="str">
        <f t="shared" si="1331"/>
        <v/>
      </c>
      <c r="H956" s="115" t="str">
        <f>IFERROR(E956/F956,"")</f>
        <v/>
      </c>
      <c r="I956" s="115" t="str">
        <f>IFERROR(G956+H956,"")</f>
        <v/>
      </c>
      <c r="J956" s="114">
        <f>SUM(J950:J955)</f>
        <v>0</v>
      </c>
      <c r="K956" s="114">
        <f t="shared" ref="K956:L956" si="1342">SUM(K950:K955)</f>
        <v>0</v>
      </c>
      <c r="L956" s="114">
        <f t="shared" si="1342"/>
        <v>0</v>
      </c>
      <c r="O956" s="128" t="s">
        <v>61</v>
      </c>
      <c r="P956" s="129">
        <f>SUM(P950:P955)</f>
        <v>0</v>
      </c>
      <c r="Q956" s="114">
        <f>SUM(Q950:Q955)</f>
        <v>0</v>
      </c>
      <c r="R956" s="129" t="str">
        <f t="shared" si="1335"/>
        <v/>
      </c>
      <c r="S956" s="122"/>
      <c r="T956" s="128" t="s">
        <v>61</v>
      </c>
      <c r="U956" s="129">
        <f>SUM(U950:U955)</f>
        <v>0</v>
      </c>
      <c r="V956" s="114">
        <f>SUM(V950:V955)</f>
        <v>0</v>
      </c>
      <c r="W956" s="129" t="str">
        <f t="shared" si="1337"/>
        <v/>
      </c>
      <c r="X956" s="114">
        <f>SUM(X950:X955)</f>
        <v>0</v>
      </c>
      <c r="Y956" s="114">
        <f>SUM(Y950:Y955)</f>
        <v>0</v>
      </c>
      <c r="Z956" s="156" t="str">
        <f t="shared" si="1339"/>
        <v/>
      </c>
      <c r="AA956" s="212">
        <f>SUM(AA950:AA955)</f>
        <v>0</v>
      </c>
      <c r="AN956" s="338">
        <f>SUM(AN950:AN955)</f>
        <v>0</v>
      </c>
      <c r="AO956" s="338">
        <f>SUM(AO950:AO955)</f>
        <v>0</v>
      </c>
      <c r="AP956" s="453"/>
    </row>
    <row r="957" spans="2:43" ht="17.45" hidden="1" customHeight="1" outlineLevel="1">
      <c r="B957" s="1171" t="s">
        <v>62</v>
      </c>
      <c r="C957" s="110" t="s">
        <v>222</v>
      </c>
      <c r="D957" s="111">
        <f t="shared" ref="D957:D971" si="1343">SUMIF($B$176:$B$199,C957,$L$176:$L$199)</f>
        <v>0</v>
      </c>
      <c r="E957" s="111">
        <f t="shared" ref="E957:E971" si="1344">SUMIF($B$176:$B$199,C957,$M$176:$M$199)</f>
        <v>0</v>
      </c>
      <c r="F957" s="111">
        <f t="shared" ref="F957:F971" si="1345">D957+E957</f>
        <v>0</v>
      </c>
      <c r="G957" s="112" t="str">
        <f t="shared" si="1331"/>
        <v/>
      </c>
      <c r="H957" s="112" t="str">
        <f t="shared" ref="H957:H971" si="1346">IFERROR(E957/F957,"")</f>
        <v/>
      </c>
      <c r="I957" s="112" t="str">
        <f t="shared" ref="I957:I971" si="1347">IFERROR(G957+H957,"")</f>
        <v/>
      </c>
      <c r="J957" s="111">
        <f t="shared" ref="J957:J971" si="1348">SUMIF($B$176:$B$199,C957,$AX$176:$AX$199)</f>
        <v>0</v>
      </c>
      <c r="K957" s="111">
        <f t="shared" ref="K957:K971" si="1349">SUMIF($B$176:$B$199,C957,$AY$176:$AY$199)</f>
        <v>0</v>
      </c>
      <c r="L957" s="111">
        <f t="shared" ref="L957:L971" si="1350">J957+K957</f>
        <v>0</v>
      </c>
      <c r="O957" s="125" t="str">
        <f>C957</f>
        <v>태경비케이</v>
      </c>
      <c r="P957" s="126">
        <f t="shared" ref="P957:P971" si="1351">SUMIF($B$176:$B$199,O957,$I$176:$I$199)</f>
        <v>0</v>
      </c>
      <c r="Q957" s="111">
        <f t="shared" ref="Q957:Q971" si="1352">SUMIF($B$176:$B$199,O957,$AZ$176:$AZ$199)</f>
        <v>0</v>
      </c>
      <c r="R957" s="126" t="str">
        <f t="shared" si="1335"/>
        <v/>
      </c>
      <c r="S957" s="122"/>
      <c r="T957" s="125" t="str">
        <f t="shared" ref="T957:V971" si="1353">O957</f>
        <v>태경비케이</v>
      </c>
      <c r="U957" s="126">
        <f t="shared" si="1353"/>
        <v>0</v>
      </c>
      <c r="V957" s="111">
        <f t="shared" si="1353"/>
        <v>0</v>
      </c>
      <c r="W957" s="127" t="str">
        <f t="shared" si="1337"/>
        <v/>
      </c>
      <c r="X957" s="148">
        <f t="shared" ref="X957:X971" si="1354">F957/1000</f>
        <v>0</v>
      </c>
      <c r="Y957" s="111"/>
      <c r="Z957" s="155" t="str">
        <f t="shared" si="1339"/>
        <v/>
      </c>
      <c r="AA957" s="215">
        <f t="shared" ref="AA957:AA971" si="1355">X957-Y957</f>
        <v>0</v>
      </c>
      <c r="AN957" s="335"/>
      <c r="AO957" s="336">
        <f>X957-Y957</f>
        <v>0</v>
      </c>
      <c r="AP957" s="452"/>
    </row>
    <row r="958" spans="2:43" ht="17.45" hidden="1" customHeight="1" outlineLevel="1">
      <c r="B958" s="1172"/>
      <c r="C958" s="110" t="s">
        <v>78</v>
      </c>
      <c r="D958" s="111">
        <f t="shared" si="1343"/>
        <v>0</v>
      </c>
      <c r="E958" s="111">
        <f t="shared" si="1344"/>
        <v>0</v>
      </c>
      <c r="F958" s="111">
        <f t="shared" si="1345"/>
        <v>0</v>
      </c>
      <c r="G958" s="112" t="str">
        <f t="shared" si="1331"/>
        <v/>
      </c>
      <c r="H958" s="112" t="str">
        <f t="shared" si="1346"/>
        <v/>
      </c>
      <c r="I958" s="112" t="str">
        <f t="shared" si="1347"/>
        <v/>
      </c>
      <c r="J958" s="111">
        <f t="shared" si="1348"/>
        <v>0</v>
      </c>
      <c r="K958" s="111">
        <f t="shared" si="1349"/>
        <v>0</v>
      </c>
      <c r="L958" s="111">
        <f t="shared" si="1350"/>
        <v>0</v>
      </c>
      <c r="O958" s="125" t="str">
        <f t="shared" ref="O958:O971" si="1356">C958</f>
        <v>삼영산업</v>
      </c>
      <c r="P958" s="126">
        <f t="shared" si="1351"/>
        <v>0</v>
      </c>
      <c r="Q958" s="111">
        <f t="shared" si="1352"/>
        <v>0</v>
      </c>
      <c r="R958" s="126" t="str">
        <f t="shared" si="1335"/>
        <v/>
      </c>
      <c r="S958" s="122"/>
      <c r="T958" s="125" t="str">
        <f t="shared" si="1353"/>
        <v>삼영산업</v>
      </c>
      <c r="U958" s="126">
        <f t="shared" si="1353"/>
        <v>0</v>
      </c>
      <c r="V958" s="111">
        <f t="shared" si="1353"/>
        <v>0</v>
      </c>
      <c r="W958" s="127" t="str">
        <f t="shared" si="1337"/>
        <v/>
      </c>
      <c r="X958" s="148">
        <f t="shared" si="1354"/>
        <v>0</v>
      </c>
      <c r="Y958" s="111"/>
      <c r="Z958" s="155" t="str">
        <f t="shared" si="1339"/>
        <v/>
      </c>
      <c r="AA958" s="215">
        <f t="shared" si="1355"/>
        <v>0</v>
      </c>
      <c r="AN958" s="335"/>
      <c r="AO958" s="336">
        <f t="shared" ref="AO958:AO959" si="1357">X958-Y958</f>
        <v>0</v>
      </c>
      <c r="AP958" s="452"/>
    </row>
    <row r="959" spans="2:43" ht="17.45" hidden="1" customHeight="1" outlineLevel="1">
      <c r="B959" s="1172"/>
      <c r="C959" s="110" t="s">
        <v>176</v>
      </c>
      <c r="D959" s="111">
        <f t="shared" si="1343"/>
        <v>0</v>
      </c>
      <c r="E959" s="111">
        <f t="shared" si="1344"/>
        <v>0</v>
      </c>
      <c r="F959" s="111">
        <f t="shared" si="1345"/>
        <v>0</v>
      </c>
      <c r="G959" s="112" t="str">
        <f t="shared" si="1331"/>
        <v/>
      </c>
      <c r="H959" s="112" t="str">
        <f t="shared" si="1346"/>
        <v/>
      </c>
      <c r="I959" s="112" t="str">
        <f t="shared" si="1347"/>
        <v/>
      </c>
      <c r="J959" s="111">
        <f t="shared" si="1348"/>
        <v>0</v>
      </c>
      <c r="K959" s="111">
        <f t="shared" si="1349"/>
        <v>0</v>
      </c>
      <c r="L959" s="111">
        <f t="shared" si="1350"/>
        <v>0</v>
      </c>
      <c r="O959" s="125" t="str">
        <f t="shared" si="1356"/>
        <v>고려시멘트</v>
      </c>
      <c r="P959" s="126">
        <f t="shared" si="1351"/>
        <v>0</v>
      </c>
      <c r="Q959" s="111">
        <f t="shared" si="1352"/>
        <v>0</v>
      </c>
      <c r="R959" s="126" t="str">
        <f t="shared" si="1335"/>
        <v/>
      </c>
      <c r="S959" s="122"/>
      <c r="T959" s="125" t="str">
        <f t="shared" si="1353"/>
        <v>고려시멘트</v>
      </c>
      <c r="U959" s="126">
        <f t="shared" si="1353"/>
        <v>0</v>
      </c>
      <c r="V959" s="111">
        <f t="shared" si="1353"/>
        <v>0</v>
      </c>
      <c r="W959" s="127" t="str">
        <f t="shared" si="1337"/>
        <v/>
      </c>
      <c r="X959" s="148">
        <f t="shared" si="1354"/>
        <v>0</v>
      </c>
      <c r="Y959" s="111"/>
      <c r="Z959" s="155" t="str">
        <f t="shared" si="1339"/>
        <v/>
      </c>
      <c r="AA959" s="215">
        <f t="shared" si="1355"/>
        <v>0</v>
      </c>
      <c r="AN959" s="335"/>
      <c r="AO959" s="336">
        <f t="shared" si="1357"/>
        <v>0</v>
      </c>
      <c r="AP959" s="452"/>
    </row>
    <row r="960" spans="2:43" ht="17.45" hidden="1" customHeight="1" outlineLevel="1">
      <c r="B960" s="1172"/>
      <c r="C960" s="110" t="s">
        <v>63</v>
      </c>
      <c r="D960" s="111">
        <f t="shared" si="1343"/>
        <v>0</v>
      </c>
      <c r="E960" s="111">
        <f t="shared" si="1344"/>
        <v>0</v>
      </c>
      <c r="F960" s="111">
        <f t="shared" si="1345"/>
        <v>0</v>
      </c>
      <c r="G960" s="112" t="str">
        <f t="shared" si="1331"/>
        <v/>
      </c>
      <c r="H960" s="112" t="str">
        <f t="shared" si="1346"/>
        <v/>
      </c>
      <c r="I960" s="112" t="str">
        <f t="shared" si="1347"/>
        <v/>
      </c>
      <c r="J960" s="111">
        <f t="shared" si="1348"/>
        <v>0</v>
      </c>
      <c r="K960" s="111">
        <f t="shared" si="1349"/>
        <v>0</v>
      </c>
      <c r="L960" s="111">
        <f t="shared" si="1350"/>
        <v>0</v>
      </c>
      <c r="O960" s="125" t="str">
        <f t="shared" si="1356"/>
        <v>청해실업</v>
      </c>
      <c r="P960" s="126">
        <f t="shared" si="1351"/>
        <v>0</v>
      </c>
      <c r="Q960" s="111">
        <f t="shared" si="1352"/>
        <v>0</v>
      </c>
      <c r="R960" s="126" t="str">
        <f t="shared" si="1335"/>
        <v/>
      </c>
      <c r="S960" s="122"/>
      <c r="T960" s="125" t="str">
        <f t="shared" si="1353"/>
        <v>청해실업</v>
      </c>
      <c r="U960" s="126">
        <f t="shared" si="1353"/>
        <v>0</v>
      </c>
      <c r="V960" s="111">
        <f t="shared" si="1353"/>
        <v>0</v>
      </c>
      <c r="W960" s="127" t="str">
        <f t="shared" si="1337"/>
        <v/>
      </c>
      <c r="X960" s="148">
        <f t="shared" si="1354"/>
        <v>0</v>
      </c>
      <c r="Y960" s="111"/>
      <c r="Z960" s="155" t="str">
        <f t="shared" si="1339"/>
        <v/>
      </c>
      <c r="AA960" s="215">
        <f t="shared" si="1355"/>
        <v>0</v>
      </c>
      <c r="AN960" s="339"/>
      <c r="AO960" s="340">
        <f t="shared" ref="AO960" si="1358">X960-AN960</f>
        <v>0</v>
      </c>
      <c r="AP960" s="454"/>
      <c r="AQ960" s="240" t="s">
        <v>30</v>
      </c>
    </row>
    <row r="961" spans="2:43" ht="17.45" hidden="1" customHeight="1" outlineLevel="1">
      <c r="B961" s="1172"/>
      <c r="C961" s="110" t="s">
        <v>64</v>
      </c>
      <c r="D961" s="111">
        <f t="shared" si="1343"/>
        <v>0</v>
      </c>
      <c r="E961" s="111">
        <f t="shared" si="1344"/>
        <v>0</v>
      </c>
      <c r="F961" s="111">
        <f t="shared" si="1345"/>
        <v>0</v>
      </c>
      <c r="G961" s="112" t="str">
        <f t="shared" si="1331"/>
        <v/>
      </c>
      <c r="H961" s="112" t="str">
        <f t="shared" si="1346"/>
        <v/>
      </c>
      <c r="I961" s="112" t="str">
        <f t="shared" si="1347"/>
        <v/>
      </c>
      <c r="J961" s="111">
        <f t="shared" si="1348"/>
        <v>0</v>
      </c>
      <c r="K961" s="111">
        <f t="shared" si="1349"/>
        <v>0</v>
      </c>
      <c r="L961" s="111">
        <f t="shared" si="1350"/>
        <v>0</v>
      </c>
      <c r="O961" s="125" t="str">
        <f t="shared" si="1356"/>
        <v>한화에너지</v>
      </c>
      <c r="P961" s="126">
        <f t="shared" si="1351"/>
        <v>0</v>
      </c>
      <c r="Q961" s="111">
        <f t="shared" si="1352"/>
        <v>0</v>
      </c>
      <c r="R961" s="126" t="str">
        <f t="shared" si="1335"/>
        <v/>
      </c>
      <c r="S961" s="122"/>
      <c r="T961" s="125" t="str">
        <f t="shared" si="1353"/>
        <v>한화에너지</v>
      </c>
      <c r="U961" s="126">
        <f t="shared" si="1353"/>
        <v>0</v>
      </c>
      <c r="V961" s="111">
        <f t="shared" si="1353"/>
        <v>0</v>
      </c>
      <c r="W961" s="127" t="str">
        <f t="shared" si="1337"/>
        <v/>
      </c>
      <c r="X961" s="148">
        <f t="shared" si="1354"/>
        <v>0</v>
      </c>
      <c r="Y961" s="111"/>
      <c r="Z961" s="155" t="str">
        <f t="shared" si="1339"/>
        <v/>
      </c>
      <c r="AA961" s="215">
        <f t="shared" si="1355"/>
        <v>0</v>
      </c>
      <c r="AN961" s="335"/>
      <c r="AO961" s="336">
        <f t="shared" ref="AO961:AO971" si="1359">X961-Y961</f>
        <v>0</v>
      </c>
      <c r="AP961" s="452"/>
    </row>
    <row r="962" spans="2:43" ht="17.45" hidden="1" customHeight="1" outlineLevel="1">
      <c r="B962" s="1172"/>
      <c r="C962" s="110" t="s">
        <v>178</v>
      </c>
      <c r="D962" s="111">
        <f t="shared" si="1343"/>
        <v>0</v>
      </c>
      <c r="E962" s="111">
        <f t="shared" si="1344"/>
        <v>0</v>
      </c>
      <c r="F962" s="111">
        <f t="shared" si="1345"/>
        <v>0</v>
      </c>
      <c r="G962" s="112" t="str">
        <f t="shared" si="1331"/>
        <v/>
      </c>
      <c r="H962" s="112" t="str">
        <f t="shared" si="1346"/>
        <v/>
      </c>
      <c r="I962" s="112" t="str">
        <f t="shared" si="1347"/>
        <v/>
      </c>
      <c r="J962" s="111">
        <f t="shared" si="1348"/>
        <v>0</v>
      </c>
      <c r="K962" s="111">
        <f t="shared" si="1349"/>
        <v>0</v>
      </c>
      <c r="L962" s="111">
        <f t="shared" si="1350"/>
        <v>0</v>
      </c>
      <c r="O962" s="125" t="str">
        <f t="shared" si="1356"/>
        <v>금호석유화학</v>
      </c>
      <c r="P962" s="126">
        <f t="shared" si="1351"/>
        <v>0</v>
      </c>
      <c r="Q962" s="111">
        <f t="shared" si="1352"/>
        <v>0</v>
      </c>
      <c r="R962" s="126" t="str">
        <f t="shared" si="1335"/>
        <v/>
      </c>
      <c r="S962" s="122"/>
      <c r="T962" s="125" t="str">
        <f t="shared" si="1353"/>
        <v>금호석유화학</v>
      </c>
      <c r="U962" s="126">
        <f t="shared" si="1353"/>
        <v>0</v>
      </c>
      <c r="V962" s="111">
        <f t="shared" si="1353"/>
        <v>0</v>
      </c>
      <c r="W962" s="127" t="str">
        <f t="shared" si="1337"/>
        <v/>
      </c>
      <c r="X962" s="148">
        <f t="shared" si="1354"/>
        <v>0</v>
      </c>
      <c r="Y962" s="111"/>
      <c r="Z962" s="155" t="str">
        <f t="shared" si="1339"/>
        <v/>
      </c>
      <c r="AA962" s="215">
        <f t="shared" si="1355"/>
        <v>0</v>
      </c>
      <c r="AN962" s="335"/>
      <c r="AO962" s="336">
        <f t="shared" si="1359"/>
        <v>0</v>
      </c>
      <c r="AP962" s="452"/>
    </row>
    <row r="963" spans="2:43" ht="17.45" hidden="1" customHeight="1" outlineLevel="1">
      <c r="B963" s="1172"/>
      <c r="C963" s="110" t="s">
        <v>65</v>
      </c>
      <c r="D963" s="111">
        <f t="shared" si="1343"/>
        <v>0</v>
      </c>
      <c r="E963" s="111">
        <f t="shared" si="1344"/>
        <v>0</v>
      </c>
      <c r="F963" s="111">
        <f t="shared" si="1345"/>
        <v>0</v>
      </c>
      <c r="G963" s="112" t="str">
        <f t="shared" si="1331"/>
        <v/>
      </c>
      <c r="H963" s="112" t="str">
        <f t="shared" si="1346"/>
        <v/>
      </c>
      <c r="I963" s="112" t="str">
        <f t="shared" si="1347"/>
        <v/>
      </c>
      <c r="J963" s="111">
        <f t="shared" si="1348"/>
        <v>0</v>
      </c>
      <c r="K963" s="111">
        <f t="shared" si="1349"/>
        <v>0</v>
      </c>
      <c r="L963" s="111">
        <f t="shared" si="1350"/>
        <v>0</v>
      </c>
      <c r="O963" s="125" t="str">
        <f t="shared" si="1356"/>
        <v>LG상사</v>
      </c>
      <c r="P963" s="126">
        <f t="shared" si="1351"/>
        <v>0</v>
      </c>
      <c r="Q963" s="111">
        <f t="shared" si="1352"/>
        <v>0</v>
      </c>
      <c r="R963" s="126" t="str">
        <f t="shared" si="1335"/>
        <v/>
      </c>
      <c r="S963" s="122"/>
      <c r="T963" s="125" t="str">
        <f t="shared" si="1353"/>
        <v>LG상사</v>
      </c>
      <c r="U963" s="126">
        <f t="shared" si="1353"/>
        <v>0</v>
      </c>
      <c r="V963" s="111">
        <f t="shared" si="1353"/>
        <v>0</v>
      </c>
      <c r="W963" s="127" t="str">
        <f t="shared" si="1337"/>
        <v/>
      </c>
      <c r="X963" s="148">
        <f t="shared" si="1354"/>
        <v>0</v>
      </c>
      <c r="Y963" s="111"/>
      <c r="Z963" s="155" t="str">
        <f t="shared" si="1339"/>
        <v/>
      </c>
      <c r="AA963" s="215">
        <f t="shared" si="1355"/>
        <v>0</v>
      </c>
      <c r="AN963" s="335"/>
      <c r="AO963" s="336">
        <f t="shared" si="1359"/>
        <v>0</v>
      </c>
      <c r="AP963" s="452"/>
    </row>
    <row r="964" spans="2:43" ht="17.45" hidden="1" customHeight="1" outlineLevel="1">
      <c r="B964" s="1172"/>
      <c r="C964" s="110" t="s">
        <v>66</v>
      </c>
      <c r="D964" s="111">
        <f t="shared" si="1343"/>
        <v>0</v>
      </c>
      <c r="E964" s="111">
        <f t="shared" si="1344"/>
        <v>0</v>
      </c>
      <c r="F964" s="111">
        <f t="shared" si="1345"/>
        <v>0</v>
      </c>
      <c r="G964" s="112" t="str">
        <f t="shared" si="1331"/>
        <v/>
      </c>
      <c r="H964" s="112" t="str">
        <f t="shared" si="1346"/>
        <v/>
      </c>
      <c r="I964" s="112" t="str">
        <f t="shared" si="1347"/>
        <v/>
      </c>
      <c r="J964" s="111">
        <f t="shared" si="1348"/>
        <v>0</v>
      </c>
      <c r="K964" s="111">
        <f t="shared" si="1349"/>
        <v>0</v>
      </c>
      <c r="L964" s="111">
        <f t="shared" si="1350"/>
        <v>0</v>
      </c>
      <c r="O964" s="125" t="str">
        <f t="shared" si="1356"/>
        <v>LG화학</v>
      </c>
      <c r="P964" s="126">
        <f t="shared" si="1351"/>
        <v>0</v>
      </c>
      <c r="Q964" s="111">
        <f t="shared" si="1352"/>
        <v>0</v>
      </c>
      <c r="R964" s="126" t="str">
        <f t="shared" si="1335"/>
        <v/>
      </c>
      <c r="S964" s="122"/>
      <c r="T964" s="125" t="str">
        <f t="shared" si="1353"/>
        <v>LG화학</v>
      </c>
      <c r="U964" s="126">
        <f t="shared" si="1353"/>
        <v>0</v>
      </c>
      <c r="V964" s="111">
        <f t="shared" si="1353"/>
        <v>0</v>
      </c>
      <c r="W964" s="127" t="str">
        <f t="shared" si="1337"/>
        <v/>
      </c>
      <c r="X964" s="148">
        <f t="shared" si="1354"/>
        <v>0</v>
      </c>
      <c r="Y964" s="111"/>
      <c r="Z964" s="155" t="str">
        <f t="shared" si="1339"/>
        <v/>
      </c>
      <c r="AA964" s="215">
        <f t="shared" si="1355"/>
        <v>0</v>
      </c>
      <c r="AN964" s="335"/>
      <c r="AO964" s="336">
        <f t="shared" si="1359"/>
        <v>0</v>
      </c>
      <c r="AP964" s="452"/>
    </row>
    <row r="965" spans="2:43" ht="17.45" hidden="1" customHeight="1" outlineLevel="1">
      <c r="B965" s="1172"/>
      <c r="C965" s="110" t="s">
        <v>67</v>
      </c>
      <c r="D965" s="111">
        <f t="shared" si="1343"/>
        <v>0</v>
      </c>
      <c r="E965" s="111">
        <f t="shared" si="1344"/>
        <v>0</v>
      </c>
      <c r="F965" s="111">
        <f t="shared" si="1345"/>
        <v>0</v>
      </c>
      <c r="G965" s="112" t="str">
        <f t="shared" si="1331"/>
        <v/>
      </c>
      <c r="H965" s="112" t="str">
        <f t="shared" si="1346"/>
        <v/>
      </c>
      <c r="I965" s="112" t="str">
        <f t="shared" si="1347"/>
        <v/>
      </c>
      <c r="J965" s="111">
        <f t="shared" si="1348"/>
        <v>0</v>
      </c>
      <c r="K965" s="111">
        <f t="shared" si="1349"/>
        <v>0</v>
      </c>
      <c r="L965" s="111">
        <f t="shared" si="1350"/>
        <v>0</v>
      </c>
      <c r="O965" s="125" t="str">
        <f t="shared" si="1356"/>
        <v>OCI SE</v>
      </c>
      <c r="P965" s="126">
        <f t="shared" si="1351"/>
        <v>0</v>
      </c>
      <c r="Q965" s="111">
        <f t="shared" si="1352"/>
        <v>0</v>
      </c>
      <c r="R965" s="126" t="str">
        <f t="shared" si="1335"/>
        <v/>
      </c>
      <c r="S965" s="122"/>
      <c r="T965" s="125" t="str">
        <f t="shared" si="1353"/>
        <v>OCI SE</v>
      </c>
      <c r="U965" s="126">
        <f t="shared" si="1353"/>
        <v>0</v>
      </c>
      <c r="V965" s="111">
        <f t="shared" si="1353"/>
        <v>0</v>
      </c>
      <c r="W965" s="127" t="str">
        <f t="shared" si="1337"/>
        <v/>
      </c>
      <c r="X965" s="148">
        <f t="shared" si="1354"/>
        <v>0</v>
      </c>
      <c r="Y965" s="111"/>
      <c r="Z965" s="155" t="str">
        <f t="shared" si="1339"/>
        <v/>
      </c>
      <c r="AA965" s="215">
        <f t="shared" si="1355"/>
        <v>0</v>
      </c>
      <c r="AN965" s="335"/>
      <c r="AO965" s="336">
        <f t="shared" si="1359"/>
        <v>0</v>
      </c>
      <c r="AP965" s="452"/>
    </row>
    <row r="966" spans="2:43" ht="17.45" hidden="1" customHeight="1" outlineLevel="1">
      <c r="B966" s="1172"/>
      <c r="C966" s="110" t="s">
        <v>37</v>
      </c>
      <c r="D966" s="111">
        <f t="shared" si="1343"/>
        <v>0</v>
      </c>
      <c r="E966" s="111">
        <f t="shared" si="1344"/>
        <v>0</v>
      </c>
      <c r="F966" s="111">
        <f t="shared" si="1345"/>
        <v>0</v>
      </c>
      <c r="G966" s="112" t="str">
        <f t="shared" si="1331"/>
        <v/>
      </c>
      <c r="H966" s="112" t="str">
        <f t="shared" si="1346"/>
        <v/>
      </c>
      <c r="I966" s="112" t="str">
        <f t="shared" si="1347"/>
        <v/>
      </c>
      <c r="J966" s="111">
        <f t="shared" si="1348"/>
        <v>0</v>
      </c>
      <c r="K966" s="111">
        <f t="shared" si="1349"/>
        <v>0</v>
      </c>
      <c r="L966" s="111">
        <f t="shared" si="1350"/>
        <v>0</v>
      </c>
      <c r="O966" s="125" t="str">
        <f t="shared" si="1356"/>
        <v>청해소재</v>
      </c>
      <c r="P966" s="126">
        <f t="shared" si="1351"/>
        <v>0</v>
      </c>
      <c r="Q966" s="111">
        <f t="shared" si="1352"/>
        <v>0</v>
      </c>
      <c r="R966" s="126" t="str">
        <f t="shared" si="1335"/>
        <v/>
      </c>
      <c r="S966" s="122"/>
      <c r="T966" s="125" t="str">
        <f t="shared" si="1353"/>
        <v>청해소재</v>
      </c>
      <c r="U966" s="126">
        <f t="shared" si="1353"/>
        <v>0</v>
      </c>
      <c r="V966" s="111">
        <f t="shared" si="1353"/>
        <v>0</v>
      </c>
      <c r="W966" s="127" t="str">
        <f t="shared" si="1337"/>
        <v/>
      </c>
      <c r="X966" s="148">
        <f t="shared" si="1354"/>
        <v>0</v>
      </c>
      <c r="Y966" s="111"/>
      <c r="Z966" s="155" t="str">
        <f>IFERROR(IF(X966=0,"",X966/Y966),"")</f>
        <v/>
      </c>
      <c r="AA966" s="215">
        <f t="shared" si="1355"/>
        <v>0</v>
      </c>
      <c r="AN966" s="335"/>
      <c r="AO966" s="336">
        <f t="shared" si="1359"/>
        <v>0</v>
      </c>
      <c r="AP966" s="452"/>
      <c r="AQ966" s="240" t="s">
        <v>157</v>
      </c>
    </row>
    <row r="967" spans="2:43" ht="17.45" hidden="1" customHeight="1" outlineLevel="1">
      <c r="B967" s="1172"/>
      <c r="C967" s="110" t="s">
        <v>365</v>
      </c>
      <c r="D967" s="111">
        <f t="shared" si="1343"/>
        <v>0</v>
      </c>
      <c r="E967" s="111">
        <f t="shared" si="1344"/>
        <v>0</v>
      </c>
      <c r="F967" s="111">
        <f t="shared" si="1345"/>
        <v>0</v>
      </c>
      <c r="G967" s="112" t="str">
        <f t="shared" si="1331"/>
        <v/>
      </c>
      <c r="H967" s="112" t="str">
        <f t="shared" si="1346"/>
        <v/>
      </c>
      <c r="I967" s="112" t="str">
        <f t="shared" si="1347"/>
        <v/>
      </c>
      <c r="J967" s="111">
        <f t="shared" si="1348"/>
        <v>0</v>
      </c>
      <c r="K967" s="111">
        <f t="shared" si="1349"/>
        <v>0</v>
      </c>
      <c r="L967" s="111">
        <f t="shared" si="1350"/>
        <v>0</v>
      </c>
      <c r="O967" s="125" t="str">
        <f t="shared" si="1356"/>
        <v>김천에너지</v>
      </c>
      <c r="P967" s="126">
        <f t="shared" si="1351"/>
        <v>0</v>
      </c>
      <c r="Q967" s="111">
        <f t="shared" si="1352"/>
        <v>0</v>
      </c>
      <c r="R967" s="126" t="str">
        <f t="shared" si="1335"/>
        <v/>
      </c>
      <c r="S967" s="122"/>
      <c r="T967" s="125" t="str">
        <f t="shared" si="1353"/>
        <v>김천에너지</v>
      </c>
      <c r="U967" s="126">
        <f t="shared" si="1353"/>
        <v>0</v>
      </c>
      <c r="V967" s="111">
        <f t="shared" si="1353"/>
        <v>0</v>
      </c>
      <c r="W967" s="127" t="str">
        <f t="shared" si="1337"/>
        <v/>
      </c>
      <c r="X967" s="148">
        <f t="shared" si="1354"/>
        <v>0</v>
      </c>
      <c r="Y967" s="111"/>
      <c r="Z967" s="155" t="str">
        <f t="shared" ref="Z967:Z976" si="1360">IFERROR(IF(X967=0,"",X967/Y967),"")</f>
        <v/>
      </c>
      <c r="AA967" s="215">
        <f t="shared" si="1355"/>
        <v>0</v>
      </c>
      <c r="AN967" s="335"/>
      <c r="AO967" s="336">
        <f t="shared" si="1359"/>
        <v>0</v>
      </c>
      <c r="AP967" s="452"/>
    </row>
    <row r="968" spans="2:43" ht="17.45" hidden="1" customHeight="1" outlineLevel="1">
      <c r="B968" s="1172"/>
      <c r="C968" s="110" t="s">
        <v>107</v>
      </c>
      <c r="D968" s="111">
        <f t="shared" si="1343"/>
        <v>0</v>
      </c>
      <c r="E968" s="111">
        <f t="shared" si="1344"/>
        <v>0</v>
      </c>
      <c r="F968" s="111">
        <f t="shared" si="1345"/>
        <v>0</v>
      </c>
      <c r="G968" s="112" t="str">
        <f t="shared" si="1331"/>
        <v/>
      </c>
      <c r="H968" s="112" t="str">
        <f t="shared" si="1346"/>
        <v/>
      </c>
      <c r="I968" s="112" t="str">
        <f t="shared" si="1347"/>
        <v/>
      </c>
      <c r="J968" s="111">
        <f t="shared" si="1348"/>
        <v>0</v>
      </c>
      <c r="K968" s="111">
        <f t="shared" si="1349"/>
        <v>0</v>
      </c>
      <c r="L968" s="111">
        <f t="shared" si="1350"/>
        <v>0</v>
      </c>
      <c r="O968" s="125" t="str">
        <f t="shared" si="1356"/>
        <v>대구염색공단</v>
      </c>
      <c r="P968" s="126">
        <f t="shared" si="1351"/>
        <v>0</v>
      </c>
      <c r="Q968" s="111">
        <f t="shared" si="1352"/>
        <v>0</v>
      </c>
      <c r="R968" s="126" t="str">
        <f t="shared" si="1335"/>
        <v/>
      </c>
      <c r="S968" s="122"/>
      <c r="T968" s="125" t="str">
        <f t="shared" si="1353"/>
        <v>대구염색공단</v>
      </c>
      <c r="U968" s="126">
        <f t="shared" si="1353"/>
        <v>0</v>
      </c>
      <c r="V968" s="111">
        <f t="shared" si="1353"/>
        <v>0</v>
      </c>
      <c r="W968" s="127" t="str">
        <f t="shared" si="1337"/>
        <v/>
      </c>
      <c r="X968" s="148">
        <f t="shared" si="1354"/>
        <v>0</v>
      </c>
      <c r="Y968" s="111"/>
      <c r="Z968" s="155" t="str">
        <f t="shared" si="1360"/>
        <v/>
      </c>
      <c r="AA968" s="215">
        <f t="shared" si="1355"/>
        <v>0</v>
      </c>
      <c r="AN968" s="335"/>
      <c r="AO968" s="336">
        <f t="shared" si="1359"/>
        <v>0</v>
      </c>
      <c r="AP968" s="452"/>
    </row>
    <row r="969" spans="2:43" ht="17.45" hidden="1" customHeight="1" outlineLevel="1">
      <c r="B969" s="1172"/>
      <c r="C969" s="110" t="s">
        <v>108</v>
      </c>
      <c r="D969" s="111">
        <f t="shared" si="1343"/>
        <v>0</v>
      </c>
      <c r="E969" s="111">
        <f t="shared" si="1344"/>
        <v>0</v>
      </c>
      <c r="F969" s="111">
        <f t="shared" si="1345"/>
        <v>0</v>
      </c>
      <c r="G969" s="112" t="str">
        <f t="shared" si="1331"/>
        <v/>
      </c>
      <c r="H969" s="112" t="str">
        <f t="shared" si="1346"/>
        <v/>
      </c>
      <c r="I969" s="112" t="str">
        <f t="shared" si="1347"/>
        <v/>
      </c>
      <c r="J969" s="111">
        <f t="shared" si="1348"/>
        <v>0</v>
      </c>
      <c r="K969" s="111">
        <f t="shared" si="1349"/>
        <v>0</v>
      </c>
      <c r="L969" s="111">
        <f t="shared" si="1350"/>
        <v>0</v>
      </c>
      <c r="O969" s="125" t="str">
        <f t="shared" si="1356"/>
        <v>SNNC(니켈)</v>
      </c>
      <c r="P969" s="126">
        <f t="shared" si="1351"/>
        <v>0</v>
      </c>
      <c r="Q969" s="111">
        <f t="shared" si="1352"/>
        <v>0</v>
      </c>
      <c r="R969" s="126" t="str">
        <f t="shared" si="1335"/>
        <v/>
      </c>
      <c r="S969" s="122"/>
      <c r="T969" s="125" t="str">
        <f t="shared" si="1353"/>
        <v>SNNC(니켈)</v>
      </c>
      <c r="U969" s="126">
        <f t="shared" si="1353"/>
        <v>0</v>
      </c>
      <c r="V969" s="111">
        <f t="shared" si="1353"/>
        <v>0</v>
      </c>
      <c r="W969" s="127" t="str">
        <f t="shared" si="1337"/>
        <v/>
      </c>
      <c r="X969" s="148">
        <f t="shared" si="1354"/>
        <v>0</v>
      </c>
      <c r="Y969" s="111"/>
      <c r="Z969" s="155" t="str">
        <f t="shared" si="1360"/>
        <v/>
      </c>
      <c r="AA969" s="215">
        <f t="shared" si="1355"/>
        <v>0</v>
      </c>
      <c r="AN969" s="335"/>
      <c r="AO969" s="336">
        <f t="shared" si="1359"/>
        <v>0</v>
      </c>
      <c r="AP969" s="452"/>
      <c r="AQ969" s="57"/>
    </row>
    <row r="970" spans="2:43" ht="17.45" hidden="1" customHeight="1" outlineLevel="1">
      <c r="B970" s="1172"/>
      <c r="C970" s="110" t="s">
        <v>130</v>
      </c>
      <c r="D970" s="111">
        <f t="shared" si="1343"/>
        <v>0</v>
      </c>
      <c r="E970" s="111">
        <f t="shared" si="1344"/>
        <v>0</v>
      </c>
      <c r="F970" s="111">
        <f t="shared" si="1345"/>
        <v>0</v>
      </c>
      <c r="G970" s="112" t="str">
        <f t="shared" si="1331"/>
        <v/>
      </c>
      <c r="H970" s="112" t="str">
        <f t="shared" si="1346"/>
        <v/>
      </c>
      <c r="I970" s="112" t="str">
        <f t="shared" si="1347"/>
        <v/>
      </c>
      <c r="J970" s="111">
        <f t="shared" si="1348"/>
        <v>0</v>
      </c>
      <c r="K970" s="111">
        <f t="shared" si="1349"/>
        <v>0</v>
      </c>
      <c r="L970" s="111">
        <f t="shared" si="1350"/>
        <v>0</v>
      </c>
      <c r="O970" s="125" t="str">
        <f t="shared" si="1356"/>
        <v>SK-N(고려시멘트)</v>
      </c>
      <c r="P970" s="126">
        <f t="shared" si="1351"/>
        <v>0</v>
      </c>
      <c r="Q970" s="111">
        <f t="shared" si="1352"/>
        <v>0</v>
      </c>
      <c r="R970" s="126" t="str">
        <f t="shared" si="1335"/>
        <v/>
      </c>
      <c r="S970" s="122"/>
      <c r="T970" s="125" t="str">
        <f t="shared" si="1353"/>
        <v>SK-N(고려시멘트)</v>
      </c>
      <c r="U970" s="126">
        <f t="shared" si="1353"/>
        <v>0</v>
      </c>
      <c r="V970" s="111">
        <f t="shared" si="1353"/>
        <v>0</v>
      </c>
      <c r="W970" s="127" t="str">
        <f t="shared" si="1337"/>
        <v/>
      </c>
      <c r="X970" s="148">
        <f t="shared" si="1354"/>
        <v>0</v>
      </c>
      <c r="Y970" s="111"/>
      <c r="Z970" s="155" t="str">
        <f t="shared" si="1360"/>
        <v/>
      </c>
      <c r="AA970" s="215">
        <f t="shared" si="1355"/>
        <v>0</v>
      </c>
      <c r="AN970" s="335"/>
      <c r="AO970" s="336">
        <f t="shared" si="1359"/>
        <v>0</v>
      </c>
      <c r="AP970" s="452"/>
      <c r="AQ970" s="57"/>
    </row>
    <row r="971" spans="2:43" ht="17.45" hidden="1" customHeight="1" outlineLevel="1">
      <c r="B971" s="1172"/>
      <c r="C971" s="110" t="s">
        <v>68</v>
      </c>
      <c r="D971" s="111">
        <f t="shared" si="1343"/>
        <v>0</v>
      </c>
      <c r="E971" s="111">
        <f t="shared" si="1344"/>
        <v>0</v>
      </c>
      <c r="F971" s="111">
        <f t="shared" si="1345"/>
        <v>0</v>
      </c>
      <c r="G971" s="112" t="str">
        <f t="shared" si="1331"/>
        <v/>
      </c>
      <c r="H971" s="112" t="str">
        <f t="shared" si="1346"/>
        <v/>
      </c>
      <c r="I971" s="112" t="str">
        <f t="shared" si="1347"/>
        <v/>
      </c>
      <c r="J971" s="111">
        <f t="shared" si="1348"/>
        <v>0</v>
      </c>
      <c r="K971" s="111">
        <f t="shared" si="1349"/>
        <v>0</v>
      </c>
      <c r="L971" s="111">
        <f t="shared" si="1350"/>
        <v>0</v>
      </c>
      <c r="O971" s="125" t="str">
        <f t="shared" si="1356"/>
        <v>SNNC</v>
      </c>
      <c r="P971" s="126">
        <f t="shared" si="1351"/>
        <v>0</v>
      </c>
      <c r="Q971" s="111">
        <f t="shared" si="1352"/>
        <v>0</v>
      </c>
      <c r="R971" s="126" t="str">
        <f t="shared" si="1335"/>
        <v/>
      </c>
      <c r="S971" s="122"/>
      <c r="T971" s="125" t="str">
        <f t="shared" si="1353"/>
        <v>SNNC</v>
      </c>
      <c r="U971" s="126">
        <f t="shared" si="1353"/>
        <v>0</v>
      </c>
      <c r="V971" s="111">
        <f t="shared" si="1353"/>
        <v>0</v>
      </c>
      <c r="W971" s="127" t="str">
        <f t="shared" si="1337"/>
        <v/>
      </c>
      <c r="X971" s="148">
        <f t="shared" si="1354"/>
        <v>0</v>
      </c>
      <c r="Y971" s="111"/>
      <c r="Z971" s="155" t="str">
        <f t="shared" si="1360"/>
        <v/>
      </c>
      <c r="AA971" s="215">
        <f t="shared" si="1355"/>
        <v>0</v>
      </c>
      <c r="AN971" s="335"/>
      <c r="AO971" s="336">
        <f t="shared" si="1359"/>
        <v>0</v>
      </c>
      <c r="AP971" s="452"/>
      <c r="AQ971" s="57"/>
    </row>
    <row r="972" spans="2:43" ht="17.45" hidden="1" customHeight="1" outlineLevel="1" thickBot="1">
      <c r="B972" s="1172"/>
      <c r="C972" s="113" t="s">
        <v>61</v>
      </c>
      <c r="D972" s="114">
        <f>SUM(D957:D971)</f>
        <v>0</v>
      </c>
      <c r="E972" s="179">
        <f>SUM(E957:E971)</f>
        <v>0</v>
      </c>
      <c r="F972" s="114">
        <f>SUM(F957:F971)</f>
        <v>0</v>
      </c>
      <c r="G972" s="115" t="str">
        <f t="shared" si="1331"/>
        <v/>
      </c>
      <c r="H972" s="185" t="str">
        <f>IFERROR(E972/F972,"")</f>
        <v/>
      </c>
      <c r="I972" s="115" t="str">
        <f>IFERROR(G972+H972,"")</f>
        <v/>
      </c>
      <c r="J972" s="114">
        <f t="shared" ref="J972:L972" si="1361">SUM(J957:J971)</f>
        <v>0</v>
      </c>
      <c r="K972" s="114">
        <f t="shared" si="1361"/>
        <v>0</v>
      </c>
      <c r="L972" s="114">
        <f t="shared" si="1361"/>
        <v>0</v>
      </c>
      <c r="O972" s="128" t="s">
        <v>61</v>
      </c>
      <c r="P972" s="129">
        <f>SUM(P957:P971)</f>
        <v>0</v>
      </c>
      <c r="Q972" s="114">
        <f>SUM(Q957:Q971)</f>
        <v>0</v>
      </c>
      <c r="R972" s="129" t="str">
        <f t="shared" si="1335"/>
        <v/>
      </c>
      <c r="S972" s="122"/>
      <c r="T972" s="128" t="s">
        <v>61</v>
      </c>
      <c r="U972" s="129">
        <f>SUM(U957:U971)</f>
        <v>0</v>
      </c>
      <c r="V972" s="114">
        <f>SUM(V957:V971)</f>
        <v>0</v>
      </c>
      <c r="W972" s="130" t="str">
        <f>IFERROR(U972/V972,"")</f>
        <v/>
      </c>
      <c r="X972" s="179">
        <f>SUM(X957:X971)</f>
        <v>0</v>
      </c>
      <c r="Y972" s="114">
        <f>SUM(Y957:Y971)</f>
        <v>0</v>
      </c>
      <c r="Z972" s="176" t="str">
        <f t="shared" si="1360"/>
        <v/>
      </c>
      <c r="AA972" s="213">
        <f>SUM(AA957:AA971)</f>
        <v>0</v>
      </c>
      <c r="AN972" s="341">
        <f>SUM(AN957:AN971)</f>
        <v>0</v>
      </c>
      <c r="AO972" s="341">
        <f>SUM(AO957:AO971)</f>
        <v>0</v>
      </c>
      <c r="AP972" s="455"/>
      <c r="AQ972" s="57"/>
    </row>
    <row r="973" spans="2:43" ht="17.45" hidden="1" customHeight="1" outlineLevel="1" thickBot="1">
      <c r="B973" s="1106" t="s">
        <v>57</v>
      </c>
      <c r="C973" s="1106"/>
      <c r="D973" s="147">
        <f>SUM(D972,D956)</f>
        <v>0</v>
      </c>
      <c r="E973" s="182">
        <f>SUM(E972,E956)</f>
        <v>0</v>
      </c>
      <c r="F973" s="149">
        <f>SUM(F972,F956)</f>
        <v>0</v>
      </c>
      <c r="G973" s="183" t="str">
        <f t="shared" si="1331"/>
        <v/>
      </c>
      <c r="H973" s="186" t="str">
        <f>IFERROR(E973/F973,"")</f>
        <v/>
      </c>
      <c r="I973" s="184" t="str">
        <f>IFERROR(G973+H973,"")</f>
        <v/>
      </c>
      <c r="J973" s="116">
        <f t="shared" ref="J973:L973" si="1362">SUM(J972,J956)</f>
        <v>0</v>
      </c>
      <c r="K973" s="116">
        <f t="shared" si="1362"/>
        <v>0</v>
      </c>
      <c r="L973" s="116">
        <f t="shared" si="1362"/>
        <v>0</v>
      </c>
      <c r="O973" s="131" t="s">
        <v>79</v>
      </c>
      <c r="P973" s="132">
        <f>SUM(P972,P956)</f>
        <v>0</v>
      </c>
      <c r="Q973" s="116">
        <f>SUM(Q972,Q956)</f>
        <v>0</v>
      </c>
      <c r="R973" s="132" t="str">
        <f>IFERROR(P973/Q973,"")</f>
        <v/>
      </c>
      <c r="S973" s="122"/>
      <c r="T973" s="131" t="s">
        <v>76</v>
      </c>
      <c r="U973" s="132">
        <f>SUM(U972,U956)</f>
        <v>0</v>
      </c>
      <c r="V973" s="147">
        <f>SUM(V972,V956)</f>
        <v>0</v>
      </c>
      <c r="W973" s="173" t="str">
        <f t="shared" ref="W973:W974" si="1363">IFERROR(U973/V973,"")</f>
        <v/>
      </c>
      <c r="X973" s="182">
        <f>SUM(X956,X972)</f>
        <v>0</v>
      </c>
      <c r="Y973" s="175">
        <f>SUM(Y956,Y972)</f>
        <v>0</v>
      </c>
      <c r="Z973" s="178" t="str">
        <f t="shared" si="1360"/>
        <v/>
      </c>
      <c r="AA973" s="214">
        <f>SUM(AA956,AA972)</f>
        <v>0</v>
      </c>
      <c r="AN973" s="342">
        <f>SUM(AN956,AN972)</f>
        <v>0</v>
      </c>
      <c r="AO973" s="342">
        <f>SUM(AO956,AO972)</f>
        <v>0</v>
      </c>
      <c r="AP973" s="456"/>
      <c r="AQ973" s="57"/>
    </row>
    <row r="974" spans="2:43" ht="17.45" hidden="1" customHeight="1" outlineLevel="1">
      <c r="D974" s="344" t="str">
        <f>IF(D973=L199,"","CHECK")</f>
        <v/>
      </c>
      <c r="E974" s="344" t="str">
        <f>IF(E973=M199,"","CHECK")</f>
        <v/>
      </c>
      <c r="F974" s="344" t="str">
        <f>IF(F973=N199,"","CHECK")</f>
        <v/>
      </c>
      <c r="O974" s="134" t="s">
        <v>77</v>
      </c>
      <c r="P974" s="126"/>
      <c r="Q974" s="126"/>
      <c r="R974" s="126" t="str">
        <f>IFERROR(P974/Q974,"")</f>
        <v/>
      </c>
      <c r="S974" s="122"/>
      <c r="T974" s="134" t="s">
        <v>77</v>
      </c>
      <c r="U974" s="126"/>
      <c r="V974" s="111"/>
      <c r="W974" s="135" t="str">
        <f t="shared" si="1363"/>
        <v/>
      </c>
      <c r="X974" s="180"/>
      <c r="Y974" s="126"/>
      <c r="Z974" s="181" t="str">
        <f t="shared" si="1360"/>
        <v/>
      </c>
      <c r="AA974" s="216">
        <f>X974-Y974</f>
        <v>0</v>
      </c>
      <c r="AN974" s="335"/>
      <c r="AO974" s="336">
        <f t="shared" ref="AO974:AO975" si="1364">X974-Y974</f>
        <v>0</v>
      </c>
      <c r="AP974" s="452"/>
      <c r="AQ974" s="57"/>
    </row>
    <row r="975" spans="2:43" ht="17.45" hidden="1" customHeight="1" outlineLevel="1">
      <c r="T975" s="345" t="s">
        <v>109</v>
      </c>
      <c r="U975" s="345"/>
      <c r="V975" s="328"/>
      <c r="W975" s="355"/>
      <c r="X975" s="355">
        <f>G990</f>
        <v>0</v>
      </c>
      <c r="Y975" s="347"/>
      <c r="Z975" s="155" t="str">
        <f t="shared" si="1360"/>
        <v/>
      </c>
      <c r="AA975" s="215">
        <f>X975-Y975</f>
        <v>0</v>
      </c>
      <c r="AN975" s="335"/>
      <c r="AO975" s="336">
        <f t="shared" si="1364"/>
        <v>0</v>
      </c>
      <c r="AP975" s="452"/>
      <c r="AQ975" s="57"/>
    </row>
    <row r="976" spans="2:43" ht="17.45" hidden="1" customHeight="1" outlineLevel="1">
      <c r="B976" s="1173" t="s">
        <v>80</v>
      </c>
      <c r="C976" s="1177" t="s">
        <v>52</v>
      </c>
      <c r="D976" s="1177"/>
      <c r="E976" s="1177"/>
      <c r="F976" s="1177" t="s">
        <v>73</v>
      </c>
      <c r="G976" s="1177" t="s">
        <v>75</v>
      </c>
      <c r="H976" s="1177" t="s">
        <v>95</v>
      </c>
      <c r="I976" s="119"/>
      <c r="J976" s="1173" t="s">
        <v>132</v>
      </c>
      <c r="K976" s="1174" t="s">
        <v>124</v>
      </c>
      <c r="L976" s="1174"/>
      <c r="M976" s="1174"/>
      <c r="N976" s="1174" t="s">
        <v>75</v>
      </c>
      <c r="O976" s="1174"/>
      <c r="P976" s="1174"/>
      <c r="Q976" s="1175" t="s">
        <v>72</v>
      </c>
      <c r="R976" s="1175" t="s">
        <v>73</v>
      </c>
      <c r="S976" s="1175" t="s">
        <v>74</v>
      </c>
      <c r="T976" s="262" t="s">
        <v>110</v>
      </c>
      <c r="U976" s="262"/>
      <c r="V976" s="334"/>
      <c r="W976" s="356"/>
      <c r="X976" s="356">
        <f>SUM(X973,X974,X975)</f>
        <v>0</v>
      </c>
      <c r="Y976" s="354">
        <f>SUM(Y973,Y975)</f>
        <v>0</v>
      </c>
      <c r="Z976" s="158" t="str">
        <f t="shared" si="1360"/>
        <v/>
      </c>
      <c r="AA976" s="357">
        <f>SUM(AA973,AA974,AA975)</f>
        <v>0</v>
      </c>
      <c r="AN976" s="342">
        <f>SUM(AN973,AN975)</f>
        <v>0</v>
      </c>
      <c r="AO976" s="342">
        <f>SUM(AO973,AO975)</f>
        <v>0</v>
      </c>
      <c r="AP976" s="456"/>
      <c r="AQ976" s="57"/>
    </row>
    <row r="977" spans="2:43" ht="17.45" hidden="1" customHeight="1" outlineLevel="1">
      <c r="B977" s="1173"/>
      <c r="C977" s="628" t="s">
        <v>55</v>
      </c>
      <c r="D977" s="628" t="s">
        <v>56</v>
      </c>
      <c r="E977" s="628" t="s">
        <v>57</v>
      </c>
      <c r="F977" s="1177"/>
      <c r="G977" s="1177"/>
      <c r="H977" s="1177"/>
      <c r="I977" s="119"/>
      <c r="J977" s="1173"/>
      <c r="K977" s="627" t="s">
        <v>125</v>
      </c>
      <c r="L977" s="627" t="s">
        <v>126</v>
      </c>
      <c r="M977" s="627" t="s">
        <v>123</v>
      </c>
      <c r="N977" s="627" t="s">
        <v>125</v>
      </c>
      <c r="O977" s="627" t="s">
        <v>126</v>
      </c>
      <c r="P977" s="627" t="s">
        <v>123</v>
      </c>
      <c r="Q977" s="1176"/>
      <c r="R977" s="1176"/>
      <c r="S977" s="1176"/>
      <c r="AQ977" s="57"/>
    </row>
    <row r="978" spans="2:43" ht="17.45" hidden="1" customHeight="1" outlineLevel="1">
      <c r="B978" s="139" t="s">
        <v>81</v>
      </c>
      <c r="C978" s="111">
        <f t="shared" ref="C978:C988" si="1365">SUMIF($R$176:$R$199,B978,$L$176:$L$199)</f>
        <v>0</v>
      </c>
      <c r="D978" s="111">
        <f t="shared" ref="D978:D988" si="1366">SUMIF($R$176:$R$199,B978,$M$176:$M$199)</f>
        <v>0</v>
      </c>
      <c r="E978" s="111">
        <f>C978+D978</f>
        <v>0</v>
      </c>
      <c r="F978" s="111">
        <f t="shared" ref="F978:F988" si="1367">SUMIF($R$176:$R$199,B978,$AZ$176:$AZ$199)</f>
        <v>0</v>
      </c>
      <c r="G978" s="111">
        <f>E978/1000</f>
        <v>0</v>
      </c>
      <c r="H978" s="111"/>
      <c r="I978" s="119"/>
      <c r="J978" s="139" t="s">
        <v>117</v>
      </c>
      <c r="K978" s="111">
        <f t="shared" ref="K978:K985" si="1368">SUMIF($Q$176:$Q$199,J978,$L$176:$L$199)</f>
        <v>0</v>
      </c>
      <c r="L978" s="111">
        <f t="shared" ref="L978:L985" si="1369">SUMIF($Q$176:$Q$199,J978,$M$176:$M$199)</f>
        <v>0</v>
      </c>
      <c r="M978" s="202">
        <f>K978+L978</f>
        <v>0</v>
      </c>
      <c r="N978" s="202">
        <f>K978/1000</f>
        <v>0</v>
      </c>
      <c r="O978" s="202">
        <f>L978/1000</f>
        <v>0</v>
      </c>
      <c r="P978" s="202">
        <f>N978+O978</f>
        <v>0</v>
      </c>
      <c r="Q978" s="358">
        <f t="shared" ref="Q978:Q985" si="1370">SUMIF($Q$176:$Q$199,J978,$I$176:$I$199)</f>
        <v>0</v>
      </c>
      <c r="R978" s="111">
        <f t="shared" ref="R978:R985" si="1371">SUMIF($Q$176:$Q$199,J978,$AZ$176:$AZ$199)</f>
        <v>0</v>
      </c>
      <c r="S978" s="126" t="str">
        <f>IFERROR(Q978/R978,"")</f>
        <v/>
      </c>
      <c r="AQ978" s="57"/>
    </row>
    <row r="979" spans="2:43" ht="17.45" hidden="1" customHeight="1" outlineLevel="1">
      <c r="B979" s="139" t="s">
        <v>82</v>
      </c>
      <c r="C979" s="111">
        <f t="shared" si="1365"/>
        <v>0</v>
      </c>
      <c r="D979" s="111">
        <f t="shared" si="1366"/>
        <v>0</v>
      </c>
      <c r="E979" s="111">
        <f t="shared" ref="E979:E988" si="1372">C979+D979</f>
        <v>0</v>
      </c>
      <c r="F979" s="111">
        <f t="shared" si="1367"/>
        <v>0</v>
      </c>
      <c r="G979" s="111">
        <f t="shared" ref="G979:G988" si="1373">E979/1000</f>
        <v>0</v>
      </c>
      <c r="H979" s="111"/>
      <c r="I979" s="119"/>
      <c r="J979" s="139" t="s">
        <v>118</v>
      </c>
      <c r="K979" s="111">
        <f t="shared" si="1368"/>
        <v>0</v>
      </c>
      <c r="L979" s="111">
        <f t="shared" si="1369"/>
        <v>0</v>
      </c>
      <c r="M979" s="202">
        <f t="shared" ref="M979:M985" si="1374">K979+L979</f>
        <v>0</v>
      </c>
      <c r="N979" s="202">
        <f t="shared" ref="N979:O985" si="1375">K979/1000</f>
        <v>0</v>
      </c>
      <c r="O979" s="202">
        <f t="shared" si="1375"/>
        <v>0</v>
      </c>
      <c r="P979" s="202">
        <f t="shared" ref="P979:P985" si="1376">N979+O979</f>
        <v>0</v>
      </c>
      <c r="Q979" s="358">
        <f t="shared" si="1370"/>
        <v>0</v>
      </c>
      <c r="R979" s="111">
        <f t="shared" si="1371"/>
        <v>0</v>
      </c>
      <c r="S979" s="126" t="str">
        <f t="shared" ref="S979:S985" si="1377">IFERROR(Q979/R979,"")</f>
        <v/>
      </c>
      <c r="AQ979" s="57"/>
    </row>
    <row r="980" spans="2:43" ht="17.45" hidden="1" customHeight="1" outlineLevel="1">
      <c r="B980" s="139" t="s">
        <v>83</v>
      </c>
      <c r="C980" s="111">
        <f t="shared" si="1365"/>
        <v>0</v>
      </c>
      <c r="D980" s="111">
        <f t="shared" si="1366"/>
        <v>0</v>
      </c>
      <c r="E980" s="111">
        <f t="shared" si="1372"/>
        <v>0</v>
      </c>
      <c r="F980" s="111">
        <f t="shared" si="1367"/>
        <v>0</v>
      </c>
      <c r="G980" s="111">
        <f t="shared" si="1373"/>
        <v>0</v>
      </c>
      <c r="H980" s="111"/>
      <c r="I980" s="119"/>
      <c r="J980" s="139" t="s">
        <v>119</v>
      </c>
      <c r="K980" s="111">
        <f t="shared" si="1368"/>
        <v>0</v>
      </c>
      <c r="L980" s="111">
        <f t="shared" si="1369"/>
        <v>0</v>
      </c>
      <c r="M980" s="202">
        <f t="shared" si="1374"/>
        <v>0</v>
      </c>
      <c r="N980" s="202">
        <f t="shared" si="1375"/>
        <v>0</v>
      </c>
      <c r="O980" s="202">
        <f t="shared" si="1375"/>
        <v>0</v>
      </c>
      <c r="P980" s="202">
        <f t="shared" si="1376"/>
        <v>0</v>
      </c>
      <c r="Q980" s="358">
        <f t="shared" si="1370"/>
        <v>0</v>
      </c>
      <c r="R980" s="111">
        <f t="shared" si="1371"/>
        <v>0</v>
      </c>
      <c r="S980" s="126" t="str">
        <f t="shared" si="1377"/>
        <v/>
      </c>
      <c r="AQ980" s="57"/>
    </row>
    <row r="981" spans="2:43" ht="17.45" hidden="1" customHeight="1" outlineLevel="1">
      <c r="B981" s="139" t="s">
        <v>84</v>
      </c>
      <c r="C981" s="111">
        <f t="shared" si="1365"/>
        <v>0</v>
      </c>
      <c r="D981" s="111">
        <f t="shared" si="1366"/>
        <v>0</v>
      </c>
      <c r="E981" s="111">
        <f t="shared" si="1372"/>
        <v>0</v>
      </c>
      <c r="F981" s="111">
        <f t="shared" si="1367"/>
        <v>0</v>
      </c>
      <c r="G981" s="111">
        <f t="shared" si="1373"/>
        <v>0</v>
      </c>
      <c r="H981" s="111"/>
      <c r="I981" s="119"/>
      <c r="J981" s="139" t="s">
        <v>113</v>
      </c>
      <c r="K981" s="111">
        <f t="shared" si="1368"/>
        <v>0</v>
      </c>
      <c r="L981" s="111">
        <f t="shared" si="1369"/>
        <v>0</v>
      </c>
      <c r="M981" s="202">
        <f t="shared" si="1374"/>
        <v>0</v>
      </c>
      <c r="N981" s="202">
        <f t="shared" si="1375"/>
        <v>0</v>
      </c>
      <c r="O981" s="202">
        <f t="shared" si="1375"/>
        <v>0</v>
      </c>
      <c r="P981" s="202">
        <f t="shared" si="1376"/>
        <v>0</v>
      </c>
      <c r="Q981" s="358">
        <f t="shared" si="1370"/>
        <v>0</v>
      </c>
      <c r="R981" s="111">
        <f t="shared" si="1371"/>
        <v>0</v>
      </c>
      <c r="S981" s="126" t="str">
        <f t="shared" si="1377"/>
        <v/>
      </c>
      <c r="AQ981" s="57"/>
    </row>
    <row r="982" spans="2:43" ht="17.45" hidden="1" customHeight="1" outlineLevel="1">
      <c r="B982" s="139" t="s">
        <v>223</v>
      </c>
      <c r="C982" s="111">
        <f t="shared" si="1365"/>
        <v>0</v>
      </c>
      <c r="D982" s="111">
        <f t="shared" si="1366"/>
        <v>0</v>
      </c>
      <c r="E982" s="111">
        <f t="shared" si="1372"/>
        <v>0</v>
      </c>
      <c r="F982" s="111">
        <f t="shared" si="1367"/>
        <v>0</v>
      </c>
      <c r="G982" s="111">
        <f t="shared" si="1373"/>
        <v>0</v>
      </c>
      <c r="H982" s="111"/>
      <c r="I982" s="119"/>
      <c r="J982" s="139" t="s">
        <v>120</v>
      </c>
      <c r="K982" s="111">
        <f t="shared" si="1368"/>
        <v>0</v>
      </c>
      <c r="L982" s="111">
        <f t="shared" si="1369"/>
        <v>0</v>
      </c>
      <c r="M982" s="202">
        <f t="shared" si="1374"/>
        <v>0</v>
      </c>
      <c r="N982" s="202">
        <f t="shared" si="1375"/>
        <v>0</v>
      </c>
      <c r="O982" s="202">
        <f t="shared" si="1375"/>
        <v>0</v>
      </c>
      <c r="P982" s="202">
        <f t="shared" si="1376"/>
        <v>0</v>
      </c>
      <c r="Q982" s="358">
        <f t="shared" si="1370"/>
        <v>0</v>
      </c>
      <c r="R982" s="111">
        <f t="shared" si="1371"/>
        <v>0</v>
      </c>
      <c r="S982" s="126" t="str">
        <f t="shared" si="1377"/>
        <v/>
      </c>
      <c r="AQ982" s="57"/>
    </row>
    <row r="983" spans="2:43" ht="17.45" hidden="1" customHeight="1" outlineLevel="1">
      <c r="B983" s="139" t="s">
        <v>158</v>
      </c>
      <c r="C983" s="111">
        <f t="shared" si="1365"/>
        <v>0</v>
      </c>
      <c r="D983" s="111">
        <f t="shared" si="1366"/>
        <v>0</v>
      </c>
      <c r="E983" s="111">
        <f t="shared" si="1372"/>
        <v>0</v>
      </c>
      <c r="F983" s="111">
        <f t="shared" si="1367"/>
        <v>0</v>
      </c>
      <c r="G983" s="111">
        <f t="shared" si="1373"/>
        <v>0</v>
      </c>
      <c r="H983" s="111"/>
      <c r="I983" s="119"/>
      <c r="J983" s="139" t="s">
        <v>121</v>
      </c>
      <c r="K983" s="111">
        <f t="shared" si="1368"/>
        <v>0</v>
      </c>
      <c r="L983" s="111">
        <f t="shared" si="1369"/>
        <v>0</v>
      </c>
      <c r="M983" s="202">
        <f t="shared" si="1374"/>
        <v>0</v>
      </c>
      <c r="N983" s="202">
        <f t="shared" si="1375"/>
        <v>0</v>
      </c>
      <c r="O983" s="202">
        <f t="shared" si="1375"/>
        <v>0</v>
      </c>
      <c r="P983" s="202">
        <f t="shared" si="1376"/>
        <v>0</v>
      </c>
      <c r="Q983" s="358">
        <f t="shared" si="1370"/>
        <v>0</v>
      </c>
      <c r="R983" s="111">
        <f t="shared" si="1371"/>
        <v>0</v>
      </c>
      <c r="S983" s="126" t="str">
        <f t="shared" si="1377"/>
        <v/>
      </c>
      <c r="AQ983" s="57"/>
    </row>
    <row r="984" spans="2:43" ht="17.45" hidden="1" customHeight="1" outlineLevel="1">
      <c r="B984" s="139" t="s">
        <v>85</v>
      </c>
      <c r="C984" s="111">
        <f t="shared" si="1365"/>
        <v>0</v>
      </c>
      <c r="D984" s="111">
        <f t="shared" si="1366"/>
        <v>0</v>
      </c>
      <c r="E984" s="111">
        <f t="shared" si="1372"/>
        <v>0</v>
      </c>
      <c r="F984" s="111">
        <f t="shared" si="1367"/>
        <v>0</v>
      </c>
      <c r="G984" s="111">
        <f t="shared" si="1373"/>
        <v>0</v>
      </c>
      <c r="H984" s="111"/>
      <c r="I984" s="119"/>
      <c r="J984" s="139" t="s">
        <v>122</v>
      </c>
      <c r="K984" s="111">
        <f t="shared" si="1368"/>
        <v>0</v>
      </c>
      <c r="L984" s="111">
        <f t="shared" si="1369"/>
        <v>0</v>
      </c>
      <c r="M984" s="202">
        <f t="shared" si="1374"/>
        <v>0</v>
      </c>
      <c r="N984" s="202">
        <f t="shared" si="1375"/>
        <v>0</v>
      </c>
      <c r="O984" s="202">
        <f t="shared" si="1375"/>
        <v>0</v>
      </c>
      <c r="P984" s="202">
        <f t="shared" si="1376"/>
        <v>0</v>
      </c>
      <c r="Q984" s="358">
        <f t="shared" si="1370"/>
        <v>0</v>
      </c>
      <c r="R984" s="111">
        <f t="shared" si="1371"/>
        <v>0</v>
      </c>
      <c r="S984" s="126" t="str">
        <f t="shared" si="1377"/>
        <v/>
      </c>
      <c r="AQ984" s="57"/>
    </row>
    <row r="985" spans="2:43" ht="17.45" hidden="1" customHeight="1" outlineLevel="1">
      <c r="B985" s="139" t="s">
        <v>96</v>
      </c>
      <c r="C985" s="111">
        <f t="shared" si="1365"/>
        <v>0</v>
      </c>
      <c r="D985" s="111">
        <f t="shared" si="1366"/>
        <v>0</v>
      </c>
      <c r="E985" s="111">
        <f t="shared" si="1372"/>
        <v>0</v>
      </c>
      <c r="F985" s="111">
        <f t="shared" si="1367"/>
        <v>0</v>
      </c>
      <c r="G985" s="111">
        <f t="shared" si="1373"/>
        <v>0</v>
      </c>
      <c r="H985" s="111"/>
      <c r="I985" s="119"/>
      <c r="J985" s="139" t="s">
        <v>162</v>
      </c>
      <c r="K985" s="111">
        <f t="shared" si="1368"/>
        <v>0</v>
      </c>
      <c r="L985" s="111">
        <f t="shared" si="1369"/>
        <v>0</v>
      </c>
      <c r="M985" s="202">
        <f t="shared" si="1374"/>
        <v>0</v>
      </c>
      <c r="N985" s="202">
        <f t="shared" si="1375"/>
        <v>0</v>
      </c>
      <c r="O985" s="202">
        <f t="shared" si="1375"/>
        <v>0</v>
      </c>
      <c r="P985" s="202">
        <f t="shared" si="1376"/>
        <v>0</v>
      </c>
      <c r="Q985" s="358">
        <f t="shared" si="1370"/>
        <v>0</v>
      </c>
      <c r="R985" s="111">
        <f t="shared" si="1371"/>
        <v>0</v>
      </c>
      <c r="S985" s="126" t="str">
        <f t="shared" si="1377"/>
        <v/>
      </c>
      <c r="Z985" s="57"/>
      <c r="AA985" s="57"/>
      <c r="AB985" s="57"/>
      <c r="AC985" s="57"/>
      <c r="AD985" s="57"/>
      <c r="AE985" s="57"/>
      <c r="AF985" s="57"/>
      <c r="AG985" s="57"/>
      <c r="AH985" s="57"/>
      <c r="AI985" s="57"/>
      <c r="AJ985" s="57"/>
      <c r="AK985" s="57"/>
      <c r="AL985" s="57"/>
      <c r="AM985" s="57"/>
      <c r="AN985" s="57"/>
      <c r="AO985" s="57"/>
      <c r="AP985" s="57"/>
      <c r="AQ985" s="57"/>
    </row>
    <row r="986" spans="2:43" ht="17.45" hidden="1" customHeight="1" outlineLevel="1">
      <c r="B986" s="139" t="s">
        <v>86</v>
      </c>
      <c r="C986" s="111">
        <f t="shared" si="1365"/>
        <v>0</v>
      </c>
      <c r="D986" s="111">
        <f t="shared" si="1366"/>
        <v>0</v>
      </c>
      <c r="E986" s="111">
        <f t="shared" si="1372"/>
        <v>0</v>
      </c>
      <c r="F986" s="111">
        <f t="shared" si="1367"/>
        <v>0</v>
      </c>
      <c r="G986" s="111">
        <f t="shared" si="1373"/>
        <v>0</v>
      </c>
      <c r="H986" s="111"/>
      <c r="I986" s="119"/>
      <c r="J986" s="232" t="s">
        <v>123</v>
      </c>
      <c r="K986" s="203">
        <f>SUM(K978:K985)</f>
        <v>0</v>
      </c>
      <c r="L986" s="203">
        <f t="shared" ref="L986:M986" si="1378">SUM(L978:L985)</f>
        <v>0</v>
      </c>
      <c r="M986" s="203">
        <f t="shared" si="1378"/>
        <v>0</v>
      </c>
      <c r="N986" s="203">
        <f>SUM(N978:N985)</f>
        <v>0</v>
      </c>
      <c r="O986" s="203">
        <f t="shared" ref="O986:P986" si="1379">SUM(O978:O985)</f>
        <v>0</v>
      </c>
      <c r="P986" s="203">
        <f t="shared" si="1379"/>
        <v>0</v>
      </c>
      <c r="Q986" s="359">
        <f>SUM(Q978:Q985)</f>
        <v>0</v>
      </c>
      <c r="R986" s="359">
        <f>SUM(R978:R985)</f>
        <v>0</v>
      </c>
      <c r="S986" s="359" t="str">
        <f>IFERROR(Q986/R986,"")</f>
        <v/>
      </c>
      <c r="Z986" s="57"/>
      <c r="AA986" s="57"/>
      <c r="AB986" s="57"/>
      <c r="AC986" s="57"/>
      <c r="AD986" s="57"/>
      <c r="AE986" s="57"/>
      <c r="AF986" s="57"/>
      <c r="AG986" s="57"/>
      <c r="AH986" s="57"/>
      <c r="AI986" s="57"/>
      <c r="AJ986" s="57"/>
      <c r="AK986" s="57"/>
      <c r="AL986" s="57"/>
      <c r="AM986" s="57"/>
      <c r="AN986" s="57"/>
      <c r="AO986" s="57"/>
      <c r="AP986" s="57"/>
      <c r="AQ986" s="57"/>
    </row>
    <row r="987" spans="2:43" ht="17.45" hidden="1" customHeight="1" outlineLevel="1">
      <c r="B987" s="139" t="s">
        <v>169</v>
      </c>
      <c r="C987" s="111">
        <f t="shared" si="1365"/>
        <v>0</v>
      </c>
      <c r="D987" s="111">
        <f t="shared" si="1366"/>
        <v>0</v>
      </c>
      <c r="E987" s="111">
        <f t="shared" si="1372"/>
        <v>0</v>
      </c>
      <c r="F987" s="111">
        <f t="shared" si="1367"/>
        <v>0</v>
      </c>
      <c r="G987" s="111">
        <f t="shared" si="1373"/>
        <v>0</v>
      </c>
      <c r="H987" s="111"/>
      <c r="I987" s="119"/>
      <c r="K987" s="343" t="str">
        <f>IF(K986=D973,"","CHECK")</f>
        <v/>
      </c>
      <c r="L987" s="343" t="str">
        <f>IF(L986=E973,"","CHECK")</f>
        <v/>
      </c>
      <c r="M987" s="343" t="str">
        <f>IF(M986=F973,"","CHECK")</f>
        <v/>
      </c>
      <c r="S987" s="343" t="str">
        <f>IF(S986=I999,"","CHECK")</f>
        <v/>
      </c>
      <c r="Z987" s="57"/>
      <c r="AA987" s="57"/>
      <c r="AB987" s="57"/>
      <c r="AC987" s="57"/>
      <c r="AD987" s="57"/>
      <c r="AE987" s="57"/>
      <c r="AF987" s="57"/>
      <c r="AG987" s="57"/>
      <c r="AH987" s="57"/>
      <c r="AI987" s="57"/>
      <c r="AJ987" s="57"/>
      <c r="AK987" s="57"/>
      <c r="AL987" s="57"/>
      <c r="AM987" s="57"/>
      <c r="AN987" s="57"/>
      <c r="AO987" s="57"/>
      <c r="AP987" s="57"/>
      <c r="AQ987" s="57"/>
    </row>
    <row r="988" spans="2:43" ht="17.45" hidden="1" customHeight="1" outlineLevel="1" thickBot="1">
      <c r="B988" s="139" t="s">
        <v>155</v>
      </c>
      <c r="C988" s="111">
        <f t="shared" si="1365"/>
        <v>0</v>
      </c>
      <c r="D988" s="111">
        <f t="shared" si="1366"/>
        <v>0</v>
      </c>
      <c r="E988" s="111">
        <f t="shared" si="1372"/>
        <v>0</v>
      </c>
      <c r="F988" s="111">
        <f t="shared" si="1367"/>
        <v>0</v>
      </c>
      <c r="G988" s="111">
        <f t="shared" si="1373"/>
        <v>0</v>
      </c>
      <c r="H988" s="111"/>
      <c r="I988" s="119"/>
      <c r="L988" s="283"/>
      <c r="M988" s="220"/>
      <c r="P988" s="360" t="s">
        <v>161</v>
      </c>
      <c r="Q988" s="359">
        <f>SUM(Q978:Q983)</f>
        <v>0</v>
      </c>
      <c r="R988" s="359">
        <f>SUM(R978:R983)</f>
        <v>0</v>
      </c>
      <c r="S988" s="359" t="str">
        <f>IFERROR(Q988/R988,"")</f>
        <v/>
      </c>
      <c r="Z988" s="57"/>
      <c r="AA988" s="57"/>
      <c r="AB988" s="57"/>
      <c r="AC988" s="57"/>
      <c r="AD988" s="57"/>
      <c r="AE988" s="57"/>
      <c r="AF988" s="57"/>
      <c r="AG988" s="57"/>
      <c r="AH988" s="57"/>
      <c r="AI988" s="57"/>
      <c r="AJ988" s="57"/>
      <c r="AK988" s="57"/>
      <c r="AL988" s="57"/>
      <c r="AM988" s="57"/>
      <c r="AN988" s="57"/>
      <c r="AO988" s="57"/>
      <c r="AP988" s="57"/>
      <c r="AQ988" s="57"/>
    </row>
    <row r="989" spans="2:43" ht="17.45" hidden="1" customHeight="1" outlineLevel="1" thickBot="1">
      <c r="B989" s="113" t="s">
        <v>61</v>
      </c>
      <c r="C989" s="114">
        <f>SUM(C978:C988)</f>
        <v>0</v>
      </c>
      <c r="D989" s="114">
        <f t="shared" ref="D989:E989" si="1380">SUM(D978:D988)</f>
        <v>0</v>
      </c>
      <c r="E989" s="114">
        <f t="shared" si="1380"/>
        <v>0</v>
      </c>
      <c r="F989" s="166">
        <f>SUM(F978:F988)</f>
        <v>0</v>
      </c>
      <c r="G989" s="170">
        <f>SUM(G978:G988)</f>
        <v>0</v>
      </c>
      <c r="H989" s="167"/>
      <c r="I989" s="119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Z989" s="57"/>
      <c r="AA989" s="57"/>
      <c r="AB989" s="57"/>
      <c r="AC989" s="57"/>
      <c r="AD989" s="57"/>
      <c r="AE989" s="57"/>
      <c r="AF989" s="57"/>
      <c r="AG989" s="57"/>
      <c r="AH989" s="57"/>
      <c r="AI989" s="57"/>
      <c r="AJ989" s="57"/>
      <c r="AK989" s="57"/>
      <c r="AL989" s="57"/>
      <c r="AM989" s="57"/>
      <c r="AN989" s="57"/>
      <c r="AO989" s="57"/>
      <c r="AP989" s="57"/>
      <c r="AQ989" s="57"/>
    </row>
    <row r="990" spans="2:43" ht="17.45" hidden="1" customHeight="1" outlineLevel="1">
      <c r="B990" s="151" t="s">
        <v>87</v>
      </c>
      <c r="C990" s="152"/>
      <c r="D990" s="152"/>
      <c r="E990" s="153">
        <f>$W$334</f>
        <v>0</v>
      </c>
      <c r="F990" s="143"/>
      <c r="G990" s="169">
        <f>E990/1000</f>
        <v>0</v>
      </c>
      <c r="H990" s="145"/>
      <c r="I990" s="119"/>
      <c r="Z990" s="57"/>
      <c r="AA990" s="57"/>
      <c r="AB990" s="57"/>
      <c r="AC990" s="57"/>
      <c r="AD990" s="57"/>
      <c r="AE990" s="57"/>
      <c r="AF990" s="57"/>
      <c r="AG990" s="57"/>
      <c r="AH990" s="57"/>
      <c r="AI990" s="57"/>
      <c r="AJ990" s="57"/>
      <c r="AK990" s="57"/>
      <c r="AL990" s="57"/>
      <c r="AM990" s="57"/>
      <c r="AN990" s="57"/>
      <c r="AO990" s="57"/>
      <c r="AP990" s="57"/>
      <c r="AQ990" s="57"/>
    </row>
    <row r="991" spans="2:43" ht="17.45" hidden="1" customHeight="1" outlineLevel="1">
      <c r="B991" s="151" t="s">
        <v>57</v>
      </c>
      <c r="C991" s="152"/>
      <c r="D991" s="152"/>
      <c r="E991" s="140">
        <f>SUM(E989:E990)</f>
        <v>0</v>
      </c>
      <c r="F991" s="122"/>
      <c r="G991" s="140">
        <f>SUM(G989:G990)</f>
        <v>0</v>
      </c>
      <c r="H991" s="343" t="str">
        <f>IF(G991=K334,"","CHECK")</f>
        <v/>
      </c>
      <c r="I991" s="119"/>
      <c r="Z991" s="57"/>
      <c r="AA991" s="57"/>
      <c r="AB991" s="57"/>
      <c r="AC991" s="57"/>
      <c r="AD991" s="57"/>
      <c r="AE991" s="57"/>
      <c r="AF991" s="57"/>
      <c r="AG991" s="57"/>
      <c r="AH991" s="57"/>
      <c r="AI991" s="57"/>
      <c r="AJ991" s="57"/>
      <c r="AK991" s="57"/>
      <c r="AL991" s="57"/>
      <c r="AM991" s="57"/>
      <c r="AN991" s="57"/>
      <c r="AO991" s="57"/>
      <c r="AP991" s="57"/>
      <c r="AQ991" s="57"/>
    </row>
    <row r="992" spans="2:43" ht="17.45" hidden="1" customHeight="1" outlineLevel="1">
      <c r="B992" s="137"/>
      <c r="C992" s="122"/>
      <c r="D992" s="122"/>
      <c r="E992" s="154"/>
      <c r="F992" s="122"/>
      <c r="G992" s="122"/>
      <c r="H992" s="137"/>
      <c r="I992" s="119"/>
      <c r="Z992" s="57"/>
      <c r="AA992" s="57"/>
      <c r="AB992" s="57"/>
      <c r="AC992" s="57"/>
      <c r="AD992" s="57"/>
      <c r="AE992" s="57"/>
      <c r="AF992" s="57"/>
      <c r="AG992" s="57"/>
      <c r="AH992" s="57"/>
      <c r="AI992" s="57"/>
      <c r="AJ992" s="57"/>
      <c r="AK992" s="57"/>
      <c r="AL992" s="57"/>
      <c r="AM992" s="57"/>
      <c r="AN992" s="57"/>
      <c r="AO992" s="57"/>
      <c r="AP992" s="57"/>
      <c r="AQ992" s="57"/>
    </row>
    <row r="993" spans="2:43" ht="17.45" hidden="1" customHeight="1" outlineLevel="1">
      <c r="B993" s="1173" t="s">
        <v>88</v>
      </c>
      <c r="C993" s="1177" t="s">
        <v>52</v>
      </c>
      <c r="D993" s="1177"/>
      <c r="E993" s="1177"/>
      <c r="F993" s="1177" t="s">
        <v>73</v>
      </c>
      <c r="G993" s="1177" t="s">
        <v>75</v>
      </c>
      <c r="H993" s="1168" t="s">
        <v>72</v>
      </c>
      <c r="I993" s="1168"/>
      <c r="Z993" s="57"/>
      <c r="AA993" s="57"/>
      <c r="AB993" s="57"/>
      <c r="AC993" s="57"/>
      <c r="AD993" s="57"/>
      <c r="AE993" s="57"/>
      <c r="AF993" s="57"/>
      <c r="AG993" s="57"/>
      <c r="AH993" s="57"/>
      <c r="AI993" s="57"/>
      <c r="AJ993" s="57"/>
      <c r="AK993" s="57"/>
      <c r="AL993" s="57"/>
      <c r="AM993" s="57"/>
      <c r="AN993" s="57"/>
      <c r="AO993" s="57"/>
      <c r="AP993" s="57"/>
      <c r="AQ993" s="57"/>
    </row>
    <row r="994" spans="2:43" ht="17.45" hidden="1" customHeight="1" outlineLevel="1">
      <c r="B994" s="1173"/>
      <c r="C994" s="628" t="s">
        <v>55</v>
      </c>
      <c r="D994" s="628" t="s">
        <v>56</v>
      </c>
      <c r="E994" s="628" t="s">
        <v>57</v>
      </c>
      <c r="F994" s="1177"/>
      <c r="G994" s="1177"/>
      <c r="H994" s="626" t="s">
        <v>89</v>
      </c>
      <c r="I994" s="626" t="s">
        <v>90</v>
      </c>
      <c r="Z994" s="57"/>
      <c r="AA994" s="57"/>
      <c r="AB994" s="57"/>
      <c r="AC994" s="57"/>
      <c r="AD994" s="57"/>
      <c r="AE994" s="57"/>
      <c r="AF994" s="57"/>
      <c r="AG994" s="57"/>
      <c r="AH994" s="57"/>
      <c r="AI994" s="57"/>
      <c r="AJ994" s="57"/>
      <c r="AK994" s="57"/>
      <c r="AL994" s="57"/>
      <c r="AM994" s="57"/>
      <c r="AN994" s="57"/>
      <c r="AO994" s="57"/>
      <c r="AP994" s="57"/>
      <c r="AQ994" s="57"/>
    </row>
    <row r="995" spans="2:43" ht="17.45" hidden="1" customHeight="1" outlineLevel="1">
      <c r="B995" s="138" t="s">
        <v>91</v>
      </c>
      <c r="C995" s="111">
        <f>SUMIF($V$176:$V$199,B995,$L$176:$L$199)</f>
        <v>0</v>
      </c>
      <c r="D995" s="111">
        <f>SUMIF($V$176:$V$199,B995,$M$176:$M$199)</f>
        <v>0</v>
      </c>
      <c r="E995" s="111">
        <f>C995+D995</f>
        <v>0</v>
      </c>
      <c r="F995" s="111">
        <f>SUMIF($V$176:$V$199,B995,$AZ$176:$AZ$199)</f>
        <v>0</v>
      </c>
      <c r="G995" s="111">
        <f>E995/1000</f>
        <v>0</v>
      </c>
      <c r="H995" s="126">
        <f>SUMIF($V$176:$V$199,B995,$I$176:$I$199)</f>
        <v>0</v>
      </c>
      <c r="I995" s="141" t="str">
        <f>IFERROR(H995/F995,"")</f>
        <v/>
      </c>
      <c r="Z995" s="57"/>
      <c r="AA995" s="57"/>
      <c r="AB995" s="57"/>
      <c r="AC995" s="57"/>
      <c r="AD995" s="57"/>
      <c r="AE995" s="57"/>
      <c r="AF995" s="57"/>
      <c r="AG995" s="57"/>
      <c r="AH995" s="57"/>
      <c r="AI995" s="57"/>
      <c r="AJ995" s="57"/>
      <c r="AK995" s="57"/>
      <c r="AL995" s="57"/>
      <c r="AM995" s="57"/>
      <c r="AN995" s="57"/>
      <c r="AO995" s="57"/>
      <c r="AP995" s="57"/>
      <c r="AQ995" s="57"/>
    </row>
    <row r="996" spans="2:43" ht="17.45" hidden="1" customHeight="1" outlineLevel="1">
      <c r="B996" s="138" t="s">
        <v>92</v>
      </c>
      <c r="C996" s="111">
        <f>SUMIF($V$176:$V$199,B996,$L$176:$L$199)</f>
        <v>0</v>
      </c>
      <c r="D996" s="111">
        <f>SUMIF($V$176:$V$199,B996,$M$176:$M$199)</f>
        <v>0</v>
      </c>
      <c r="E996" s="111">
        <f t="shared" ref="E996:E998" si="1381">C996+D996</f>
        <v>0</v>
      </c>
      <c r="F996" s="111">
        <f>SUMIF($V$176:$V$199,B996,$AZ$176:$AZ$199)</f>
        <v>0</v>
      </c>
      <c r="G996" s="111">
        <f t="shared" ref="G996:G998" si="1382">E996/1000</f>
        <v>0</v>
      </c>
      <c r="H996" s="126">
        <f>SUMIF($V$176:$V$199,B996,$I$176:$I$199)</f>
        <v>0</v>
      </c>
      <c r="I996" s="141" t="str">
        <f t="shared" ref="I996:I998" si="1383">IFERROR(H996/F996,"")</f>
        <v/>
      </c>
      <c r="Z996" s="57"/>
      <c r="AA996" s="57"/>
      <c r="AB996" s="57"/>
      <c r="AC996" s="57"/>
      <c r="AD996" s="57"/>
      <c r="AE996" s="57"/>
      <c r="AF996" s="57"/>
      <c r="AG996" s="57"/>
      <c r="AH996" s="57"/>
      <c r="AI996" s="57"/>
      <c r="AJ996" s="57"/>
      <c r="AK996" s="57"/>
      <c r="AL996" s="57"/>
      <c r="AM996" s="57"/>
      <c r="AN996" s="57"/>
      <c r="AO996" s="57"/>
      <c r="AP996" s="57"/>
      <c r="AQ996" s="57"/>
    </row>
    <row r="997" spans="2:43" ht="17.45" hidden="1" customHeight="1" outlineLevel="1">
      <c r="B997" s="138" t="s">
        <v>93</v>
      </c>
      <c r="C997" s="111">
        <f>SUMIF($V$176:$V$199,B997,$L$176:$L$199)</f>
        <v>0</v>
      </c>
      <c r="D997" s="111">
        <f>SUMIF($V$176:$V$199,B997,$M$176:$M$199)</f>
        <v>0</v>
      </c>
      <c r="E997" s="111">
        <f t="shared" si="1381"/>
        <v>0</v>
      </c>
      <c r="F997" s="111">
        <f>SUMIF($V$176:$V$199,B997,$AZ$176:$AZ$199)</f>
        <v>0</v>
      </c>
      <c r="G997" s="111">
        <f t="shared" si="1382"/>
        <v>0</v>
      </c>
      <c r="H997" s="126">
        <f>SUMIF($V$176:$V$199,B997,$I$176:$I$199)</f>
        <v>0</v>
      </c>
      <c r="I997" s="141" t="str">
        <f t="shared" si="1383"/>
        <v/>
      </c>
      <c r="Z997" s="57"/>
      <c r="AA997" s="57"/>
      <c r="AB997" s="57"/>
      <c r="AC997" s="57"/>
      <c r="AD997" s="57"/>
      <c r="AE997" s="57"/>
      <c r="AF997" s="57"/>
      <c r="AG997" s="57"/>
      <c r="AH997" s="57"/>
      <c r="AI997" s="57"/>
      <c r="AJ997" s="57"/>
      <c r="AK997" s="57"/>
      <c r="AL997" s="57"/>
      <c r="AM997" s="57"/>
      <c r="AN997" s="57"/>
      <c r="AO997" s="57"/>
      <c r="AP997" s="57"/>
      <c r="AQ997" s="57"/>
    </row>
    <row r="998" spans="2:43" ht="17.45" hidden="1" customHeight="1" outlineLevel="1" thickBot="1">
      <c r="B998" s="138" t="s">
        <v>94</v>
      </c>
      <c r="C998" s="111">
        <f>SUMIF($V$176:$V$199,B998,$L$176:$L$199)</f>
        <v>0</v>
      </c>
      <c r="D998" s="111">
        <f>SUMIF($V$176:$V$199,B998,$M$176:$M$199)</f>
        <v>0</v>
      </c>
      <c r="E998" s="111">
        <f t="shared" si="1381"/>
        <v>0</v>
      </c>
      <c r="F998" s="111">
        <f>SUMIF($V$176:$V$199,B998,$AZ$176:$AZ$199)</f>
        <v>0</v>
      </c>
      <c r="G998" s="111">
        <f t="shared" si="1382"/>
        <v>0</v>
      </c>
      <c r="H998" s="126">
        <f>SUMIF($V$176:$V$199,B998,$I$176:$I$199)</f>
        <v>0</v>
      </c>
      <c r="I998" s="141" t="str">
        <f t="shared" si="1383"/>
        <v/>
      </c>
      <c r="Z998" s="57"/>
      <c r="AA998" s="57"/>
      <c r="AB998" s="57"/>
      <c r="AC998" s="57"/>
      <c r="AD998" s="57"/>
      <c r="AE998" s="57"/>
      <c r="AF998" s="57"/>
      <c r="AG998" s="57"/>
      <c r="AH998" s="57"/>
      <c r="AI998" s="57"/>
      <c r="AJ998" s="57"/>
      <c r="AK998" s="57"/>
      <c r="AL998" s="57"/>
      <c r="AM998" s="57"/>
      <c r="AN998" s="57"/>
      <c r="AO998" s="57"/>
      <c r="AP998" s="57"/>
      <c r="AQ998" s="57"/>
    </row>
    <row r="999" spans="2:43" ht="17.45" hidden="1" customHeight="1" outlineLevel="1" thickBot="1">
      <c r="B999" s="113" t="s">
        <v>61</v>
      </c>
      <c r="C999" s="114">
        <f>SUM(C995:C998)</f>
        <v>0</v>
      </c>
      <c r="D999" s="114">
        <f t="shared" ref="D999:F999" si="1384">SUM(D995:D998)</f>
        <v>0</v>
      </c>
      <c r="E999" s="114">
        <f t="shared" si="1384"/>
        <v>0</v>
      </c>
      <c r="F999" s="114">
        <f t="shared" si="1384"/>
        <v>0</v>
      </c>
      <c r="G999" s="114">
        <f>SUM(G995:G998)</f>
        <v>0</v>
      </c>
      <c r="H999" s="189">
        <f>SUM(H995:H998)</f>
        <v>0</v>
      </c>
      <c r="I999" s="191" t="str">
        <f>IFERROR(H999/F999,"")</f>
        <v/>
      </c>
      <c r="Z999" s="57"/>
      <c r="AA999" s="57"/>
      <c r="AB999" s="57"/>
      <c r="AC999" s="57"/>
      <c r="AD999" s="57"/>
      <c r="AE999" s="57"/>
      <c r="AF999" s="57"/>
      <c r="AG999" s="57"/>
      <c r="AH999" s="57"/>
      <c r="AI999" s="57"/>
      <c r="AJ999" s="57"/>
      <c r="AK999" s="57"/>
      <c r="AL999" s="57"/>
      <c r="AM999" s="57"/>
      <c r="AN999" s="57"/>
      <c r="AO999" s="57"/>
      <c r="AP999" s="57"/>
      <c r="AQ999" s="57"/>
    </row>
    <row r="1000" spans="2:43" ht="17.45" hidden="1" customHeight="1" outlineLevel="1">
      <c r="Z1000" s="57"/>
      <c r="AA1000" s="57"/>
      <c r="AB1000" s="57"/>
      <c r="AC1000" s="57"/>
      <c r="AD1000" s="57"/>
      <c r="AE1000" s="57"/>
      <c r="AF1000" s="57"/>
      <c r="AG1000" s="57"/>
      <c r="AH1000" s="57"/>
      <c r="AI1000" s="57"/>
      <c r="AJ1000" s="57"/>
      <c r="AK1000" s="57"/>
      <c r="AL1000" s="57"/>
      <c r="AM1000" s="57"/>
      <c r="AN1000" s="57"/>
      <c r="AO1000" s="57"/>
      <c r="AP1000" s="57"/>
      <c r="AQ1000" s="57"/>
    </row>
    <row r="1001" spans="2:43" ht="17.45" customHeight="1" collapsed="1">
      <c r="B1001" s="329" t="s">
        <v>266</v>
      </c>
      <c r="O1001" s="122"/>
      <c r="P1001" s="122"/>
      <c r="Q1001" s="122"/>
      <c r="R1001" s="123"/>
      <c r="S1001" s="331"/>
      <c r="T1001" s="124"/>
      <c r="U1001" s="332"/>
      <c r="V1001" s="332"/>
      <c r="W1001" s="245"/>
      <c r="X1001" s="245"/>
      <c r="Y1001" s="333"/>
      <c r="Z1001" s="57"/>
      <c r="AA1001" s="57"/>
      <c r="AB1001" s="57"/>
      <c r="AC1001" s="57"/>
      <c r="AD1001" s="57"/>
      <c r="AE1001" s="57"/>
      <c r="AF1001" s="57"/>
      <c r="AG1001" s="57"/>
      <c r="AH1001" s="57"/>
      <c r="AI1001" s="57"/>
      <c r="AJ1001" s="57"/>
      <c r="AK1001" s="57"/>
      <c r="AL1001" s="57"/>
      <c r="AM1001" s="57"/>
      <c r="AN1001" s="57"/>
      <c r="AO1001" s="57"/>
      <c r="AP1001" s="57"/>
      <c r="AQ1001" s="57"/>
    </row>
    <row r="1002" spans="2:43" ht="17.45" hidden="1" customHeight="1" outlineLevel="1">
      <c r="B1002" s="1173" t="s">
        <v>51</v>
      </c>
      <c r="C1002" s="1173"/>
      <c r="D1002" s="1168" t="s">
        <v>52</v>
      </c>
      <c r="E1002" s="1168"/>
      <c r="F1002" s="1168"/>
      <c r="G1002" s="1168" t="s">
        <v>53</v>
      </c>
      <c r="H1002" s="1168"/>
      <c r="I1002" s="1168"/>
      <c r="J1002" s="1168" t="s">
        <v>54</v>
      </c>
      <c r="K1002" s="1168"/>
      <c r="L1002" s="1168"/>
      <c r="O1002" s="1168" t="s">
        <v>71</v>
      </c>
      <c r="P1002" s="1168" t="s">
        <v>72</v>
      </c>
      <c r="Q1002" s="1168" t="s">
        <v>73</v>
      </c>
      <c r="R1002" s="1168" t="s">
        <v>74</v>
      </c>
      <c r="S1002" s="122"/>
      <c r="T1002" s="1168" t="s">
        <v>71</v>
      </c>
      <c r="U1002" s="1168" t="s">
        <v>72</v>
      </c>
      <c r="V1002" s="1168" t="s">
        <v>73</v>
      </c>
      <c r="W1002" s="1168" t="s">
        <v>74</v>
      </c>
      <c r="X1002" s="1168" t="s">
        <v>75</v>
      </c>
      <c r="Y1002" s="1169" t="str">
        <f>RIGHT(B1001,3)&amp;" 목표(ST)"</f>
        <v>12월 목표(ST)</v>
      </c>
      <c r="Z1002" s="1170" t="s">
        <v>111</v>
      </c>
      <c r="AA1002" s="1169" t="s">
        <v>153</v>
      </c>
    </row>
    <row r="1003" spans="2:43" ht="17.45" hidden="1" customHeight="1" outlineLevel="1">
      <c r="B1003" s="1173"/>
      <c r="C1003" s="1173"/>
      <c r="D1003" s="626" t="s">
        <v>55</v>
      </c>
      <c r="E1003" s="626" t="s">
        <v>56</v>
      </c>
      <c r="F1003" s="626" t="s">
        <v>57</v>
      </c>
      <c r="G1003" s="626" t="s">
        <v>55</v>
      </c>
      <c r="H1003" s="626" t="s">
        <v>56</v>
      </c>
      <c r="I1003" s="626" t="s">
        <v>57</v>
      </c>
      <c r="J1003" s="626" t="s">
        <v>55</v>
      </c>
      <c r="K1003" s="626" t="s">
        <v>56</v>
      </c>
      <c r="L1003" s="626" t="s">
        <v>57</v>
      </c>
      <c r="O1003" s="1168"/>
      <c r="P1003" s="1168"/>
      <c r="Q1003" s="1168"/>
      <c r="R1003" s="1168"/>
      <c r="S1003" s="122"/>
      <c r="T1003" s="1168"/>
      <c r="U1003" s="1168"/>
      <c r="V1003" s="1168"/>
      <c r="W1003" s="1168"/>
      <c r="X1003" s="1168"/>
      <c r="Y1003" s="1168"/>
      <c r="Z1003" s="1168"/>
      <c r="AA1003" s="1168"/>
      <c r="AN1003" s="361" t="s">
        <v>165</v>
      </c>
      <c r="AO1003" s="362" t="s">
        <v>156</v>
      </c>
      <c r="AP1003" s="457"/>
    </row>
    <row r="1004" spans="2:43" ht="17.45" hidden="1" customHeight="1" outlineLevel="1">
      <c r="B1004" s="1171" t="s">
        <v>58</v>
      </c>
      <c r="C1004" s="110" t="s">
        <v>179</v>
      </c>
      <c r="D1004" s="111">
        <f t="shared" ref="D1004:D1009" si="1385">SUMIF($B$201:$B$224,C1004,$L$201:$L$224)</f>
        <v>0</v>
      </c>
      <c r="E1004" s="111">
        <f t="shared" ref="E1004:E1009" si="1386">SUMIF($B$201:$B$224,C1004,$M$201:$M$224)</f>
        <v>0</v>
      </c>
      <c r="F1004" s="111">
        <f>D1004+E1004</f>
        <v>0</v>
      </c>
      <c r="G1004" s="112" t="str">
        <f>IFERROR(D1004/F1004,"")</f>
        <v/>
      </c>
      <c r="H1004" s="112" t="str">
        <f>IFERROR(E1004/F1004,"")</f>
        <v/>
      </c>
      <c r="I1004" s="112" t="str">
        <f t="shared" ref="I1004:I1009" si="1387">IFERROR(G1004+H1004,"")</f>
        <v/>
      </c>
      <c r="J1004" s="111">
        <f t="shared" ref="J1004:J1009" si="1388">SUMIF($B$201:$B$224,C1004,$AX$201:$AX$224)</f>
        <v>0</v>
      </c>
      <c r="K1004" s="111">
        <f t="shared" ref="K1004:K1009" si="1389">SUMIF($B$201:$B$224,C1004,$AY$201:$AY$224)</f>
        <v>0</v>
      </c>
      <c r="L1004" s="111">
        <f>J1004+K1004</f>
        <v>0</v>
      </c>
      <c r="O1004" s="125" t="str">
        <f>C1004</f>
        <v>SGC에너지</v>
      </c>
      <c r="P1004" s="126">
        <f t="shared" ref="P1004:P1009" si="1390">SUMIF($B$201:$B$224,O1004,$I$201:$I$224)</f>
        <v>0</v>
      </c>
      <c r="Q1004" s="111">
        <f t="shared" ref="Q1004:Q1009" si="1391">SUMIF($B$201:$B$224,O1004,$AZ$201:$AZ$224)</f>
        <v>0</v>
      </c>
      <c r="R1004" s="126" t="str">
        <f>IFERROR(P1004/Q1004,"")</f>
        <v/>
      </c>
      <c r="S1004" s="122"/>
      <c r="T1004" s="125" t="str">
        <f>O1004</f>
        <v>SGC에너지</v>
      </c>
      <c r="U1004" s="126">
        <f>P1004</f>
        <v>0</v>
      </c>
      <c r="V1004" s="111">
        <f>Q1004</f>
        <v>0</v>
      </c>
      <c r="W1004" s="127" t="str">
        <f>IFERROR(U1004/V1004,"")</f>
        <v/>
      </c>
      <c r="X1004" s="148">
        <f>F1004/1000</f>
        <v>0</v>
      </c>
      <c r="Y1004" s="111"/>
      <c r="Z1004" s="155" t="str">
        <f>IFERROR(IF(X1004=0,"",X1004/Y1004),"")</f>
        <v/>
      </c>
      <c r="AA1004" s="215">
        <f>X1004-Y1004</f>
        <v>0</v>
      </c>
      <c r="AN1004" s="335">
        <f t="shared" ref="AN1004:AN1009" si="1392">AN680+AN842+Y896+Y950+Y1004</f>
        <v>0</v>
      </c>
      <c r="AO1004" s="336">
        <f>X1004-Y1004</f>
        <v>0</v>
      </c>
      <c r="AP1004" s="452"/>
    </row>
    <row r="1005" spans="2:43" ht="17.45" hidden="1" customHeight="1" outlineLevel="1">
      <c r="B1005" s="1172"/>
      <c r="C1005" s="110" t="s">
        <v>59</v>
      </c>
      <c r="D1005" s="111">
        <f t="shared" si="1385"/>
        <v>0</v>
      </c>
      <c r="E1005" s="111">
        <f t="shared" si="1386"/>
        <v>0</v>
      </c>
      <c r="F1005" s="111">
        <f t="shared" ref="F1005:F1009" si="1393">D1005+E1005</f>
        <v>0</v>
      </c>
      <c r="G1005" s="112" t="str">
        <f t="shared" ref="G1005:G1027" si="1394">IFERROR(D1005/F1005,"")</f>
        <v/>
      </c>
      <c r="H1005" s="112" t="str">
        <f t="shared" ref="H1005:H1009" si="1395">IFERROR(E1005/F1005,"")</f>
        <v/>
      </c>
      <c r="I1005" s="112" t="str">
        <f t="shared" si="1387"/>
        <v/>
      </c>
      <c r="J1005" s="111">
        <f t="shared" si="1388"/>
        <v>0</v>
      </c>
      <c r="K1005" s="111">
        <f t="shared" si="1389"/>
        <v>0</v>
      </c>
      <c r="L1005" s="111">
        <f t="shared" ref="L1005:L1009" si="1396">J1005+K1005</f>
        <v>0</v>
      </c>
      <c r="O1005" s="125" t="str">
        <f t="shared" ref="O1005:O1009" si="1397">C1005</f>
        <v>남동발전</v>
      </c>
      <c r="P1005" s="126">
        <f t="shared" si="1390"/>
        <v>0</v>
      </c>
      <c r="Q1005" s="111">
        <f t="shared" si="1391"/>
        <v>0</v>
      </c>
      <c r="R1005" s="126" t="str">
        <f t="shared" ref="R1005:R1026" si="1398">IFERROR(P1005/Q1005,"")</f>
        <v/>
      </c>
      <c r="S1005" s="122"/>
      <c r="T1005" s="125" t="str">
        <f t="shared" ref="T1005:V1009" si="1399">O1005</f>
        <v>남동발전</v>
      </c>
      <c r="U1005" s="126">
        <f t="shared" si="1399"/>
        <v>0</v>
      </c>
      <c r="V1005" s="111">
        <f t="shared" si="1399"/>
        <v>0</v>
      </c>
      <c r="W1005" s="127" t="str">
        <f t="shared" ref="W1005:W1025" si="1400">IFERROR(U1005/V1005,"")</f>
        <v/>
      </c>
      <c r="X1005" s="148">
        <f t="shared" ref="X1005:X1009" si="1401">F1005/1000</f>
        <v>0</v>
      </c>
      <c r="Y1005" s="111"/>
      <c r="Z1005" s="155" t="str">
        <f t="shared" ref="Z1005:Z1019" si="1402">IFERROR(IF(X1005=0,"",X1005/Y1005),"")</f>
        <v/>
      </c>
      <c r="AA1005" s="215">
        <f t="shared" ref="AA1005:AA1009" si="1403">X1005-Y1005</f>
        <v>0</v>
      </c>
      <c r="AN1005" s="335">
        <f t="shared" si="1392"/>
        <v>0</v>
      </c>
      <c r="AO1005" s="336">
        <f t="shared" ref="AO1005:AO1009" si="1404">X1005-Y1005</f>
        <v>0</v>
      </c>
      <c r="AP1005" s="452"/>
    </row>
    <row r="1006" spans="2:43" ht="17.45" hidden="1" customHeight="1" outlineLevel="1">
      <c r="B1006" s="1172"/>
      <c r="C1006" s="110" t="s">
        <v>60</v>
      </c>
      <c r="D1006" s="111">
        <f t="shared" si="1385"/>
        <v>0</v>
      </c>
      <c r="E1006" s="111">
        <f t="shared" si="1386"/>
        <v>0</v>
      </c>
      <c r="F1006" s="111">
        <f t="shared" si="1393"/>
        <v>0</v>
      </c>
      <c r="G1006" s="112" t="str">
        <f t="shared" si="1394"/>
        <v/>
      </c>
      <c r="H1006" s="112" t="str">
        <f t="shared" si="1395"/>
        <v/>
      </c>
      <c r="I1006" s="112" t="str">
        <f t="shared" si="1387"/>
        <v/>
      </c>
      <c r="J1006" s="111">
        <f t="shared" si="1388"/>
        <v>0</v>
      </c>
      <c r="K1006" s="111">
        <f t="shared" si="1389"/>
        <v>0</v>
      </c>
      <c r="L1006" s="111">
        <f t="shared" si="1396"/>
        <v>0</v>
      </c>
      <c r="O1006" s="125" t="str">
        <f t="shared" si="1397"/>
        <v>동서발전</v>
      </c>
      <c r="P1006" s="126">
        <f t="shared" si="1390"/>
        <v>0</v>
      </c>
      <c r="Q1006" s="111">
        <f t="shared" si="1391"/>
        <v>0</v>
      </c>
      <c r="R1006" s="126" t="str">
        <f t="shared" si="1398"/>
        <v/>
      </c>
      <c r="S1006" s="122"/>
      <c r="T1006" s="125" t="str">
        <f t="shared" si="1399"/>
        <v>동서발전</v>
      </c>
      <c r="U1006" s="126">
        <f t="shared" si="1399"/>
        <v>0</v>
      </c>
      <c r="V1006" s="111">
        <f t="shared" si="1399"/>
        <v>0</v>
      </c>
      <c r="W1006" s="127" t="str">
        <f t="shared" si="1400"/>
        <v/>
      </c>
      <c r="X1006" s="148">
        <f t="shared" si="1401"/>
        <v>0</v>
      </c>
      <c r="Y1006" s="111"/>
      <c r="Z1006" s="155" t="str">
        <f t="shared" si="1402"/>
        <v/>
      </c>
      <c r="AA1006" s="215">
        <f t="shared" si="1403"/>
        <v>0</v>
      </c>
      <c r="AN1006" s="335">
        <f t="shared" si="1392"/>
        <v>0</v>
      </c>
      <c r="AO1006" s="336">
        <f t="shared" si="1404"/>
        <v>0</v>
      </c>
      <c r="AP1006" s="452"/>
    </row>
    <row r="1007" spans="2:43" ht="17.45" hidden="1" customHeight="1" outlineLevel="1">
      <c r="B1007" s="1172"/>
      <c r="C1007" s="110" t="s">
        <v>159</v>
      </c>
      <c r="D1007" s="111">
        <f t="shared" si="1385"/>
        <v>0</v>
      </c>
      <c r="E1007" s="111">
        <f t="shared" si="1386"/>
        <v>0</v>
      </c>
      <c r="F1007" s="111">
        <f t="shared" si="1393"/>
        <v>0</v>
      </c>
      <c r="G1007" s="112" t="str">
        <f t="shared" si="1394"/>
        <v/>
      </c>
      <c r="H1007" s="112" t="str">
        <f t="shared" si="1395"/>
        <v/>
      </c>
      <c r="I1007" s="112" t="str">
        <f t="shared" si="1387"/>
        <v/>
      </c>
      <c r="J1007" s="111">
        <f t="shared" si="1388"/>
        <v>0</v>
      </c>
      <c r="K1007" s="111">
        <f t="shared" si="1389"/>
        <v>0</v>
      </c>
      <c r="L1007" s="111">
        <f t="shared" si="1396"/>
        <v>0</v>
      </c>
      <c r="O1007" s="125" t="str">
        <f t="shared" si="1397"/>
        <v>미쓰이</v>
      </c>
      <c r="P1007" s="126">
        <f t="shared" si="1390"/>
        <v>0</v>
      </c>
      <c r="Q1007" s="111">
        <f t="shared" si="1391"/>
        <v>0</v>
      </c>
      <c r="R1007" s="126" t="str">
        <f t="shared" si="1398"/>
        <v/>
      </c>
      <c r="S1007" s="122"/>
      <c r="T1007" s="125" t="str">
        <f t="shared" si="1399"/>
        <v>미쓰이</v>
      </c>
      <c r="U1007" s="126">
        <f t="shared" si="1399"/>
        <v>0</v>
      </c>
      <c r="V1007" s="111">
        <f t="shared" si="1399"/>
        <v>0</v>
      </c>
      <c r="W1007" s="127" t="str">
        <f t="shared" si="1400"/>
        <v/>
      </c>
      <c r="X1007" s="148">
        <f t="shared" si="1401"/>
        <v>0</v>
      </c>
      <c r="Y1007" s="111"/>
      <c r="Z1007" s="155" t="str">
        <f t="shared" si="1402"/>
        <v/>
      </c>
      <c r="AA1007" s="215"/>
      <c r="AN1007" s="335">
        <f t="shared" si="1392"/>
        <v>0</v>
      </c>
      <c r="AO1007" s="336">
        <f t="shared" si="1404"/>
        <v>0</v>
      </c>
      <c r="AP1007" s="452"/>
    </row>
    <row r="1008" spans="2:43" ht="17.45" hidden="1" customHeight="1" outlineLevel="1">
      <c r="B1008" s="1172"/>
      <c r="C1008" s="110" t="s">
        <v>168</v>
      </c>
      <c r="D1008" s="111">
        <f t="shared" si="1385"/>
        <v>0</v>
      </c>
      <c r="E1008" s="111">
        <f t="shared" si="1386"/>
        <v>0</v>
      </c>
      <c r="F1008" s="111">
        <f t="shared" si="1393"/>
        <v>0</v>
      </c>
      <c r="G1008" s="112" t="str">
        <f t="shared" si="1394"/>
        <v/>
      </c>
      <c r="H1008" s="112" t="str">
        <f t="shared" si="1395"/>
        <v/>
      </c>
      <c r="I1008" s="112" t="str">
        <f t="shared" si="1387"/>
        <v/>
      </c>
      <c r="J1008" s="111">
        <f t="shared" si="1388"/>
        <v>0</v>
      </c>
      <c r="K1008" s="111">
        <f t="shared" si="1389"/>
        <v>0</v>
      </c>
      <c r="L1008" s="111">
        <f t="shared" si="1396"/>
        <v>0</v>
      </c>
      <c r="O1008" s="125" t="str">
        <f t="shared" si="1397"/>
        <v>포스코인터</v>
      </c>
      <c r="P1008" s="126">
        <f t="shared" si="1390"/>
        <v>0</v>
      </c>
      <c r="Q1008" s="111">
        <f t="shared" si="1391"/>
        <v>0</v>
      </c>
      <c r="R1008" s="126" t="str">
        <f t="shared" si="1398"/>
        <v/>
      </c>
      <c r="S1008" s="122"/>
      <c r="T1008" s="125" t="str">
        <f t="shared" si="1399"/>
        <v>포스코인터</v>
      </c>
      <c r="U1008" s="126">
        <f t="shared" si="1399"/>
        <v>0</v>
      </c>
      <c r="V1008" s="111">
        <f t="shared" si="1399"/>
        <v>0</v>
      </c>
      <c r="W1008" s="127" t="str">
        <f t="shared" si="1400"/>
        <v/>
      </c>
      <c r="X1008" s="148">
        <f t="shared" si="1401"/>
        <v>0</v>
      </c>
      <c r="Y1008" s="111"/>
      <c r="Z1008" s="155" t="str">
        <f t="shared" si="1402"/>
        <v/>
      </c>
      <c r="AA1008" s="215"/>
      <c r="AN1008" s="335">
        <f t="shared" si="1392"/>
        <v>0</v>
      </c>
      <c r="AO1008" s="336">
        <f t="shared" si="1404"/>
        <v>0</v>
      </c>
      <c r="AP1008" s="452"/>
    </row>
    <row r="1009" spans="2:43" ht="17.45" hidden="1" customHeight="1" outlineLevel="1">
      <c r="B1009" s="1172"/>
      <c r="C1009" s="110" t="s">
        <v>154</v>
      </c>
      <c r="D1009" s="111">
        <f t="shared" si="1385"/>
        <v>0</v>
      </c>
      <c r="E1009" s="111">
        <f t="shared" si="1386"/>
        <v>0</v>
      </c>
      <c r="F1009" s="111">
        <f t="shared" si="1393"/>
        <v>0</v>
      </c>
      <c r="G1009" s="112" t="str">
        <f t="shared" si="1394"/>
        <v/>
      </c>
      <c r="H1009" s="112" t="str">
        <f t="shared" si="1395"/>
        <v/>
      </c>
      <c r="I1009" s="112" t="str">
        <f t="shared" si="1387"/>
        <v/>
      </c>
      <c r="J1009" s="111">
        <f t="shared" si="1388"/>
        <v>0</v>
      </c>
      <c r="K1009" s="111">
        <f t="shared" si="1389"/>
        <v>0</v>
      </c>
      <c r="L1009" s="111">
        <f t="shared" si="1396"/>
        <v>0</v>
      </c>
      <c r="O1009" s="125" t="str">
        <f t="shared" si="1397"/>
        <v>이노샌드</v>
      </c>
      <c r="P1009" s="126">
        <f t="shared" si="1390"/>
        <v>0</v>
      </c>
      <c r="Q1009" s="111">
        <f t="shared" si="1391"/>
        <v>0</v>
      </c>
      <c r="R1009" s="126" t="str">
        <f t="shared" si="1398"/>
        <v/>
      </c>
      <c r="S1009" s="122"/>
      <c r="T1009" s="125" t="str">
        <f t="shared" si="1399"/>
        <v>이노샌드</v>
      </c>
      <c r="U1009" s="126">
        <f t="shared" si="1399"/>
        <v>0</v>
      </c>
      <c r="V1009" s="111">
        <f t="shared" si="1399"/>
        <v>0</v>
      </c>
      <c r="W1009" s="127" t="str">
        <f t="shared" si="1400"/>
        <v/>
      </c>
      <c r="X1009" s="148">
        <f t="shared" si="1401"/>
        <v>0</v>
      </c>
      <c r="Y1009" s="111"/>
      <c r="Z1009" s="155" t="str">
        <f t="shared" si="1402"/>
        <v/>
      </c>
      <c r="AA1009" s="215">
        <f t="shared" si="1403"/>
        <v>0</v>
      </c>
      <c r="AN1009" s="335">
        <f t="shared" si="1392"/>
        <v>0</v>
      </c>
      <c r="AO1009" s="336">
        <f t="shared" si="1404"/>
        <v>0</v>
      </c>
      <c r="AP1009" s="452"/>
      <c r="AQ1009" s="337"/>
    </row>
    <row r="1010" spans="2:43" ht="17.45" hidden="1" customHeight="1" outlineLevel="1">
      <c r="B1010" s="1172"/>
      <c r="C1010" s="113" t="s">
        <v>61</v>
      </c>
      <c r="D1010" s="114">
        <f>SUM(D1004:D1009)</f>
        <v>0</v>
      </c>
      <c r="E1010" s="114">
        <f>SUM(E1004:E1009)</f>
        <v>0</v>
      </c>
      <c r="F1010" s="114">
        <f>SUM(F1004:F1009)</f>
        <v>0</v>
      </c>
      <c r="G1010" s="115" t="str">
        <f t="shared" si="1394"/>
        <v/>
      </c>
      <c r="H1010" s="115" t="str">
        <f>IFERROR(E1010/F1010,"")</f>
        <v/>
      </c>
      <c r="I1010" s="115" t="str">
        <f>IFERROR(G1010+H1010,"")</f>
        <v/>
      </c>
      <c r="J1010" s="114">
        <f>SUM(J1004:J1009)</f>
        <v>0</v>
      </c>
      <c r="K1010" s="114">
        <f t="shared" ref="K1010:L1010" si="1405">SUM(K1004:K1009)</f>
        <v>0</v>
      </c>
      <c r="L1010" s="114">
        <f t="shared" si="1405"/>
        <v>0</v>
      </c>
      <c r="O1010" s="128" t="s">
        <v>61</v>
      </c>
      <c r="P1010" s="129">
        <f>SUM(P1004:P1009)</f>
        <v>0</v>
      </c>
      <c r="Q1010" s="114">
        <f>SUM(Q1004:Q1009)</f>
        <v>0</v>
      </c>
      <c r="R1010" s="129" t="str">
        <f t="shared" si="1398"/>
        <v/>
      </c>
      <c r="S1010" s="122"/>
      <c r="T1010" s="128" t="s">
        <v>61</v>
      </c>
      <c r="U1010" s="129">
        <f>SUM(U1004:U1009)</f>
        <v>0</v>
      </c>
      <c r="V1010" s="114">
        <f>SUM(V1004:V1009)</f>
        <v>0</v>
      </c>
      <c r="W1010" s="129" t="str">
        <f t="shared" si="1400"/>
        <v/>
      </c>
      <c r="X1010" s="114">
        <f>SUM(X1004:X1009)</f>
        <v>0</v>
      </c>
      <c r="Y1010" s="114">
        <f>SUM(Y1004:Y1009)</f>
        <v>0</v>
      </c>
      <c r="Z1010" s="156" t="str">
        <f t="shared" si="1402"/>
        <v/>
      </c>
      <c r="AA1010" s="212">
        <f>SUM(AA1004:AA1009)</f>
        <v>0</v>
      </c>
      <c r="AN1010" s="338">
        <f>SUM(AN1004:AN1009)</f>
        <v>0</v>
      </c>
      <c r="AO1010" s="338">
        <f>SUM(AO1004:AO1009)</f>
        <v>0</v>
      </c>
      <c r="AP1010" s="453"/>
    </row>
    <row r="1011" spans="2:43" ht="17.45" hidden="1" customHeight="1" outlineLevel="1">
      <c r="B1011" s="1171" t="s">
        <v>62</v>
      </c>
      <c r="C1011" s="110" t="s">
        <v>222</v>
      </c>
      <c r="D1011" s="111">
        <f t="shared" ref="D1011:D1025" si="1406">SUMIF($B$201:$B$224,C1011,$L$201:$L$224)</f>
        <v>0</v>
      </c>
      <c r="E1011" s="111">
        <f t="shared" ref="E1011:E1025" si="1407">SUMIF($B$201:$B$224,C1011,$M$201:$M$224)</f>
        <v>0</v>
      </c>
      <c r="F1011" s="111">
        <f t="shared" ref="F1011:F1025" si="1408">D1011+E1011</f>
        <v>0</v>
      </c>
      <c r="G1011" s="112" t="str">
        <f t="shared" si="1394"/>
        <v/>
      </c>
      <c r="H1011" s="112" t="str">
        <f t="shared" ref="H1011:H1025" si="1409">IFERROR(E1011/F1011,"")</f>
        <v/>
      </c>
      <c r="I1011" s="112" t="str">
        <f t="shared" ref="I1011:I1025" si="1410">IFERROR(G1011+H1011,"")</f>
        <v/>
      </c>
      <c r="J1011" s="111">
        <f t="shared" ref="J1011:J1025" si="1411">SUMIF($B$201:$B$224,C1011,$AX$201:$AX$224)</f>
        <v>0</v>
      </c>
      <c r="K1011" s="111">
        <f t="shared" ref="K1011:K1025" si="1412">SUMIF($B$201:$B$224,C1011,$AY$201:$AY$224)</f>
        <v>0</v>
      </c>
      <c r="L1011" s="111">
        <f t="shared" ref="L1011:L1025" si="1413">J1011+K1011</f>
        <v>0</v>
      </c>
      <c r="O1011" s="125" t="str">
        <f>C1011</f>
        <v>태경비케이</v>
      </c>
      <c r="P1011" s="126">
        <f t="shared" ref="P1011:P1025" si="1414">SUMIF($B$201:$B$224,O1011,$I$201:$I$224)</f>
        <v>0</v>
      </c>
      <c r="Q1011" s="111">
        <f t="shared" ref="Q1011:Q1025" si="1415">SUMIF($B$201:$B$224,O1011,$AZ$201:$AZ$224)</f>
        <v>0</v>
      </c>
      <c r="R1011" s="126" t="str">
        <f t="shared" si="1398"/>
        <v/>
      </c>
      <c r="S1011" s="122"/>
      <c r="T1011" s="125" t="str">
        <f t="shared" ref="T1011:V1025" si="1416">O1011</f>
        <v>태경비케이</v>
      </c>
      <c r="U1011" s="126">
        <f t="shared" si="1416"/>
        <v>0</v>
      </c>
      <c r="V1011" s="111">
        <f t="shared" si="1416"/>
        <v>0</v>
      </c>
      <c r="W1011" s="127" t="str">
        <f t="shared" si="1400"/>
        <v/>
      </c>
      <c r="X1011" s="148">
        <f t="shared" ref="X1011:X1025" si="1417">F1011/1000</f>
        <v>0</v>
      </c>
      <c r="Y1011" s="111"/>
      <c r="Z1011" s="155" t="str">
        <f t="shared" si="1402"/>
        <v/>
      </c>
      <c r="AA1011" s="215">
        <f t="shared" ref="AA1011:AA1025" si="1418">X1011-Y1011</f>
        <v>0</v>
      </c>
      <c r="AN1011" s="335">
        <f t="shared" ref="AN1011:AN1025" si="1419">AN687+AN849+Y903+Y957+Y1011</f>
        <v>0</v>
      </c>
      <c r="AO1011" s="336">
        <f>X1011-Y1011</f>
        <v>0</v>
      </c>
      <c r="AP1011" s="452"/>
    </row>
    <row r="1012" spans="2:43" ht="17.45" hidden="1" customHeight="1" outlineLevel="1">
      <c r="B1012" s="1172"/>
      <c r="C1012" s="110" t="s">
        <v>78</v>
      </c>
      <c r="D1012" s="111">
        <f t="shared" si="1406"/>
        <v>0</v>
      </c>
      <c r="E1012" s="111">
        <f t="shared" si="1407"/>
        <v>0</v>
      </c>
      <c r="F1012" s="111">
        <f t="shared" si="1408"/>
        <v>0</v>
      </c>
      <c r="G1012" s="112" t="str">
        <f t="shared" si="1394"/>
        <v/>
      </c>
      <c r="H1012" s="112" t="str">
        <f t="shared" si="1409"/>
        <v/>
      </c>
      <c r="I1012" s="112" t="str">
        <f t="shared" si="1410"/>
        <v/>
      </c>
      <c r="J1012" s="111">
        <f t="shared" si="1411"/>
        <v>0</v>
      </c>
      <c r="K1012" s="111">
        <f t="shared" si="1412"/>
        <v>0</v>
      </c>
      <c r="L1012" s="111">
        <f t="shared" si="1413"/>
        <v>0</v>
      </c>
      <c r="O1012" s="125" t="str">
        <f t="shared" ref="O1012:O1025" si="1420">C1012</f>
        <v>삼영산업</v>
      </c>
      <c r="P1012" s="126">
        <f t="shared" si="1414"/>
        <v>0</v>
      </c>
      <c r="Q1012" s="111">
        <f t="shared" si="1415"/>
        <v>0</v>
      </c>
      <c r="R1012" s="126" t="str">
        <f t="shared" si="1398"/>
        <v/>
      </c>
      <c r="S1012" s="122"/>
      <c r="T1012" s="125" t="str">
        <f t="shared" si="1416"/>
        <v>삼영산업</v>
      </c>
      <c r="U1012" s="126">
        <f t="shared" si="1416"/>
        <v>0</v>
      </c>
      <c r="V1012" s="111">
        <f t="shared" si="1416"/>
        <v>0</v>
      </c>
      <c r="W1012" s="127" t="str">
        <f t="shared" si="1400"/>
        <v/>
      </c>
      <c r="X1012" s="148">
        <f t="shared" si="1417"/>
        <v>0</v>
      </c>
      <c r="Y1012" s="111"/>
      <c r="Z1012" s="155" t="str">
        <f t="shared" si="1402"/>
        <v/>
      </c>
      <c r="AA1012" s="215">
        <f t="shared" si="1418"/>
        <v>0</v>
      </c>
      <c r="AN1012" s="335">
        <f t="shared" si="1419"/>
        <v>0</v>
      </c>
      <c r="AO1012" s="336">
        <f t="shared" ref="AO1012:AO1013" si="1421">X1012-Y1012</f>
        <v>0</v>
      </c>
      <c r="AP1012" s="452"/>
    </row>
    <row r="1013" spans="2:43" ht="17.45" hidden="1" customHeight="1" outlineLevel="1">
      <c r="B1013" s="1172"/>
      <c r="C1013" s="110" t="s">
        <v>176</v>
      </c>
      <c r="D1013" s="111">
        <f t="shared" si="1406"/>
        <v>0</v>
      </c>
      <c r="E1013" s="111">
        <f t="shared" si="1407"/>
        <v>0</v>
      </c>
      <c r="F1013" s="111">
        <f t="shared" si="1408"/>
        <v>0</v>
      </c>
      <c r="G1013" s="112" t="str">
        <f t="shared" si="1394"/>
        <v/>
      </c>
      <c r="H1013" s="112" t="str">
        <f t="shared" si="1409"/>
        <v/>
      </c>
      <c r="I1013" s="112" t="str">
        <f t="shared" si="1410"/>
        <v/>
      </c>
      <c r="J1013" s="111">
        <f t="shared" si="1411"/>
        <v>0</v>
      </c>
      <c r="K1013" s="111">
        <f t="shared" si="1412"/>
        <v>0</v>
      </c>
      <c r="L1013" s="111">
        <f t="shared" si="1413"/>
        <v>0</v>
      </c>
      <c r="O1013" s="125" t="str">
        <f t="shared" si="1420"/>
        <v>고려시멘트</v>
      </c>
      <c r="P1013" s="126">
        <f t="shared" si="1414"/>
        <v>0</v>
      </c>
      <c r="Q1013" s="111">
        <f t="shared" si="1415"/>
        <v>0</v>
      </c>
      <c r="R1013" s="126" t="str">
        <f t="shared" si="1398"/>
        <v/>
      </c>
      <c r="S1013" s="122"/>
      <c r="T1013" s="125" t="str">
        <f t="shared" si="1416"/>
        <v>고려시멘트</v>
      </c>
      <c r="U1013" s="126">
        <f t="shared" si="1416"/>
        <v>0</v>
      </c>
      <c r="V1013" s="111">
        <f t="shared" si="1416"/>
        <v>0</v>
      </c>
      <c r="W1013" s="127" t="str">
        <f t="shared" si="1400"/>
        <v/>
      </c>
      <c r="X1013" s="148">
        <f t="shared" si="1417"/>
        <v>0</v>
      </c>
      <c r="Y1013" s="111"/>
      <c r="Z1013" s="155" t="str">
        <f t="shared" si="1402"/>
        <v/>
      </c>
      <c r="AA1013" s="215">
        <f t="shared" si="1418"/>
        <v>0</v>
      </c>
      <c r="AN1013" s="335">
        <f t="shared" si="1419"/>
        <v>0</v>
      </c>
      <c r="AO1013" s="336">
        <f t="shared" si="1421"/>
        <v>0</v>
      </c>
      <c r="AP1013" s="452"/>
    </row>
    <row r="1014" spans="2:43" ht="17.45" hidden="1" customHeight="1" outlineLevel="1">
      <c r="B1014" s="1172"/>
      <c r="C1014" s="110" t="s">
        <v>63</v>
      </c>
      <c r="D1014" s="111">
        <f t="shared" si="1406"/>
        <v>0</v>
      </c>
      <c r="E1014" s="111">
        <f t="shared" si="1407"/>
        <v>0</v>
      </c>
      <c r="F1014" s="111">
        <f t="shared" si="1408"/>
        <v>0</v>
      </c>
      <c r="G1014" s="112" t="str">
        <f t="shared" si="1394"/>
        <v/>
      </c>
      <c r="H1014" s="112" t="str">
        <f t="shared" si="1409"/>
        <v/>
      </c>
      <c r="I1014" s="112" t="str">
        <f t="shared" si="1410"/>
        <v/>
      </c>
      <c r="J1014" s="111">
        <f t="shared" si="1411"/>
        <v>0</v>
      </c>
      <c r="K1014" s="111">
        <f t="shared" si="1412"/>
        <v>0</v>
      </c>
      <c r="L1014" s="111">
        <f t="shared" si="1413"/>
        <v>0</v>
      </c>
      <c r="O1014" s="125" t="str">
        <f t="shared" si="1420"/>
        <v>청해실업</v>
      </c>
      <c r="P1014" s="126">
        <f t="shared" si="1414"/>
        <v>0</v>
      </c>
      <c r="Q1014" s="111">
        <f t="shared" si="1415"/>
        <v>0</v>
      </c>
      <c r="R1014" s="126" t="str">
        <f t="shared" si="1398"/>
        <v/>
      </c>
      <c r="S1014" s="122"/>
      <c r="T1014" s="125" t="str">
        <f t="shared" si="1416"/>
        <v>청해실업</v>
      </c>
      <c r="U1014" s="126">
        <f t="shared" si="1416"/>
        <v>0</v>
      </c>
      <c r="V1014" s="111">
        <f t="shared" si="1416"/>
        <v>0</v>
      </c>
      <c r="W1014" s="127" t="str">
        <f t="shared" si="1400"/>
        <v/>
      </c>
      <c r="X1014" s="148">
        <f t="shared" si="1417"/>
        <v>0</v>
      </c>
      <c r="Y1014" s="111"/>
      <c r="Z1014" s="155" t="str">
        <f t="shared" si="1402"/>
        <v/>
      </c>
      <c r="AA1014" s="215">
        <f t="shared" si="1418"/>
        <v>0</v>
      </c>
      <c r="AN1014" s="339">
        <f t="shared" si="1419"/>
        <v>0</v>
      </c>
      <c r="AO1014" s="340">
        <f t="shared" ref="AO1014" si="1422">X1014-AN1014</f>
        <v>0</v>
      </c>
      <c r="AP1014" s="454"/>
      <c r="AQ1014" s="240" t="s">
        <v>30</v>
      </c>
    </row>
    <row r="1015" spans="2:43" ht="17.45" hidden="1" customHeight="1" outlineLevel="1">
      <c r="B1015" s="1172"/>
      <c r="C1015" s="110" t="s">
        <v>64</v>
      </c>
      <c r="D1015" s="111">
        <f t="shared" si="1406"/>
        <v>0</v>
      </c>
      <c r="E1015" s="111">
        <f t="shared" si="1407"/>
        <v>0</v>
      </c>
      <c r="F1015" s="111">
        <f t="shared" si="1408"/>
        <v>0</v>
      </c>
      <c r="G1015" s="112" t="str">
        <f t="shared" si="1394"/>
        <v/>
      </c>
      <c r="H1015" s="112" t="str">
        <f t="shared" si="1409"/>
        <v/>
      </c>
      <c r="I1015" s="112" t="str">
        <f t="shared" si="1410"/>
        <v/>
      </c>
      <c r="J1015" s="111">
        <f t="shared" si="1411"/>
        <v>0</v>
      </c>
      <c r="K1015" s="111">
        <f t="shared" si="1412"/>
        <v>0</v>
      </c>
      <c r="L1015" s="111">
        <f t="shared" si="1413"/>
        <v>0</v>
      </c>
      <c r="O1015" s="125" t="str">
        <f t="shared" si="1420"/>
        <v>한화에너지</v>
      </c>
      <c r="P1015" s="126">
        <f t="shared" si="1414"/>
        <v>0</v>
      </c>
      <c r="Q1015" s="111">
        <f t="shared" si="1415"/>
        <v>0</v>
      </c>
      <c r="R1015" s="126" t="str">
        <f t="shared" si="1398"/>
        <v/>
      </c>
      <c r="S1015" s="122"/>
      <c r="T1015" s="125" t="str">
        <f t="shared" si="1416"/>
        <v>한화에너지</v>
      </c>
      <c r="U1015" s="126">
        <f t="shared" si="1416"/>
        <v>0</v>
      </c>
      <c r="V1015" s="111">
        <f t="shared" si="1416"/>
        <v>0</v>
      </c>
      <c r="W1015" s="127" t="str">
        <f t="shared" si="1400"/>
        <v/>
      </c>
      <c r="X1015" s="148">
        <f t="shared" si="1417"/>
        <v>0</v>
      </c>
      <c r="Y1015" s="111"/>
      <c r="Z1015" s="155" t="str">
        <f t="shared" si="1402"/>
        <v/>
      </c>
      <c r="AA1015" s="215">
        <f t="shared" si="1418"/>
        <v>0</v>
      </c>
      <c r="AN1015" s="335">
        <f t="shared" si="1419"/>
        <v>0</v>
      </c>
      <c r="AO1015" s="336">
        <f t="shared" ref="AO1015:AO1025" si="1423">X1015-Y1015</f>
        <v>0</v>
      </c>
      <c r="AP1015" s="452"/>
    </row>
    <row r="1016" spans="2:43" ht="17.45" hidden="1" customHeight="1" outlineLevel="1">
      <c r="B1016" s="1172"/>
      <c r="C1016" s="110" t="s">
        <v>178</v>
      </c>
      <c r="D1016" s="111">
        <f t="shared" si="1406"/>
        <v>0</v>
      </c>
      <c r="E1016" s="111">
        <f t="shared" si="1407"/>
        <v>0</v>
      </c>
      <c r="F1016" s="111">
        <f t="shared" si="1408"/>
        <v>0</v>
      </c>
      <c r="G1016" s="112" t="str">
        <f t="shared" si="1394"/>
        <v/>
      </c>
      <c r="H1016" s="112" t="str">
        <f t="shared" si="1409"/>
        <v/>
      </c>
      <c r="I1016" s="112" t="str">
        <f t="shared" si="1410"/>
        <v/>
      </c>
      <c r="J1016" s="111">
        <f t="shared" si="1411"/>
        <v>0</v>
      </c>
      <c r="K1016" s="111">
        <f t="shared" si="1412"/>
        <v>0</v>
      </c>
      <c r="L1016" s="111">
        <f t="shared" si="1413"/>
        <v>0</v>
      </c>
      <c r="O1016" s="125" t="str">
        <f t="shared" si="1420"/>
        <v>금호석유화학</v>
      </c>
      <c r="P1016" s="126">
        <f t="shared" si="1414"/>
        <v>0</v>
      </c>
      <c r="Q1016" s="111">
        <f t="shared" si="1415"/>
        <v>0</v>
      </c>
      <c r="R1016" s="126" t="str">
        <f t="shared" si="1398"/>
        <v/>
      </c>
      <c r="S1016" s="122"/>
      <c r="T1016" s="125" t="str">
        <f t="shared" si="1416"/>
        <v>금호석유화학</v>
      </c>
      <c r="U1016" s="126">
        <f t="shared" si="1416"/>
        <v>0</v>
      </c>
      <c r="V1016" s="111">
        <f t="shared" si="1416"/>
        <v>0</v>
      </c>
      <c r="W1016" s="127" t="str">
        <f t="shared" si="1400"/>
        <v/>
      </c>
      <c r="X1016" s="148">
        <f t="shared" si="1417"/>
        <v>0</v>
      </c>
      <c r="Y1016" s="111"/>
      <c r="Z1016" s="155" t="str">
        <f t="shared" si="1402"/>
        <v/>
      </c>
      <c r="AA1016" s="215">
        <f t="shared" si="1418"/>
        <v>0</v>
      </c>
      <c r="AN1016" s="335">
        <f t="shared" si="1419"/>
        <v>0</v>
      </c>
      <c r="AO1016" s="336">
        <f t="shared" si="1423"/>
        <v>0</v>
      </c>
      <c r="AP1016" s="452"/>
    </row>
    <row r="1017" spans="2:43" ht="17.45" hidden="1" customHeight="1" outlineLevel="1">
      <c r="B1017" s="1172"/>
      <c r="C1017" s="110" t="s">
        <v>65</v>
      </c>
      <c r="D1017" s="111">
        <f t="shared" si="1406"/>
        <v>0</v>
      </c>
      <c r="E1017" s="111">
        <f t="shared" si="1407"/>
        <v>0</v>
      </c>
      <c r="F1017" s="111">
        <f t="shared" si="1408"/>
        <v>0</v>
      </c>
      <c r="G1017" s="112" t="str">
        <f t="shared" si="1394"/>
        <v/>
      </c>
      <c r="H1017" s="112" t="str">
        <f t="shared" si="1409"/>
        <v/>
      </c>
      <c r="I1017" s="112" t="str">
        <f t="shared" si="1410"/>
        <v/>
      </c>
      <c r="J1017" s="111">
        <f t="shared" si="1411"/>
        <v>0</v>
      </c>
      <c r="K1017" s="111">
        <f t="shared" si="1412"/>
        <v>0</v>
      </c>
      <c r="L1017" s="111">
        <f t="shared" si="1413"/>
        <v>0</v>
      </c>
      <c r="O1017" s="125" t="str">
        <f t="shared" si="1420"/>
        <v>LG상사</v>
      </c>
      <c r="P1017" s="126">
        <f t="shared" si="1414"/>
        <v>0</v>
      </c>
      <c r="Q1017" s="111">
        <f t="shared" si="1415"/>
        <v>0</v>
      </c>
      <c r="R1017" s="126" t="str">
        <f t="shared" si="1398"/>
        <v/>
      </c>
      <c r="S1017" s="122"/>
      <c r="T1017" s="125" t="str">
        <f t="shared" si="1416"/>
        <v>LG상사</v>
      </c>
      <c r="U1017" s="126">
        <f t="shared" si="1416"/>
        <v>0</v>
      </c>
      <c r="V1017" s="111">
        <f t="shared" si="1416"/>
        <v>0</v>
      </c>
      <c r="W1017" s="127" t="str">
        <f t="shared" si="1400"/>
        <v/>
      </c>
      <c r="X1017" s="148">
        <f t="shared" si="1417"/>
        <v>0</v>
      </c>
      <c r="Y1017" s="111"/>
      <c r="Z1017" s="155" t="str">
        <f t="shared" si="1402"/>
        <v/>
      </c>
      <c r="AA1017" s="215">
        <f t="shared" si="1418"/>
        <v>0</v>
      </c>
      <c r="AN1017" s="335">
        <f t="shared" si="1419"/>
        <v>0</v>
      </c>
      <c r="AO1017" s="336">
        <f t="shared" si="1423"/>
        <v>0</v>
      </c>
      <c r="AP1017" s="452"/>
    </row>
    <row r="1018" spans="2:43" ht="17.45" hidden="1" customHeight="1" outlineLevel="1">
      <c r="B1018" s="1172"/>
      <c r="C1018" s="110" t="s">
        <v>66</v>
      </c>
      <c r="D1018" s="111">
        <f t="shared" si="1406"/>
        <v>0</v>
      </c>
      <c r="E1018" s="111">
        <f t="shared" si="1407"/>
        <v>0</v>
      </c>
      <c r="F1018" s="111">
        <f t="shared" si="1408"/>
        <v>0</v>
      </c>
      <c r="G1018" s="112" t="str">
        <f t="shared" si="1394"/>
        <v/>
      </c>
      <c r="H1018" s="112" t="str">
        <f t="shared" si="1409"/>
        <v/>
      </c>
      <c r="I1018" s="112" t="str">
        <f t="shared" si="1410"/>
        <v/>
      </c>
      <c r="J1018" s="111">
        <f t="shared" si="1411"/>
        <v>0</v>
      </c>
      <c r="K1018" s="111">
        <f t="shared" si="1412"/>
        <v>0</v>
      </c>
      <c r="L1018" s="111">
        <f t="shared" si="1413"/>
        <v>0</v>
      </c>
      <c r="O1018" s="125" t="str">
        <f t="shared" si="1420"/>
        <v>LG화학</v>
      </c>
      <c r="P1018" s="126">
        <f t="shared" si="1414"/>
        <v>0</v>
      </c>
      <c r="Q1018" s="111">
        <f t="shared" si="1415"/>
        <v>0</v>
      </c>
      <c r="R1018" s="126" t="str">
        <f t="shared" si="1398"/>
        <v/>
      </c>
      <c r="S1018" s="122"/>
      <c r="T1018" s="125" t="str">
        <f t="shared" si="1416"/>
        <v>LG화학</v>
      </c>
      <c r="U1018" s="126">
        <f t="shared" si="1416"/>
        <v>0</v>
      </c>
      <c r="V1018" s="111">
        <f t="shared" si="1416"/>
        <v>0</v>
      </c>
      <c r="W1018" s="127" t="str">
        <f t="shared" si="1400"/>
        <v/>
      </c>
      <c r="X1018" s="148">
        <f t="shared" si="1417"/>
        <v>0</v>
      </c>
      <c r="Y1018" s="111"/>
      <c r="Z1018" s="155" t="str">
        <f t="shared" si="1402"/>
        <v/>
      </c>
      <c r="AA1018" s="215">
        <f t="shared" si="1418"/>
        <v>0</v>
      </c>
      <c r="AN1018" s="335">
        <f t="shared" si="1419"/>
        <v>0</v>
      </c>
      <c r="AO1018" s="336">
        <f t="shared" si="1423"/>
        <v>0</v>
      </c>
      <c r="AP1018" s="452"/>
    </row>
    <row r="1019" spans="2:43" ht="17.45" hidden="1" customHeight="1" outlineLevel="1">
      <c r="B1019" s="1172"/>
      <c r="C1019" s="110" t="s">
        <v>67</v>
      </c>
      <c r="D1019" s="111">
        <f t="shared" si="1406"/>
        <v>0</v>
      </c>
      <c r="E1019" s="111">
        <f t="shared" si="1407"/>
        <v>0</v>
      </c>
      <c r="F1019" s="111">
        <f t="shared" si="1408"/>
        <v>0</v>
      </c>
      <c r="G1019" s="112" t="str">
        <f t="shared" si="1394"/>
        <v/>
      </c>
      <c r="H1019" s="112" t="str">
        <f t="shared" si="1409"/>
        <v/>
      </c>
      <c r="I1019" s="112" t="str">
        <f t="shared" si="1410"/>
        <v/>
      </c>
      <c r="J1019" s="111">
        <f t="shared" si="1411"/>
        <v>0</v>
      </c>
      <c r="K1019" s="111">
        <f t="shared" si="1412"/>
        <v>0</v>
      </c>
      <c r="L1019" s="111">
        <f t="shared" si="1413"/>
        <v>0</v>
      </c>
      <c r="O1019" s="125" t="str">
        <f t="shared" si="1420"/>
        <v>OCI SE</v>
      </c>
      <c r="P1019" s="126">
        <f t="shared" si="1414"/>
        <v>0</v>
      </c>
      <c r="Q1019" s="111">
        <f t="shared" si="1415"/>
        <v>0</v>
      </c>
      <c r="R1019" s="126" t="str">
        <f t="shared" si="1398"/>
        <v/>
      </c>
      <c r="S1019" s="122"/>
      <c r="T1019" s="125" t="str">
        <f t="shared" si="1416"/>
        <v>OCI SE</v>
      </c>
      <c r="U1019" s="126">
        <f t="shared" si="1416"/>
        <v>0</v>
      </c>
      <c r="V1019" s="111">
        <f t="shared" si="1416"/>
        <v>0</v>
      </c>
      <c r="W1019" s="127" t="str">
        <f t="shared" si="1400"/>
        <v/>
      </c>
      <c r="X1019" s="148">
        <f t="shared" si="1417"/>
        <v>0</v>
      </c>
      <c r="Y1019" s="111"/>
      <c r="Z1019" s="155" t="str">
        <f t="shared" si="1402"/>
        <v/>
      </c>
      <c r="AA1019" s="215">
        <f t="shared" si="1418"/>
        <v>0</v>
      </c>
      <c r="AN1019" s="335">
        <f t="shared" si="1419"/>
        <v>0</v>
      </c>
      <c r="AO1019" s="336">
        <f t="shared" si="1423"/>
        <v>0</v>
      </c>
      <c r="AP1019" s="452"/>
    </row>
    <row r="1020" spans="2:43" ht="17.45" hidden="1" customHeight="1" outlineLevel="1">
      <c r="B1020" s="1172"/>
      <c r="C1020" s="110" t="s">
        <v>37</v>
      </c>
      <c r="D1020" s="111">
        <f t="shared" si="1406"/>
        <v>0</v>
      </c>
      <c r="E1020" s="111">
        <f t="shared" si="1407"/>
        <v>0</v>
      </c>
      <c r="F1020" s="111">
        <f t="shared" si="1408"/>
        <v>0</v>
      </c>
      <c r="G1020" s="112" t="str">
        <f t="shared" si="1394"/>
        <v/>
      </c>
      <c r="H1020" s="112" t="str">
        <f t="shared" si="1409"/>
        <v/>
      </c>
      <c r="I1020" s="112" t="str">
        <f t="shared" si="1410"/>
        <v/>
      </c>
      <c r="J1020" s="111">
        <f t="shared" si="1411"/>
        <v>0</v>
      </c>
      <c r="K1020" s="111">
        <f t="shared" si="1412"/>
        <v>0</v>
      </c>
      <c r="L1020" s="111">
        <f t="shared" si="1413"/>
        <v>0</v>
      </c>
      <c r="O1020" s="125" t="str">
        <f t="shared" si="1420"/>
        <v>청해소재</v>
      </c>
      <c r="P1020" s="126">
        <f t="shared" si="1414"/>
        <v>0</v>
      </c>
      <c r="Q1020" s="111">
        <f t="shared" si="1415"/>
        <v>0</v>
      </c>
      <c r="R1020" s="126" t="str">
        <f t="shared" si="1398"/>
        <v/>
      </c>
      <c r="S1020" s="122"/>
      <c r="T1020" s="125" t="str">
        <f t="shared" si="1416"/>
        <v>청해소재</v>
      </c>
      <c r="U1020" s="126">
        <f t="shared" si="1416"/>
        <v>0</v>
      </c>
      <c r="V1020" s="111">
        <f t="shared" si="1416"/>
        <v>0</v>
      </c>
      <c r="W1020" s="127" t="str">
        <f t="shared" si="1400"/>
        <v/>
      </c>
      <c r="X1020" s="148">
        <f t="shared" si="1417"/>
        <v>0</v>
      </c>
      <c r="Y1020" s="111"/>
      <c r="Z1020" s="155" t="str">
        <f>IFERROR(IF(X1020=0,"",X1020/Y1020),"")</f>
        <v/>
      </c>
      <c r="AA1020" s="215">
        <f t="shared" si="1418"/>
        <v>0</v>
      </c>
      <c r="AN1020" s="335">
        <f t="shared" si="1419"/>
        <v>0</v>
      </c>
      <c r="AO1020" s="336">
        <f t="shared" si="1423"/>
        <v>0</v>
      </c>
      <c r="AP1020" s="452"/>
      <c r="AQ1020" s="240" t="s">
        <v>157</v>
      </c>
    </row>
    <row r="1021" spans="2:43" ht="17.45" hidden="1" customHeight="1" outlineLevel="1">
      <c r="B1021" s="1172"/>
      <c r="C1021" s="110" t="s">
        <v>365</v>
      </c>
      <c r="D1021" s="111">
        <f t="shared" si="1406"/>
        <v>0</v>
      </c>
      <c r="E1021" s="111">
        <f t="shared" si="1407"/>
        <v>0</v>
      </c>
      <c r="F1021" s="111">
        <f t="shared" si="1408"/>
        <v>0</v>
      </c>
      <c r="G1021" s="112" t="str">
        <f t="shared" si="1394"/>
        <v/>
      </c>
      <c r="H1021" s="112" t="str">
        <f t="shared" si="1409"/>
        <v/>
      </c>
      <c r="I1021" s="112" t="str">
        <f t="shared" si="1410"/>
        <v/>
      </c>
      <c r="J1021" s="111">
        <f t="shared" si="1411"/>
        <v>0</v>
      </c>
      <c r="K1021" s="111">
        <f t="shared" si="1412"/>
        <v>0</v>
      </c>
      <c r="L1021" s="111">
        <f t="shared" si="1413"/>
        <v>0</v>
      </c>
      <c r="O1021" s="125" t="str">
        <f t="shared" si="1420"/>
        <v>김천에너지</v>
      </c>
      <c r="P1021" s="126">
        <f t="shared" si="1414"/>
        <v>0</v>
      </c>
      <c r="Q1021" s="111">
        <f t="shared" si="1415"/>
        <v>0</v>
      </c>
      <c r="R1021" s="126" t="str">
        <f t="shared" si="1398"/>
        <v/>
      </c>
      <c r="S1021" s="122"/>
      <c r="T1021" s="125" t="str">
        <f t="shared" si="1416"/>
        <v>김천에너지</v>
      </c>
      <c r="U1021" s="126">
        <f t="shared" si="1416"/>
        <v>0</v>
      </c>
      <c r="V1021" s="111">
        <f t="shared" si="1416"/>
        <v>0</v>
      </c>
      <c r="W1021" s="127" t="str">
        <f t="shared" si="1400"/>
        <v/>
      </c>
      <c r="X1021" s="148">
        <f t="shared" si="1417"/>
        <v>0</v>
      </c>
      <c r="Y1021" s="111"/>
      <c r="Z1021" s="155" t="str">
        <f t="shared" ref="Z1021:Z1030" si="1424">IFERROR(IF(X1021=0,"",X1021/Y1021),"")</f>
        <v/>
      </c>
      <c r="AA1021" s="215">
        <f t="shared" si="1418"/>
        <v>0</v>
      </c>
      <c r="AN1021" s="335">
        <f t="shared" si="1419"/>
        <v>0</v>
      </c>
      <c r="AO1021" s="336">
        <f t="shared" si="1423"/>
        <v>0</v>
      </c>
      <c r="AP1021" s="452"/>
    </row>
    <row r="1022" spans="2:43" ht="17.45" hidden="1" customHeight="1" outlineLevel="1">
      <c r="B1022" s="1172"/>
      <c r="C1022" s="110" t="s">
        <v>107</v>
      </c>
      <c r="D1022" s="111">
        <f t="shared" si="1406"/>
        <v>0</v>
      </c>
      <c r="E1022" s="111">
        <f t="shared" si="1407"/>
        <v>0</v>
      </c>
      <c r="F1022" s="111">
        <f t="shared" si="1408"/>
        <v>0</v>
      </c>
      <c r="G1022" s="112" t="str">
        <f t="shared" si="1394"/>
        <v/>
      </c>
      <c r="H1022" s="112" t="str">
        <f t="shared" si="1409"/>
        <v/>
      </c>
      <c r="I1022" s="112" t="str">
        <f t="shared" si="1410"/>
        <v/>
      </c>
      <c r="J1022" s="111">
        <f t="shared" si="1411"/>
        <v>0</v>
      </c>
      <c r="K1022" s="111">
        <f t="shared" si="1412"/>
        <v>0</v>
      </c>
      <c r="L1022" s="111">
        <f t="shared" si="1413"/>
        <v>0</v>
      </c>
      <c r="O1022" s="125" t="str">
        <f t="shared" si="1420"/>
        <v>대구염색공단</v>
      </c>
      <c r="P1022" s="126">
        <f t="shared" si="1414"/>
        <v>0</v>
      </c>
      <c r="Q1022" s="111">
        <f t="shared" si="1415"/>
        <v>0</v>
      </c>
      <c r="R1022" s="126" t="str">
        <f t="shared" si="1398"/>
        <v/>
      </c>
      <c r="S1022" s="122"/>
      <c r="T1022" s="125" t="str">
        <f t="shared" si="1416"/>
        <v>대구염색공단</v>
      </c>
      <c r="U1022" s="126">
        <f t="shared" si="1416"/>
        <v>0</v>
      </c>
      <c r="V1022" s="111">
        <f t="shared" si="1416"/>
        <v>0</v>
      </c>
      <c r="W1022" s="127" t="str">
        <f t="shared" si="1400"/>
        <v/>
      </c>
      <c r="X1022" s="148">
        <f t="shared" si="1417"/>
        <v>0</v>
      </c>
      <c r="Y1022" s="111"/>
      <c r="Z1022" s="155" t="str">
        <f t="shared" si="1424"/>
        <v/>
      </c>
      <c r="AA1022" s="215">
        <f t="shared" si="1418"/>
        <v>0</v>
      </c>
      <c r="AN1022" s="335">
        <f t="shared" si="1419"/>
        <v>0</v>
      </c>
      <c r="AO1022" s="336">
        <f t="shared" si="1423"/>
        <v>0</v>
      </c>
      <c r="AP1022" s="452"/>
    </row>
    <row r="1023" spans="2:43" ht="17.45" hidden="1" customHeight="1" outlineLevel="1">
      <c r="B1023" s="1172"/>
      <c r="C1023" s="110" t="s">
        <v>108</v>
      </c>
      <c r="D1023" s="111">
        <f t="shared" si="1406"/>
        <v>0</v>
      </c>
      <c r="E1023" s="111">
        <f t="shared" si="1407"/>
        <v>0</v>
      </c>
      <c r="F1023" s="111">
        <f t="shared" si="1408"/>
        <v>0</v>
      </c>
      <c r="G1023" s="112" t="str">
        <f t="shared" si="1394"/>
        <v/>
      </c>
      <c r="H1023" s="112" t="str">
        <f t="shared" si="1409"/>
        <v/>
      </c>
      <c r="I1023" s="112" t="str">
        <f t="shared" si="1410"/>
        <v/>
      </c>
      <c r="J1023" s="111">
        <f t="shared" si="1411"/>
        <v>0</v>
      </c>
      <c r="K1023" s="111">
        <f t="shared" si="1412"/>
        <v>0</v>
      </c>
      <c r="L1023" s="111">
        <f t="shared" si="1413"/>
        <v>0</v>
      </c>
      <c r="O1023" s="125" t="str">
        <f t="shared" si="1420"/>
        <v>SNNC(니켈)</v>
      </c>
      <c r="P1023" s="126">
        <f t="shared" si="1414"/>
        <v>0</v>
      </c>
      <c r="Q1023" s="111">
        <f t="shared" si="1415"/>
        <v>0</v>
      </c>
      <c r="R1023" s="126" t="str">
        <f t="shared" si="1398"/>
        <v/>
      </c>
      <c r="S1023" s="122"/>
      <c r="T1023" s="125" t="str">
        <f t="shared" si="1416"/>
        <v>SNNC(니켈)</v>
      </c>
      <c r="U1023" s="126">
        <f t="shared" si="1416"/>
        <v>0</v>
      </c>
      <c r="V1023" s="111">
        <f t="shared" si="1416"/>
        <v>0</v>
      </c>
      <c r="W1023" s="127" t="str">
        <f t="shared" si="1400"/>
        <v/>
      </c>
      <c r="X1023" s="148">
        <f t="shared" si="1417"/>
        <v>0</v>
      </c>
      <c r="Y1023" s="111"/>
      <c r="Z1023" s="155" t="str">
        <f t="shared" si="1424"/>
        <v/>
      </c>
      <c r="AA1023" s="215">
        <f t="shared" si="1418"/>
        <v>0</v>
      </c>
      <c r="AN1023" s="335">
        <f t="shared" si="1419"/>
        <v>0</v>
      </c>
      <c r="AO1023" s="336">
        <f t="shared" si="1423"/>
        <v>0</v>
      </c>
      <c r="AP1023" s="452"/>
    </row>
    <row r="1024" spans="2:43" ht="17.45" hidden="1" customHeight="1" outlineLevel="1">
      <c r="B1024" s="1172"/>
      <c r="C1024" s="110" t="s">
        <v>130</v>
      </c>
      <c r="D1024" s="111">
        <f t="shared" si="1406"/>
        <v>0</v>
      </c>
      <c r="E1024" s="111">
        <f t="shared" si="1407"/>
        <v>0</v>
      </c>
      <c r="F1024" s="111">
        <f t="shared" si="1408"/>
        <v>0</v>
      </c>
      <c r="G1024" s="112" t="str">
        <f t="shared" si="1394"/>
        <v/>
      </c>
      <c r="H1024" s="112" t="str">
        <f t="shared" si="1409"/>
        <v/>
      </c>
      <c r="I1024" s="112" t="str">
        <f t="shared" si="1410"/>
        <v/>
      </c>
      <c r="J1024" s="111">
        <f t="shared" si="1411"/>
        <v>0</v>
      </c>
      <c r="K1024" s="111">
        <f t="shared" si="1412"/>
        <v>0</v>
      </c>
      <c r="L1024" s="111">
        <f t="shared" si="1413"/>
        <v>0</v>
      </c>
      <c r="O1024" s="125" t="str">
        <f t="shared" si="1420"/>
        <v>SK-N(고려시멘트)</v>
      </c>
      <c r="P1024" s="126">
        <f t="shared" si="1414"/>
        <v>0</v>
      </c>
      <c r="Q1024" s="111">
        <f t="shared" si="1415"/>
        <v>0</v>
      </c>
      <c r="R1024" s="126" t="str">
        <f t="shared" si="1398"/>
        <v/>
      </c>
      <c r="S1024" s="122"/>
      <c r="T1024" s="125" t="str">
        <f t="shared" si="1416"/>
        <v>SK-N(고려시멘트)</v>
      </c>
      <c r="U1024" s="126">
        <f t="shared" si="1416"/>
        <v>0</v>
      </c>
      <c r="V1024" s="111">
        <f t="shared" si="1416"/>
        <v>0</v>
      </c>
      <c r="W1024" s="127" t="str">
        <f t="shared" si="1400"/>
        <v/>
      </c>
      <c r="X1024" s="148">
        <f t="shared" si="1417"/>
        <v>0</v>
      </c>
      <c r="Y1024" s="111"/>
      <c r="Z1024" s="155" t="str">
        <f t="shared" si="1424"/>
        <v/>
      </c>
      <c r="AA1024" s="215">
        <f t="shared" si="1418"/>
        <v>0</v>
      </c>
      <c r="AN1024" s="335">
        <f t="shared" si="1419"/>
        <v>0</v>
      </c>
      <c r="AO1024" s="336">
        <f t="shared" si="1423"/>
        <v>0</v>
      </c>
      <c r="AP1024" s="452"/>
    </row>
    <row r="1025" spans="2:43" ht="17.45" hidden="1" customHeight="1" outlineLevel="1">
      <c r="B1025" s="1172"/>
      <c r="C1025" s="110" t="s">
        <v>68</v>
      </c>
      <c r="D1025" s="111">
        <f t="shared" si="1406"/>
        <v>0</v>
      </c>
      <c r="E1025" s="111">
        <f t="shared" si="1407"/>
        <v>0</v>
      </c>
      <c r="F1025" s="111">
        <f t="shared" si="1408"/>
        <v>0</v>
      </c>
      <c r="G1025" s="112" t="str">
        <f t="shared" si="1394"/>
        <v/>
      </c>
      <c r="H1025" s="112" t="str">
        <f t="shared" si="1409"/>
        <v/>
      </c>
      <c r="I1025" s="112" t="str">
        <f t="shared" si="1410"/>
        <v/>
      </c>
      <c r="J1025" s="111">
        <f t="shared" si="1411"/>
        <v>0</v>
      </c>
      <c r="K1025" s="111">
        <f t="shared" si="1412"/>
        <v>0</v>
      </c>
      <c r="L1025" s="111">
        <f t="shared" si="1413"/>
        <v>0</v>
      </c>
      <c r="O1025" s="125" t="str">
        <f t="shared" si="1420"/>
        <v>SNNC</v>
      </c>
      <c r="P1025" s="126">
        <f t="shared" si="1414"/>
        <v>0</v>
      </c>
      <c r="Q1025" s="111">
        <f t="shared" si="1415"/>
        <v>0</v>
      </c>
      <c r="R1025" s="126" t="str">
        <f t="shared" si="1398"/>
        <v/>
      </c>
      <c r="S1025" s="122"/>
      <c r="T1025" s="125" t="str">
        <f t="shared" si="1416"/>
        <v>SNNC</v>
      </c>
      <c r="U1025" s="126">
        <f t="shared" si="1416"/>
        <v>0</v>
      </c>
      <c r="V1025" s="111">
        <f t="shared" si="1416"/>
        <v>0</v>
      </c>
      <c r="W1025" s="127" t="str">
        <f t="shared" si="1400"/>
        <v/>
      </c>
      <c r="X1025" s="148">
        <f t="shared" si="1417"/>
        <v>0</v>
      </c>
      <c r="Y1025" s="111"/>
      <c r="Z1025" s="155" t="str">
        <f t="shared" si="1424"/>
        <v/>
      </c>
      <c r="AA1025" s="215">
        <f t="shared" si="1418"/>
        <v>0</v>
      </c>
      <c r="AN1025" s="335">
        <f t="shared" si="1419"/>
        <v>0</v>
      </c>
      <c r="AO1025" s="336">
        <f t="shared" si="1423"/>
        <v>0</v>
      </c>
      <c r="AP1025" s="452"/>
    </row>
    <row r="1026" spans="2:43" ht="17.45" hidden="1" customHeight="1" outlineLevel="1" thickBot="1">
      <c r="B1026" s="1172"/>
      <c r="C1026" s="113" t="s">
        <v>61</v>
      </c>
      <c r="D1026" s="114">
        <f>SUM(D1011:D1025)</f>
        <v>0</v>
      </c>
      <c r="E1026" s="179">
        <f>SUM(E1011:E1025)</f>
        <v>0</v>
      </c>
      <c r="F1026" s="114">
        <f>SUM(F1011:F1025)</f>
        <v>0</v>
      </c>
      <c r="G1026" s="115" t="str">
        <f t="shared" si="1394"/>
        <v/>
      </c>
      <c r="H1026" s="185" t="str">
        <f>IFERROR(E1026/F1026,"")</f>
        <v/>
      </c>
      <c r="I1026" s="115" t="str">
        <f>IFERROR(G1026+H1026,"")</f>
        <v/>
      </c>
      <c r="J1026" s="114">
        <f t="shared" ref="J1026:L1026" si="1425">SUM(J1011:J1025)</f>
        <v>0</v>
      </c>
      <c r="K1026" s="114">
        <f t="shared" si="1425"/>
        <v>0</v>
      </c>
      <c r="L1026" s="114">
        <f t="shared" si="1425"/>
        <v>0</v>
      </c>
      <c r="O1026" s="128" t="s">
        <v>61</v>
      </c>
      <c r="P1026" s="129">
        <f>SUM(P1011:P1025)</f>
        <v>0</v>
      </c>
      <c r="Q1026" s="114">
        <f>SUM(Q1011:Q1025)</f>
        <v>0</v>
      </c>
      <c r="R1026" s="129" t="str">
        <f t="shared" si="1398"/>
        <v/>
      </c>
      <c r="S1026" s="122"/>
      <c r="T1026" s="128" t="s">
        <v>61</v>
      </c>
      <c r="U1026" s="129">
        <f>SUM(U1011:U1025)</f>
        <v>0</v>
      </c>
      <c r="V1026" s="114">
        <f>SUM(V1011:V1025)</f>
        <v>0</v>
      </c>
      <c r="W1026" s="130" t="str">
        <f>IFERROR(U1026/V1026,"")</f>
        <v/>
      </c>
      <c r="X1026" s="179">
        <f>SUM(X1011:X1025)</f>
        <v>0</v>
      </c>
      <c r="Y1026" s="114">
        <f>SUM(Y1011:Y1025)</f>
        <v>0</v>
      </c>
      <c r="Z1026" s="176" t="str">
        <f t="shared" si="1424"/>
        <v/>
      </c>
      <c r="AA1026" s="213">
        <f>SUM(AA1011:AA1025)</f>
        <v>0</v>
      </c>
      <c r="AN1026" s="341">
        <f>SUM(AN1011:AN1025)</f>
        <v>0</v>
      </c>
      <c r="AO1026" s="341">
        <f>SUM(AO1011:AO1025)</f>
        <v>0</v>
      </c>
      <c r="AP1026" s="455"/>
    </row>
    <row r="1027" spans="2:43" ht="17.45" hidden="1" customHeight="1" outlineLevel="1" thickBot="1">
      <c r="B1027" s="1106" t="s">
        <v>57</v>
      </c>
      <c r="C1027" s="1106"/>
      <c r="D1027" s="147">
        <f>SUM(D1026,D1010)</f>
        <v>0</v>
      </c>
      <c r="E1027" s="182">
        <f>SUM(E1026,E1010)</f>
        <v>0</v>
      </c>
      <c r="F1027" s="149">
        <f>SUM(F1026,F1010)</f>
        <v>0</v>
      </c>
      <c r="G1027" s="183" t="str">
        <f t="shared" si="1394"/>
        <v/>
      </c>
      <c r="H1027" s="186" t="str">
        <f>IFERROR(E1027/F1027,"")</f>
        <v/>
      </c>
      <c r="I1027" s="184" t="str">
        <f>IFERROR(G1027+H1027,"")</f>
        <v/>
      </c>
      <c r="J1027" s="116">
        <f t="shared" ref="J1027:L1027" si="1426">SUM(J1026,J1010)</f>
        <v>0</v>
      </c>
      <c r="K1027" s="116">
        <f t="shared" si="1426"/>
        <v>0</v>
      </c>
      <c r="L1027" s="116">
        <f t="shared" si="1426"/>
        <v>0</v>
      </c>
      <c r="O1027" s="131" t="s">
        <v>79</v>
      </c>
      <c r="P1027" s="132">
        <f>SUM(P1026,P1010)</f>
        <v>0</v>
      </c>
      <c r="Q1027" s="116">
        <f>SUM(Q1026,Q1010)</f>
        <v>0</v>
      </c>
      <c r="R1027" s="132" t="str">
        <f>IFERROR(P1027/Q1027,"")</f>
        <v/>
      </c>
      <c r="S1027" s="122"/>
      <c r="T1027" s="131" t="s">
        <v>76</v>
      </c>
      <c r="U1027" s="132">
        <f>SUM(U1026,U1010)</f>
        <v>0</v>
      </c>
      <c r="V1027" s="147">
        <f>SUM(V1026,V1010)</f>
        <v>0</v>
      </c>
      <c r="W1027" s="173" t="str">
        <f t="shared" ref="W1027:W1028" si="1427">IFERROR(U1027/V1027,"")</f>
        <v/>
      </c>
      <c r="X1027" s="182">
        <f>SUM(X1010,X1026)</f>
        <v>0</v>
      </c>
      <c r="Y1027" s="175">
        <f>SUM(Y1010,Y1026)</f>
        <v>0</v>
      </c>
      <c r="Z1027" s="178" t="str">
        <f t="shared" si="1424"/>
        <v/>
      </c>
      <c r="AA1027" s="214">
        <f>SUM(AA1010,AA1026)</f>
        <v>0</v>
      </c>
      <c r="AN1027" s="342">
        <f>SUM(AN1010,AN1026)</f>
        <v>0</v>
      </c>
      <c r="AO1027" s="342">
        <f>SUM(AO1010,AO1026)</f>
        <v>0</v>
      </c>
      <c r="AP1027" s="456"/>
    </row>
    <row r="1028" spans="2:43" ht="17.45" hidden="1" customHeight="1" outlineLevel="1">
      <c r="D1028" s="344" t="str">
        <f>IF(D1027=L224,"","CHECK")</f>
        <v/>
      </c>
      <c r="E1028" s="344" t="str">
        <f t="shared" ref="E1028:F1028" si="1428">IF(E1027=M224,"","CHECK")</f>
        <v/>
      </c>
      <c r="F1028" s="344" t="str">
        <f t="shared" si="1428"/>
        <v/>
      </c>
      <c r="O1028" s="134" t="s">
        <v>77</v>
      </c>
      <c r="P1028" s="126"/>
      <c r="Q1028" s="126"/>
      <c r="R1028" s="126" t="str">
        <f>IFERROR(P1028/Q1028,"")</f>
        <v/>
      </c>
      <c r="S1028" s="122"/>
      <c r="T1028" s="134" t="s">
        <v>77</v>
      </c>
      <c r="U1028" s="126"/>
      <c r="V1028" s="111"/>
      <c r="W1028" s="135" t="str">
        <f t="shared" si="1427"/>
        <v/>
      </c>
      <c r="X1028" s="180"/>
      <c r="Y1028" s="126"/>
      <c r="Z1028" s="181" t="str">
        <f t="shared" si="1424"/>
        <v/>
      </c>
      <c r="AA1028" s="216">
        <f>X1028-Y1028</f>
        <v>0</v>
      </c>
      <c r="AN1028" s="335">
        <f>AN704+AN866+Y920+Y974+Y1028</f>
        <v>0</v>
      </c>
      <c r="AO1028" s="336">
        <f t="shared" ref="AO1028:AO1029" si="1429">X1028-Y1028</f>
        <v>0</v>
      </c>
      <c r="AP1028" s="452"/>
    </row>
    <row r="1029" spans="2:43" ht="17.45" hidden="1" customHeight="1" outlineLevel="1">
      <c r="T1029" s="345" t="s">
        <v>109</v>
      </c>
      <c r="U1029" s="345"/>
      <c r="V1029" s="328"/>
      <c r="W1029" s="355"/>
      <c r="X1029" s="355">
        <f>G1044</f>
        <v>0</v>
      </c>
      <c r="Y1029" s="347"/>
      <c r="Z1029" s="155" t="str">
        <f t="shared" si="1424"/>
        <v/>
      </c>
      <c r="AA1029" s="215">
        <f>X1029-Y1029</f>
        <v>0</v>
      </c>
      <c r="AN1029" s="335">
        <f>AN705+AN867+Y921+Y975+Y1029</f>
        <v>0</v>
      </c>
      <c r="AO1029" s="336">
        <f t="shared" si="1429"/>
        <v>0</v>
      </c>
      <c r="AP1029" s="452"/>
    </row>
    <row r="1030" spans="2:43" ht="17.45" hidden="1" customHeight="1" outlineLevel="1">
      <c r="B1030" s="1173" t="s">
        <v>80</v>
      </c>
      <c r="C1030" s="1177" t="s">
        <v>52</v>
      </c>
      <c r="D1030" s="1177"/>
      <c r="E1030" s="1177"/>
      <c r="F1030" s="1177" t="s">
        <v>73</v>
      </c>
      <c r="G1030" s="1177" t="s">
        <v>75</v>
      </c>
      <c r="H1030" s="1177" t="s">
        <v>95</v>
      </c>
      <c r="I1030" s="119"/>
      <c r="J1030" s="1173" t="s">
        <v>132</v>
      </c>
      <c r="K1030" s="1174" t="s">
        <v>124</v>
      </c>
      <c r="L1030" s="1174"/>
      <c r="M1030" s="1174"/>
      <c r="N1030" s="1174" t="s">
        <v>75</v>
      </c>
      <c r="O1030" s="1174"/>
      <c r="P1030" s="1174"/>
      <c r="Q1030" s="1175" t="s">
        <v>72</v>
      </c>
      <c r="R1030" s="1175" t="s">
        <v>73</v>
      </c>
      <c r="S1030" s="1175" t="s">
        <v>74</v>
      </c>
      <c r="T1030" s="262" t="s">
        <v>110</v>
      </c>
      <c r="U1030" s="262"/>
      <c r="V1030" s="334"/>
      <c r="W1030" s="356"/>
      <c r="X1030" s="356">
        <f>SUM(X1027,X1028,X1029)</f>
        <v>0</v>
      </c>
      <c r="Y1030" s="354">
        <f>SUM(Y1027,Y1029)</f>
        <v>0</v>
      </c>
      <c r="Z1030" s="158" t="str">
        <f t="shared" si="1424"/>
        <v/>
      </c>
      <c r="AA1030" s="357">
        <f>SUM(AA1027,AA1028,AA1029)</f>
        <v>0</v>
      </c>
      <c r="AN1030" s="380">
        <f>SUM(AN1027,AN1029)</f>
        <v>0</v>
      </c>
      <c r="AO1030" s="342">
        <f>SUM(AO1027,AO1029)</f>
        <v>0</v>
      </c>
      <c r="AP1030" s="456"/>
    </row>
    <row r="1031" spans="2:43" ht="17.45" hidden="1" customHeight="1" outlineLevel="1">
      <c r="B1031" s="1173"/>
      <c r="C1031" s="628" t="s">
        <v>55</v>
      </c>
      <c r="D1031" s="628" t="s">
        <v>56</v>
      </c>
      <c r="E1031" s="628" t="s">
        <v>57</v>
      </c>
      <c r="F1031" s="1177"/>
      <c r="G1031" s="1177"/>
      <c r="H1031" s="1177"/>
      <c r="I1031" s="119"/>
      <c r="J1031" s="1173"/>
      <c r="K1031" s="627" t="s">
        <v>125</v>
      </c>
      <c r="L1031" s="627" t="s">
        <v>126</v>
      </c>
      <c r="M1031" s="627" t="s">
        <v>123</v>
      </c>
      <c r="N1031" s="627" t="s">
        <v>125</v>
      </c>
      <c r="O1031" s="627" t="s">
        <v>126</v>
      </c>
      <c r="P1031" s="627" t="s">
        <v>123</v>
      </c>
      <c r="Q1031" s="1176"/>
      <c r="R1031" s="1176"/>
      <c r="S1031" s="1176"/>
    </row>
    <row r="1032" spans="2:43" ht="17.45" hidden="1" customHeight="1" outlineLevel="1">
      <c r="B1032" s="139" t="s">
        <v>81</v>
      </c>
      <c r="C1032" s="111">
        <f t="shared" ref="C1032:C1042" si="1430">SUMIF($R$201:$R$224,B1032,$L$201:$L$224)</f>
        <v>0</v>
      </c>
      <c r="D1032" s="111">
        <f t="shared" ref="D1032:D1042" si="1431">SUMIF($R$201:$R$224,B1032,$M$201:$M$224)</f>
        <v>0</v>
      </c>
      <c r="E1032" s="111">
        <f>C1032+D1032</f>
        <v>0</v>
      </c>
      <c r="F1032" s="111">
        <f t="shared" ref="F1032:F1042" si="1432">SUMIF($R$201:$R$224,B1032,$AZ$201:$AZ$224)</f>
        <v>0</v>
      </c>
      <c r="G1032" s="111">
        <f>E1032/1000</f>
        <v>0</v>
      </c>
      <c r="H1032" s="111"/>
      <c r="I1032" s="119"/>
      <c r="J1032" s="139" t="s">
        <v>117</v>
      </c>
      <c r="K1032" s="111">
        <f t="shared" ref="K1032:K1039" si="1433">SUMIF($Q$201:$Q$224,J1032,$L$201:$L$224)</f>
        <v>0</v>
      </c>
      <c r="L1032" s="111">
        <f t="shared" ref="L1032:L1039" si="1434">SUMIF($Q$201:$Q$224,J1032,$M$201:$M$224)</f>
        <v>0</v>
      </c>
      <c r="M1032" s="202">
        <f>K1032+L1032</f>
        <v>0</v>
      </c>
      <c r="N1032" s="202">
        <f>K1032/1000</f>
        <v>0</v>
      </c>
      <c r="O1032" s="202">
        <f>L1032/1000</f>
        <v>0</v>
      </c>
      <c r="P1032" s="202">
        <f>N1032+O1032</f>
        <v>0</v>
      </c>
      <c r="Q1032" s="358">
        <f t="shared" ref="Q1032:Q1039" si="1435">SUMIF($Q$201:$Q$224,J1032,$I$201:$I$224)</f>
        <v>0</v>
      </c>
      <c r="R1032" s="111">
        <f t="shared" ref="R1032:R1039" si="1436">SUMIF($Q$201:$Q$224,J1032,$AZ$201:$AZ$224)</f>
        <v>0</v>
      </c>
      <c r="S1032" s="126" t="str">
        <f>IFERROR(Q1032/R1032,"")</f>
        <v/>
      </c>
    </row>
    <row r="1033" spans="2:43" ht="17.45" hidden="1" customHeight="1" outlineLevel="1">
      <c r="B1033" s="139" t="s">
        <v>82</v>
      </c>
      <c r="C1033" s="111">
        <f t="shared" si="1430"/>
        <v>0</v>
      </c>
      <c r="D1033" s="111">
        <f t="shared" si="1431"/>
        <v>0</v>
      </c>
      <c r="E1033" s="111">
        <f t="shared" ref="E1033:E1042" si="1437">C1033+D1033</f>
        <v>0</v>
      </c>
      <c r="F1033" s="111">
        <f t="shared" si="1432"/>
        <v>0</v>
      </c>
      <c r="G1033" s="111">
        <f t="shared" ref="G1033:G1042" si="1438">E1033/1000</f>
        <v>0</v>
      </c>
      <c r="H1033" s="111"/>
      <c r="I1033" s="119"/>
      <c r="J1033" s="139" t="s">
        <v>118</v>
      </c>
      <c r="K1033" s="111">
        <f t="shared" si="1433"/>
        <v>0</v>
      </c>
      <c r="L1033" s="111">
        <f t="shared" si="1434"/>
        <v>0</v>
      </c>
      <c r="M1033" s="202">
        <f t="shared" ref="M1033:M1039" si="1439">K1033+L1033</f>
        <v>0</v>
      </c>
      <c r="N1033" s="202">
        <f t="shared" ref="N1033:O1039" si="1440">K1033/1000</f>
        <v>0</v>
      </c>
      <c r="O1033" s="202">
        <f t="shared" si="1440"/>
        <v>0</v>
      </c>
      <c r="P1033" s="202">
        <f t="shared" ref="P1033:P1039" si="1441">N1033+O1033</f>
        <v>0</v>
      </c>
      <c r="Q1033" s="358">
        <f t="shared" si="1435"/>
        <v>0</v>
      </c>
      <c r="R1033" s="111">
        <f t="shared" si="1436"/>
        <v>0</v>
      </c>
      <c r="S1033" s="126" t="str">
        <f t="shared" ref="S1033:S1039" si="1442">IFERROR(Q1033/R1033,"")</f>
        <v/>
      </c>
    </row>
    <row r="1034" spans="2:43" ht="17.45" hidden="1" customHeight="1" outlineLevel="1">
      <c r="B1034" s="139" t="s">
        <v>83</v>
      </c>
      <c r="C1034" s="111">
        <f t="shared" si="1430"/>
        <v>0</v>
      </c>
      <c r="D1034" s="111">
        <f t="shared" si="1431"/>
        <v>0</v>
      </c>
      <c r="E1034" s="111">
        <f t="shared" si="1437"/>
        <v>0</v>
      </c>
      <c r="F1034" s="111">
        <f t="shared" si="1432"/>
        <v>0</v>
      </c>
      <c r="G1034" s="111">
        <f t="shared" si="1438"/>
        <v>0</v>
      </c>
      <c r="H1034" s="111"/>
      <c r="I1034" s="119"/>
      <c r="J1034" s="139" t="s">
        <v>119</v>
      </c>
      <c r="K1034" s="111">
        <f t="shared" si="1433"/>
        <v>0</v>
      </c>
      <c r="L1034" s="111">
        <f t="shared" si="1434"/>
        <v>0</v>
      </c>
      <c r="M1034" s="202">
        <f t="shared" si="1439"/>
        <v>0</v>
      </c>
      <c r="N1034" s="202">
        <f t="shared" si="1440"/>
        <v>0</v>
      </c>
      <c r="O1034" s="202">
        <f t="shared" si="1440"/>
        <v>0</v>
      </c>
      <c r="P1034" s="202">
        <f t="shared" si="1441"/>
        <v>0</v>
      </c>
      <c r="Q1034" s="358">
        <f t="shared" si="1435"/>
        <v>0</v>
      </c>
      <c r="R1034" s="111">
        <f t="shared" si="1436"/>
        <v>0</v>
      </c>
      <c r="S1034" s="126" t="str">
        <f t="shared" si="1442"/>
        <v/>
      </c>
    </row>
    <row r="1035" spans="2:43" ht="17.45" hidden="1" customHeight="1" outlineLevel="1">
      <c r="B1035" s="139" t="s">
        <v>84</v>
      </c>
      <c r="C1035" s="111">
        <f t="shared" si="1430"/>
        <v>0</v>
      </c>
      <c r="D1035" s="111">
        <f t="shared" si="1431"/>
        <v>0</v>
      </c>
      <c r="E1035" s="111">
        <f t="shared" si="1437"/>
        <v>0</v>
      </c>
      <c r="F1035" s="111">
        <f t="shared" si="1432"/>
        <v>0</v>
      </c>
      <c r="G1035" s="111">
        <f t="shared" si="1438"/>
        <v>0</v>
      </c>
      <c r="H1035" s="111"/>
      <c r="I1035" s="119"/>
      <c r="J1035" s="139" t="s">
        <v>113</v>
      </c>
      <c r="K1035" s="111">
        <f t="shared" si="1433"/>
        <v>0</v>
      </c>
      <c r="L1035" s="111">
        <f t="shared" si="1434"/>
        <v>0</v>
      </c>
      <c r="M1035" s="202">
        <f t="shared" si="1439"/>
        <v>0</v>
      </c>
      <c r="N1035" s="202">
        <f t="shared" si="1440"/>
        <v>0</v>
      </c>
      <c r="O1035" s="202">
        <f t="shared" si="1440"/>
        <v>0</v>
      </c>
      <c r="P1035" s="202">
        <f t="shared" si="1441"/>
        <v>0</v>
      </c>
      <c r="Q1035" s="358">
        <f t="shared" si="1435"/>
        <v>0</v>
      </c>
      <c r="R1035" s="111">
        <f t="shared" si="1436"/>
        <v>0</v>
      </c>
      <c r="S1035" s="126" t="str">
        <f t="shared" si="1442"/>
        <v/>
      </c>
      <c r="T1035" s="57"/>
      <c r="U1035" s="57"/>
      <c r="V1035" s="57"/>
      <c r="W1035" s="57"/>
      <c r="X1035" s="57"/>
      <c r="Z1035" s="57"/>
      <c r="AA1035" s="57"/>
      <c r="AB1035" s="57"/>
      <c r="AC1035" s="57"/>
      <c r="AD1035" s="57"/>
      <c r="AE1035" s="57"/>
      <c r="AF1035" s="57"/>
      <c r="AG1035" s="57"/>
      <c r="AH1035" s="57"/>
      <c r="AI1035" s="57"/>
      <c r="AJ1035" s="57"/>
      <c r="AK1035" s="57"/>
      <c r="AL1035" s="57"/>
      <c r="AM1035" s="57"/>
      <c r="AN1035" s="57"/>
      <c r="AO1035" s="57"/>
      <c r="AP1035" s="57"/>
      <c r="AQ1035" s="57"/>
    </row>
    <row r="1036" spans="2:43" ht="17.45" hidden="1" customHeight="1" outlineLevel="1">
      <c r="B1036" s="139" t="s">
        <v>223</v>
      </c>
      <c r="C1036" s="111">
        <f t="shared" si="1430"/>
        <v>0</v>
      </c>
      <c r="D1036" s="111">
        <f t="shared" si="1431"/>
        <v>0</v>
      </c>
      <c r="E1036" s="111">
        <f t="shared" si="1437"/>
        <v>0</v>
      </c>
      <c r="F1036" s="111">
        <f t="shared" si="1432"/>
        <v>0</v>
      </c>
      <c r="G1036" s="111">
        <f t="shared" si="1438"/>
        <v>0</v>
      </c>
      <c r="H1036" s="111"/>
      <c r="I1036" s="119"/>
      <c r="J1036" s="139" t="s">
        <v>120</v>
      </c>
      <c r="K1036" s="111">
        <f t="shared" si="1433"/>
        <v>0</v>
      </c>
      <c r="L1036" s="111">
        <f t="shared" si="1434"/>
        <v>0</v>
      </c>
      <c r="M1036" s="202">
        <f t="shared" si="1439"/>
        <v>0</v>
      </c>
      <c r="N1036" s="202">
        <f t="shared" si="1440"/>
        <v>0</v>
      </c>
      <c r="O1036" s="202">
        <f t="shared" si="1440"/>
        <v>0</v>
      </c>
      <c r="P1036" s="202">
        <f t="shared" si="1441"/>
        <v>0</v>
      </c>
      <c r="Q1036" s="358">
        <f t="shared" si="1435"/>
        <v>0</v>
      </c>
      <c r="R1036" s="111">
        <f t="shared" si="1436"/>
        <v>0</v>
      </c>
      <c r="S1036" s="126" t="str">
        <f t="shared" si="1442"/>
        <v/>
      </c>
      <c r="T1036" s="57"/>
      <c r="U1036" s="57"/>
      <c r="V1036" s="57"/>
      <c r="W1036" s="57"/>
      <c r="X1036" s="57"/>
      <c r="Z1036" s="57"/>
      <c r="AA1036" s="57"/>
      <c r="AB1036" s="57"/>
      <c r="AC1036" s="57"/>
      <c r="AD1036" s="57"/>
      <c r="AE1036" s="57"/>
      <c r="AF1036" s="57"/>
      <c r="AG1036" s="57"/>
      <c r="AH1036" s="57"/>
      <c r="AI1036" s="57"/>
      <c r="AJ1036" s="57"/>
      <c r="AK1036" s="57"/>
      <c r="AL1036" s="57"/>
      <c r="AM1036" s="57"/>
      <c r="AN1036" s="57"/>
      <c r="AO1036" s="57"/>
      <c r="AP1036" s="57"/>
      <c r="AQ1036" s="57"/>
    </row>
    <row r="1037" spans="2:43" ht="17.45" hidden="1" customHeight="1" outlineLevel="1">
      <c r="B1037" s="139" t="s">
        <v>158</v>
      </c>
      <c r="C1037" s="111">
        <f t="shared" si="1430"/>
        <v>0</v>
      </c>
      <c r="D1037" s="111">
        <f t="shared" si="1431"/>
        <v>0</v>
      </c>
      <c r="E1037" s="111">
        <f t="shared" si="1437"/>
        <v>0</v>
      </c>
      <c r="F1037" s="111">
        <f t="shared" si="1432"/>
        <v>0</v>
      </c>
      <c r="G1037" s="111">
        <f t="shared" si="1438"/>
        <v>0</v>
      </c>
      <c r="H1037" s="111"/>
      <c r="I1037" s="119"/>
      <c r="J1037" s="139" t="s">
        <v>121</v>
      </c>
      <c r="K1037" s="111">
        <f t="shared" si="1433"/>
        <v>0</v>
      </c>
      <c r="L1037" s="111">
        <f t="shared" si="1434"/>
        <v>0</v>
      </c>
      <c r="M1037" s="202">
        <f t="shared" si="1439"/>
        <v>0</v>
      </c>
      <c r="N1037" s="202">
        <f t="shared" si="1440"/>
        <v>0</v>
      </c>
      <c r="O1037" s="202">
        <f t="shared" si="1440"/>
        <v>0</v>
      </c>
      <c r="P1037" s="202">
        <f t="shared" si="1441"/>
        <v>0</v>
      </c>
      <c r="Q1037" s="358">
        <f t="shared" si="1435"/>
        <v>0</v>
      </c>
      <c r="R1037" s="111">
        <f t="shared" si="1436"/>
        <v>0</v>
      </c>
      <c r="S1037" s="126" t="str">
        <f t="shared" si="1442"/>
        <v/>
      </c>
      <c r="T1037" s="57"/>
      <c r="U1037" s="57"/>
      <c r="V1037" s="57"/>
      <c r="W1037" s="57"/>
      <c r="X1037" s="57"/>
      <c r="Z1037" s="57"/>
      <c r="AA1037" s="57"/>
      <c r="AB1037" s="57"/>
      <c r="AC1037" s="57"/>
      <c r="AD1037" s="57"/>
      <c r="AE1037" s="57"/>
      <c r="AF1037" s="57"/>
      <c r="AG1037" s="57"/>
      <c r="AH1037" s="57"/>
      <c r="AI1037" s="57"/>
      <c r="AJ1037" s="57"/>
      <c r="AK1037" s="57"/>
      <c r="AL1037" s="57"/>
      <c r="AM1037" s="57"/>
      <c r="AN1037" s="57"/>
      <c r="AO1037" s="57"/>
      <c r="AP1037" s="57"/>
      <c r="AQ1037" s="57"/>
    </row>
    <row r="1038" spans="2:43" ht="17.45" hidden="1" customHeight="1" outlineLevel="1">
      <c r="B1038" s="139" t="s">
        <v>85</v>
      </c>
      <c r="C1038" s="111">
        <f t="shared" si="1430"/>
        <v>0</v>
      </c>
      <c r="D1038" s="111">
        <f t="shared" si="1431"/>
        <v>0</v>
      </c>
      <c r="E1038" s="111">
        <f t="shared" si="1437"/>
        <v>0</v>
      </c>
      <c r="F1038" s="111">
        <f t="shared" si="1432"/>
        <v>0</v>
      </c>
      <c r="G1038" s="111">
        <f t="shared" si="1438"/>
        <v>0</v>
      </c>
      <c r="H1038" s="111"/>
      <c r="I1038" s="119"/>
      <c r="J1038" s="139" t="s">
        <v>122</v>
      </c>
      <c r="K1038" s="111">
        <f t="shared" si="1433"/>
        <v>0</v>
      </c>
      <c r="L1038" s="111">
        <f t="shared" si="1434"/>
        <v>0</v>
      </c>
      <c r="M1038" s="202">
        <f t="shared" si="1439"/>
        <v>0</v>
      </c>
      <c r="N1038" s="202">
        <f t="shared" si="1440"/>
        <v>0</v>
      </c>
      <c r="O1038" s="202">
        <f t="shared" si="1440"/>
        <v>0</v>
      </c>
      <c r="P1038" s="202">
        <f t="shared" si="1441"/>
        <v>0</v>
      </c>
      <c r="Q1038" s="358">
        <f t="shared" si="1435"/>
        <v>0</v>
      </c>
      <c r="R1038" s="111">
        <f t="shared" si="1436"/>
        <v>0</v>
      </c>
      <c r="S1038" s="126" t="str">
        <f t="shared" si="1442"/>
        <v/>
      </c>
      <c r="T1038" s="57"/>
      <c r="U1038" s="57"/>
      <c r="V1038" s="57"/>
      <c r="W1038" s="57"/>
      <c r="X1038" s="57"/>
      <c r="Z1038" s="57"/>
      <c r="AA1038" s="57"/>
      <c r="AB1038" s="57"/>
      <c r="AC1038" s="57"/>
      <c r="AD1038" s="57"/>
      <c r="AE1038" s="57"/>
      <c r="AF1038" s="57"/>
      <c r="AG1038" s="57"/>
      <c r="AH1038" s="57"/>
      <c r="AI1038" s="57"/>
      <c r="AJ1038" s="57"/>
      <c r="AK1038" s="57"/>
      <c r="AL1038" s="57"/>
      <c r="AM1038" s="57"/>
      <c r="AN1038" s="57"/>
      <c r="AO1038" s="57"/>
      <c r="AP1038" s="57"/>
      <c r="AQ1038" s="57"/>
    </row>
    <row r="1039" spans="2:43" ht="17.45" hidden="1" customHeight="1" outlineLevel="1">
      <c r="B1039" s="139" t="s">
        <v>96</v>
      </c>
      <c r="C1039" s="111">
        <f t="shared" si="1430"/>
        <v>0</v>
      </c>
      <c r="D1039" s="111">
        <f t="shared" si="1431"/>
        <v>0</v>
      </c>
      <c r="E1039" s="111">
        <f t="shared" si="1437"/>
        <v>0</v>
      </c>
      <c r="F1039" s="111">
        <f t="shared" si="1432"/>
        <v>0</v>
      </c>
      <c r="G1039" s="111">
        <f t="shared" si="1438"/>
        <v>0</v>
      </c>
      <c r="H1039" s="111"/>
      <c r="I1039" s="119"/>
      <c r="J1039" s="139" t="s">
        <v>162</v>
      </c>
      <c r="K1039" s="111">
        <f t="shared" si="1433"/>
        <v>0</v>
      </c>
      <c r="L1039" s="111">
        <f t="shared" si="1434"/>
        <v>0</v>
      </c>
      <c r="M1039" s="202">
        <f t="shared" si="1439"/>
        <v>0</v>
      </c>
      <c r="N1039" s="202">
        <f t="shared" si="1440"/>
        <v>0</v>
      </c>
      <c r="O1039" s="202">
        <f t="shared" si="1440"/>
        <v>0</v>
      </c>
      <c r="P1039" s="202">
        <f t="shared" si="1441"/>
        <v>0</v>
      </c>
      <c r="Q1039" s="358">
        <f t="shared" si="1435"/>
        <v>0</v>
      </c>
      <c r="R1039" s="111">
        <f t="shared" si="1436"/>
        <v>0</v>
      </c>
      <c r="S1039" s="126" t="str">
        <f t="shared" si="1442"/>
        <v/>
      </c>
      <c r="T1039" s="57"/>
      <c r="U1039" s="57"/>
      <c r="V1039" s="57"/>
      <c r="W1039" s="57"/>
      <c r="X1039" s="57"/>
      <c r="Z1039" s="57"/>
      <c r="AA1039" s="57"/>
      <c r="AB1039" s="57"/>
      <c r="AC1039" s="57"/>
      <c r="AD1039" s="57"/>
      <c r="AE1039" s="57"/>
      <c r="AF1039" s="57"/>
      <c r="AG1039" s="57"/>
      <c r="AH1039" s="57"/>
      <c r="AI1039" s="57"/>
      <c r="AJ1039" s="57"/>
      <c r="AK1039" s="57"/>
      <c r="AL1039" s="57"/>
      <c r="AM1039" s="57"/>
      <c r="AN1039" s="57"/>
      <c r="AO1039" s="57"/>
      <c r="AP1039" s="57"/>
      <c r="AQ1039" s="57"/>
    </row>
    <row r="1040" spans="2:43" ht="17.45" hidden="1" customHeight="1" outlineLevel="1">
      <c r="B1040" s="139" t="s">
        <v>86</v>
      </c>
      <c r="C1040" s="111">
        <f t="shared" si="1430"/>
        <v>0</v>
      </c>
      <c r="D1040" s="111">
        <f t="shared" si="1431"/>
        <v>0</v>
      </c>
      <c r="E1040" s="111">
        <f t="shared" si="1437"/>
        <v>0</v>
      </c>
      <c r="F1040" s="111">
        <f t="shared" si="1432"/>
        <v>0</v>
      </c>
      <c r="G1040" s="111">
        <f t="shared" si="1438"/>
        <v>0</v>
      </c>
      <c r="H1040" s="111"/>
      <c r="I1040" s="119"/>
      <c r="J1040" s="232" t="s">
        <v>123</v>
      </c>
      <c r="K1040" s="203">
        <f>SUM(K1032:K1039)</f>
        <v>0</v>
      </c>
      <c r="L1040" s="203">
        <f t="shared" ref="L1040:M1040" si="1443">SUM(L1032:L1039)</f>
        <v>0</v>
      </c>
      <c r="M1040" s="203">
        <f t="shared" si="1443"/>
        <v>0</v>
      </c>
      <c r="N1040" s="203">
        <f>SUM(N1032:N1039)</f>
        <v>0</v>
      </c>
      <c r="O1040" s="203">
        <f t="shared" ref="O1040:P1040" si="1444">SUM(O1032:O1039)</f>
        <v>0</v>
      </c>
      <c r="P1040" s="203">
        <f t="shared" si="1444"/>
        <v>0</v>
      </c>
      <c r="Q1040" s="359">
        <f>SUM(Q1032:Q1039)</f>
        <v>0</v>
      </c>
      <c r="R1040" s="359">
        <f>SUM(R1032:R1039)</f>
        <v>0</v>
      </c>
      <c r="S1040" s="359" t="str">
        <f>IFERROR(Q1040/R1040,"")</f>
        <v/>
      </c>
      <c r="T1040" s="57"/>
      <c r="U1040" s="57"/>
      <c r="V1040" s="57"/>
      <c r="W1040" s="57"/>
      <c r="X1040" s="57"/>
      <c r="Z1040" s="57"/>
      <c r="AA1040" s="57"/>
      <c r="AB1040" s="57"/>
      <c r="AC1040" s="57"/>
      <c r="AD1040" s="57"/>
      <c r="AE1040" s="57"/>
      <c r="AF1040" s="57"/>
      <c r="AG1040" s="57"/>
      <c r="AH1040" s="57"/>
      <c r="AI1040" s="57"/>
      <c r="AJ1040" s="57"/>
      <c r="AK1040" s="57"/>
      <c r="AL1040" s="57"/>
      <c r="AM1040" s="57"/>
      <c r="AN1040" s="57"/>
      <c r="AO1040" s="57"/>
      <c r="AP1040" s="57"/>
      <c r="AQ1040" s="57"/>
    </row>
    <row r="1041" spans="2:43" ht="17.45" hidden="1" customHeight="1" outlineLevel="1">
      <c r="B1041" s="139" t="s">
        <v>169</v>
      </c>
      <c r="C1041" s="111">
        <f t="shared" si="1430"/>
        <v>0</v>
      </c>
      <c r="D1041" s="111">
        <f t="shared" si="1431"/>
        <v>0</v>
      </c>
      <c r="E1041" s="111">
        <f t="shared" si="1437"/>
        <v>0</v>
      </c>
      <c r="F1041" s="111">
        <f t="shared" si="1432"/>
        <v>0</v>
      </c>
      <c r="G1041" s="111">
        <f t="shared" si="1438"/>
        <v>0</v>
      </c>
      <c r="H1041" s="111"/>
      <c r="I1041" s="119"/>
      <c r="K1041" s="343" t="str">
        <f>IF(K1040=D1027,"","CHECK")</f>
        <v/>
      </c>
      <c r="L1041" s="343" t="str">
        <f>IF(L1040=E1027,"","CHECK")</f>
        <v/>
      </c>
      <c r="M1041" s="343" t="str">
        <f>IF(M1040=F1027,"","CHECK")</f>
        <v/>
      </c>
      <c r="S1041" s="343" t="str">
        <f>IF(S1040=I1053,"","CHECK")</f>
        <v/>
      </c>
      <c r="T1041" s="57"/>
      <c r="U1041" s="57"/>
      <c r="V1041" s="57"/>
      <c r="W1041" s="57"/>
      <c r="X1041" s="57"/>
      <c r="Z1041" s="57"/>
      <c r="AA1041" s="57"/>
      <c r="AB1041" s="57"/>
      <c r="AC1041" s="57"/>
      <c r="AD1041" s="57"/>
      <c r="AE1041" s="57"/>
      <c r="AF1041" s="57"/>
      <c r="AG1041" s="57"/>
      <c r="AH1041" s="57"/>
      <c r="AI1041" s="57"/>
      <c r="AJ1041" s="57"/>
      <c r="AK1041" s="57"/>
      <c r="AL1041" s="57"/>
      <c r="AM1041" s="57"/>
      <c r="AN1041" s="57"/>
      <c r="AO1041" s="57"/>
      <c r="AP1041" s="57"/>
      <c r="AQ1041" s="57"/>
    </row>
    <row r="1042" spans="2:43" ht="17.45" hidden="1" customHeight="1" outlineLevel="1" thickBot="1">
      <c r="B1042" s="139" t="s">
        <v>155</v>
      </c>
      <c r="C1042" s="111">
        <f t="shared" si="1430"/>
        <v>0</v>
      </c>
      <c r="D1042" s="111">
        <f t="shared" si="1431"/>
        <v>0</v>
      </c>
      <c r="E1042" s="111">
        <f t="shared" si="1437"/>
        <v>0</v>
      </c>
      <c r="F1042" s="111">
        <f t="shared" si="1432"/>
        <v>0</v>
      </c>
      <c r="G1042" s="111">
        <f t="shared" si="1438"/>
        <v>0</v>
      </c>
      <c r="H1042" s="111"/>
      <c r="I1042" s="119"/>
      <c r="L1042" s="283"/>
      <c r="M1042" s="220"/>
      <c r="P1042" s="360" t="s">
        <v>161</v>
      </c>
      <c r="Q1042" s="359">
        <f>SUM(Q1032:Q1037)</f>
        <v>0</v>
      </c>
      <c r="R1042" s="359">
        <f>SUM(R1032:R1037)</f>
        <v>0</v>
      </c>
      <c r="S1042" s="359" t="str">
        <f>IFERROR(Q1042/R1042,"")</f>
        <v/>
      </c>
      <c r="T1042" s="57"/>
      <c r="U1042" s="57"/>
      <c r="V1042" s="57"/>
      <c r="W1042" s="57"/>
      <c r="X1042" s="57"/>
      <c r="Z1042" s="57"/>
      <c r="AA1042" s="57"/>
      <c r="AB1042" s="57"/>
      <c r="AC1042" s="57"/>
      <c r="AD1042" s="57"/>
      <c r="AE1042" s="57"/>
      <c r="AF1042" s="57"/>
      <c r="AG1042" s="57"/>
      <c r="AH1042" s="57"/>
      <c r="AI1042" s="57"/>
      <c r="AJ1042" s="57"/>
      <c r="AK1042" s="57"/>
      <c r="AL1042" s="57"/>
      <c r="AM1042" s="57"/>
      <c r="AN1042" s="57"/>
      <c r="AO1042" s="57"/>
      <c r="AP1042" s="57"/>
      <c r="AQ1042" s="57"/>
    </row>
    <row r="1043" spans="2:43" ht="17.45" hidden="1" customHeight="1" outlineLevel="1" thickBot="1">
      <c r="B1043" s="113" t="s">
        <v>61</v>
      </c>
      <c r="C1043" s="114">
        <f>SUM(C1032:C1042)</f>
        <v>0</v>
      </c>
      <c r="D1043" s="114">
        <f t="shared" ref="D1043:E1043" si="1445">SUM(D1032:D1042)</f>
        <v>0</v>
      </c>
      <c r="E1043" s="114">
        <f t="shared" si="1445"/>
        <v>0</v>
      </c>
      <c r="F1043" s="166">
        <f>SUM(F1032:F1042)</f>
        <v>0</v>
      </c>
      <c r="G1043" s="170">
        <f>SUM(G1032:G1042)</f>
        <v>0</v>
      </c>
      <c r="H1043" s="167"/>
      <c r="I1043" s="119"/>
      <c r="J1043" s="57"/>
      <c r="K1043" s="57"/>
      <c r="L1043" s="57"/>
      <c r="M1043" s="57"/>
      <c r="N1043" s="57"/>
      <c r="O1043" s="57"/>
      <c r="P1043" s="57"/>
      <c r="Q1043" s="57"/>
      <c r="R1043" s="57"/>
      <c r="S1043" s="57"/>
      <c r="T1043" s="57"/>
      <c r="U1043" s="57"/>
      <c r="V1043" s="57"/>
      <c r="W1043" s="57"/>
      <c r="X1043" s="57"/>
      <c r="Z1043" s="57"/>
      <c r="AA1043" s="57"/>
      <c r="AB1043" s="57"/>
      <c r="AC1043" s="57"/>
      <c r="AD1043" s="57"/>
      <c r="AE1043" s="57"/>
      <c r="AF1043" s="57"/>
      <c r="AG1043" s="57"/>
      <c r="AH1043" s="57"/>
      <c r="AI1043" s="57"/>
      <c r="AJ1043" s="57"/>
      <c r="AK1043" s="57"/>
      <c r="AL1043" s="57"/>
      <c r="AM1043" s="57"/>
      <c r="AN1043" s="57"/>
      <c r="AO1043" s="57"/>
      <c r="AP1043" s="57"/>
      <c r="AQ1043" s="57"/>
    </row>
    <row r="1044" spans="2:43" ht="17.45" hidden="1" customHeight="1" outlineLevel="1">
      <c r="B1044" s="151" t="s">
        <v>87</v>
      </c>
      <c r="C1044" s="152"/>
      <c r="D1044" s="152"/>
      <c r="E1044" s="153">
        <f>$W$344</f>
        <v>0</v>
      </c>
      <c r="F1044" s="143"/>
      <c r="G1044" s="169">
        <f>E1044/1000</f>
        <v>0</v>
      </c>
      <c r="H1044" s="145"/>
      <c r="I1044" s="119"/>
      <c r="T1044" s="57"/>
      <c r="U1044" s="57"/>
      <c r="V1044" s="57"/>
      <c r="W1044" s="57"/>
      <c r="X1044" s="57"/>
      <c r="Z1044" s="57"/>
      <c r="AA1044" s="57"/>
      <c r="AB1044" s="57"/>
      <c r="AC1044" s="57"/>
      <c r="AD1044" s="57"/>
      <c r="AE1044" s="57"/>
      <c r="AF1044" s="57"/>
      <c r="AG1044" s="57"/>
      <c r="AH1044" s="57"/>
      <c r="AI1044" s="57"/>
      <c r="AJ1044" s="57"/>
      <c r="AK1044" s="57"/>
      <c r="AL1044" s="57"/>
      <c r="AM1044" s="57"/>
      <c r="AN1044" s="57"/>
      <c r="AO1044" s="57"/>
      <c r="AP1044" s="57"/>
      <c r="AQ1044" s="57"/>
    </row>
    <row r="1045" spans="2:43" ht="17.45" hidden="1" customHeight="1" outlineLevel="1">
      <c r="B1045" s="151" t="s">
        <v>57</v>
      </c>
      <c r="C1045" s="152"/>
      <c r="D1045" s="152"/>
      <c r="E1045" s="140">
        <f>SUM(E1043:E1044)</f>
        <v>0</v>
      </c>
      <c r="F1045" s="122"/>
      <c r="G1045" s="140">
        <f>SUM(G1043:G1044)</f>
        <v>0</v>
      </c>
      <c r="H1045" s="343" t="str">
        <f>IF(G1045=K344,"","CHECK")</f>
        <v/>
      </c>
      <c r="I1045" s="119"/>
      <c r="T1045" s="57"/>
      <c r="U1045" s="57"/>
      <c r="V1045" s="57"/>
      <c r="W1045" s="57"/>
      <c r="X1045" s="57"/>
      <c r="Z1045" s="57"/>
      <c r="AA1045" s="57"/>
      <c r="AB1045" s="57"/>
      <c r="AC1045" s="57"/>
      <c r="AD1045" s="57"/>
      <c r="AE1045" s="57"/>
      <c r="AF1045" s="57"/>
      <c r="AG1045" s="57"/>
      <c r="AH1045" s="57"/>
      <c r="AI1045" s="57"/>
      <c r="AJ1045" s="57"/>
      <c r="AK1045" s="57"/>
      <c r="AL1045" s="57"/>
      <c r="AM1045" s="57"/>
      <c r="AN1045" s="57"/>
      <c r="AO1045" s="57"/>
      <c r="AP1045" s="57"/>
      <c r="AQ1045" s="57"/>
    </row>
    <row r="1046" spans="2:43" ht="17.45" hidden="1" customHeight="1" outlineLevel="1">
      <c r="B1046" s="137"/>
      <c r="C1046" s="122"/>
      <c r="D1046" s="122"/>
      <c r="E1046" s="154"/>
      <c r="F1046" s="122"/>
      <c r="G1046" s="122"/>
      <c r="H1046" s="137"/>
      <c r="I1046" s="119"/>
      <c r="T1046" s="57"/>
      <c r="U1046" s="57"/>
      <c r="V1046" s="57"/>
      <c r="W1046" s="57"/>
      <c r="X1046" s="57"/>
      <c r="Z1046" s="57"/>
      <c r="AA1046" s="57"/>
      <c r="AB1046" s="57"/>
      <c r="AC1046" s="57"/>
      <c r="AD1046" s="57"/>
      <c r="AE1046" s="57"/>
      <c r="AF1046" s="57"/>
      <c r="AG1046" s="57"/>
      <c r="AH1046" s="57"/>
      <c r="AI1046" s="57"/>
      <c r="AJ1046" s="57"/>
      <c r="AK1046" s="57"/>
      <c r="AL1046" s="57"/>
      <c r="AM1046" s="57"/>
      <c r="AN1046" s="57"/>
      <c r="AO1046" s="57"/>
      <c r="AP1046" s="57"/>
      <c r="AQ1046" s="57"/>
    </row>
    <row r="1047" spans="2:43" ht="17.45" hidden="1" customHeight="1" outlineLevel="1">
      <c r="B1047" s="1173" t="s">
        <v>88</v>
      </c>
      <c r="C1047" s="1177" t="s">
        <v>52</v>
      </c>
      <c r="D1047" s="1177"/>
      <c r="E1047" s="1177"/>
      <c r="F1047" s="1177" t="s">
        <v>73</v>
      </c>
      <c r="G1047" s="1177" t="s">
        <v>75</v>
      </c>
      <c r="H1047" s="1168" t="s">
        <v>72</v>
      </c>
      <c r="I1047" s="1168"/>
      <c r="T1047" s="57"/>
      <c r="U1047" s="57"/>
      <c r="V1047" s="57"/>
      <c r="W1047" s="57"/>
      <c r="X1047" s="57"/>
      <c r="Z1047" s="57"/>
      <c r="AA1047" s="57"/>
      <c r="AB1047" s="57"/>
      <c r="AC1047" s="57"/>
      <c r="AD1047" s="57"/>
      <c r="AE1047" s="57"/>
      <c r="AF1047" s="57"/>
      <c r="AG1047" s="57"/>
      <c r="AH1047" s="57"/>
      <c r="AI1047" s="57"/>
      <c r="AJ1047" s="57"/>
      <c r="AK1047" s="57"/>
      <c r="AL1047" s="57"/>
      <c r="AM1047" s="57"/>
      <c r="AN1047" s="57"/>
      <c r="AO1047" s="57"/>
      <c r="AP1047" s="57"/>
      <c r="AQ1047" s="57"/>
    </row>
    <row r="1048" spans="2:43" ht="17.45" hidden="1" customHeight="1" outlineLevel="1">
      <c r="B1048" s="1173"/>
      <c r="C1048" s="628" t="s">
        <v>55</v>
      </c>
      <c r="D1048" s="628" t="s">
        <v>56</v>
      </c>
      <c r="E1048" s="628" t="s">
        <v>57</v>
      </c>
      <c r="F1048" s="1177"/>
      <c r="G1048" s="1177"/>
      <c r="H1048" s="626" t="s">
        <v>89</v>
      </c>
      <c r="I1048" s="626" t="s">
        <v>90</v>
      </c>
      <c r="T1048" s="57"/>
      <c r="U1048" s="57"/>
      <c r="V1048" s="57"/>
      <c r="W1048" s="57"/>
      <c r="X1048" s="57"/>
      <c r="Z1048" s="57"/>
      <c r="AA1048" s="57"/>
      <c r="AB1048" s="57"/>
      <c r="AC1048" s="57"/>
      <c r="AD1048" s="57"/>
      <c r="AE1048" s="57"/>
      <c r="AF1048" s="57"/>
      <c r="AG1048" s="57"/>
      <c r="AH1048" s="57"/>
      <c r="AI1048" s="57"/>
      <c r="AJ1048" s="57"/>
      <c r="AK1048" s="57"/>
      <c r="AL1048" s="57"/>
      <c r="AM1048" s="57"/>
      <c r="AN1048" s="57"/>
      <c r="AO1048" s="57"/>
      <c r="AP1048" s="57"/>
      <c r="AQ1048" s="57"/>
    </row>
    <row r="1049" spans="2:43" ht="17.45" hidden="1" customHeight="1" outlineLevel="1">
      <c r="B1049" s="138" t="s">
        <v>91</v>
      </c>
      <c r="C1049" s="111">
        <f>SUMIF($V$201:$V$224,B1049,$L$201:$L$224)</f>
        <v>0</v>
      </c>
      <c r="D1049" s="111">
        <f>SUMIF($V$201:$V$224,B1049,$M$201:$M$224)</f>
        <v>0</v>
      </c>
      <c r="E1049" s="111">
        <f>C1049+D1049</f>
        <v>0</v>
      </c>
      <c r="F1049" s="111">
        <f>SUMIF($V$201:$V$224,B1049,$AZ$201:$AZ$224)</f>
        <v>0</v>
      </c>
      <c r="G1049" s="111">
        <f>E1049/1000</f>
        <v>0</v>
      </c>
      <c r="H1049" s="126">
        <f>SUMIF($V$201:$V$224,B1049,$I$201:$I$224)</f>
        <v>0</v>
      </c>
      <c r="I1049" s="141" t="str">
        <f>IFERROR(H1049/F1049,"")</f>
        <v/>
      </c>
      <c r="T1049" s="57"/>
      <c r="U1049" s="57"/>
      <c r="V1049" s="57"/>
      <c r="W1049" s="57"/>
      <c r="X1049" s="57"/>
      <c r="Z1049" s="57"/>
      <c r="AA1049" s="57"/>
      <c r="AB1049" s="57"/>
      <c r="AC1049" s="57"/>
      <c r="AD1049" s="57"/>
      <c r="AE1049" s="57"/>
      <c r="AF1049" s="57"/>
      <c r="AG1049" s="57"/>
      <c r="AH1049" s="57"/>
      <c r="AI1049" s="57"/>
      <c r="AJ1049" s="57"/>
      <c r="AK1049" s="57"/>
      <c r="AL1049" s="57"/>
      <c r="AM1049" s="57"/>
      <c r="AN1049" s="57"/>
      <c r="AO1049" s="57"/>
      <c r="AP1049" s="57"/>
      <c r="AQ1049" s="57"/>
    </row>
    <row r="1050" spans="2:43" ht="17.45" hidden="1" customHeight="1" outlineLevel="1">
      <c r="B1050" s="138" t="s">
        <v>92</v>
      </c>
      <c r="C1050" s="111">
        <f>SUMIF($V$201:$V$224,B1050,$L$201:$L$224)</f>
        <v>0</v>
      </c>
      <c r="D1050" s="111">
        <f>SUMIF($V$201:$V$224,B1050,$M$201:$M$224)</f>
        <v>0</v>
      </c>
      <c r="E1050" s="111">
        <f t="shared" ref="E1050:E1052" si="1446">C1050+D1050</f>
        <v>0</v>
      </c>
      <c r="F1050" s="111">
        <f>SUMIF($V$201:$V$224,B1050,$AZ$201:$AZ$224)</f>
        <v>0</v>
      </c>
      <c r="G1050" s="111">
        <f t="shared" ref="G1050:G1052" si="1447">E1050/1000</f>
        <v>0</v>
      </c>
      <c r="H1050" s="126">
        <f>SUMIF($V$201:$V$224,B1050,$I$201:$I$224)</f>
        <v>0</v>
      </c>
      <c r="I1050" s="141" t="str">
        <f t="shared" ref="I1050:I1052" si="1448">IFERROR(H1050/F1050,"")</f>
        <v/>
      </c>
      <c r="T1050" s="57"/>
      <c r="U1050" s="57"/>
      <c r="V1050" s="57"/>
      <c r="W1050" s="57"/>
      <c r="X1050" s="57"/>
      <c r="Z1050" s="57"/>
      <c r="AA1050" s="57"/>
      <c r="AB1050" s="57"/>
      <c r="AC1050" s="57"/>
      <c r="AD1050" s="57"/>
      <c r="AE1050" s="57"/>
      <c r="AF1050" s="57"/>
      <c r="AG1050" s="57"/>
      <c r="AH1050" s="57"/>
      <c r="AI1050" s="57"/>
      <c r="AJ1050" s="57"/>
      <c r="AK1050" s="57"/>
      <c r="AL1050" s="57"/>
      <c r="AM1050" s="57"/>
      <c r="AN1050" s="57"/>
      <c r="AO1050" s="57"/>
      <c r="AP1050" s="57"/>
      <c r="AQ1050" s="57"/>
    </row>
    <row r="1051" spans="2:43" ht="17.45" hidden="1" customHeight="1" outlineLevel="1">
      <c r="B1051" s="138" t="s">
        <v>93</v>
      </c>
      <c r="C1051" s="111">
        <f>SUMIF($V$201:$V$224,B1051,$L$201:$L$224)</f>
        <v>0</v>
      </c>
      <c r="D1051" s="111">
        <f>SUMIF($V$201:$V$224,B1051,$M$201:$M$224)</f>
        <v>0</v>
      </c>
      <c r="E1051" s="111">
        <f t="shared" si="1446"/>
        <v>0</v>
      </c>
      <c r="F1051" s="111">
        <f>SUMIF($V$201:$V$224,B1051,$AZ$201:$AZ$224)</f>
        <v>0</v>
      </c>
      <c r="G1051" s="111">
        <f t="shared" si="1447"/>
        <v>0</v>
      </c>
      <c r="H1051" s="126">
        <f>SUMIF($V$201:$V$224,B1051,$I$201:$I$224)</f>
        <v>0</v>
      </c>
      <c r="I1051" s="141" t="str">
        <f t="shared" si="1448"/>
        <v/>
      </c>
      <c r="T1051" s="57"/>
      <c r="U1051" s="57"/>
      <c r="V1051" s="57"/>
      <c r="W1051" s="57"/>
      <c r="X1051" s="57"/>
      <c r="Z1051" s="57"/>
      <c r="AA1051" s="57"/>
      <c r="AB1051" s="57"/>
      <c r="AC1051" s="57"/>
      <c r="AD1051" s="57"/>
      <c r="AE1051" s="57"/>
      <c r="AF1051" s="57"/>
      <c r="AG1051" s="57"/>
      <c r="AH1051" s="57"/>
      <c r="AI1051" s="57"/>
      <c r="AJ1051" s="57"/>
      <c r="AK1051" s="57"/>
      <c r="AL1051" s="57"/>
      <c r="AM1051" s="57"/>
      <c r="AN1051" s="57"/>
      <c r="AO1051" s="57"/>
      <c r="AP1051" s="57"/>
      <c r="AQ1051" s="57"/>
    </row>
    <row r="1052" spans="2:43" ht="17.45" hidden="1" customHeight="1" outlineLevel="1" thickBot="1">
      <c r="B1052" s="138" t="s">
        <v>94</v>
      </c>
      <c r="C1052" s="111">
        <f>SUMIF($V$201:$V$224,B1052,$L$201:$L$224)</f>
        <v>0</v>
      </c>
      <c r="D1052" s="111">
        <f>SUMIF($V$201:$V$224,B1052,$M$201:$M$224)</f>
        <v>0</v>
      </c>
      <c r="E1052" s="111">
        <f t="shared" si="1446"/>
        <v>0</v>
      </c>
      <c r="F1052" s="111">
        <f>SUMIF($V$201:$V$224,B1052,$AZ$201:$AZ$224)</f>
        <v>0</v>
      </c>
      <c r="G1052" s="111">
        <f t="shared" si="1447"/>
        <v>0</v>
      </c>
      <c r="H1052" s="126">
        <f>SUMIF($V$201:$V$224,B1052,$I$201:$I$224)</f>
        <v>0</v>
      </c>
      <c r="I1052" s="141" t="str">
        <f t="shared" si="1448"/>
        <v/>
      </c>
    </row>
    <row r="1053" spans="2:43" ht="17.45" hidden="1" customHeight="1" outlineLevel="1" thickBot="1">
      <c r="B1053" s="113" t="s">
        <v>61</v>
      </c>
      <c r="C1053" s="114">
        <f>SUM(C1049:C1052)</f>
        <v>0</v>
      </c>
      <c r="D1053" s="114">
        <f t="shared" ref="D1053:F1053" si="1449">SUM(D1049:D1052)</f>
        <v>0</v>
      </c>
      <c r="E1053" s="114">
        <f t="shared" si="1449"/>
        <v>0</v>
      </c>
      <c r="F1053" s="114">
        <f t="shared" si="1449"/>
        <v>0</v>
      </c>
      <c r="G1053" s="114">
        <f>SUM(G1049:G1052)</f>
        <v>0</v>
      </c>
      <c r="H1053" s="189">
        <f>SUM(H1049:H1052)</f>
        <v>0</v>
      </c>
      <c r="I1053" s="191" t="str">
        <f>IFERROR(H1053/F1053,"")</f>
        <v/>
      </c>
    </row>
    <row r="1054" spans="2:43" ht="17.45" hidden="1" customHeight="1" outlineLevel="1"/>
    <row r="1055" spans="2:43" ht="17.45" customHeight="1" collapsed="1"/>
    <row r="1057" spans="2:52" ht="17.45" hidden="1" customHeight="1" outlineLevel="1">
      <c r="B1057" s="1178" t="s">
        <v>20</v>
      </c>
      <c r="C1057" s="1179"/>
      <c r="D1057" s="1179"/>
      <c r="E1057" s="1179"/>
      <c r="F1057" s="1179"/>
      <c r="G1057" s="1179"/>
      <c r="H1057" s="1179"/>
      <c r="I1057" s="1179"/>
      <c r="J1057" s="1179"/>
      <c r="K1057" s="1179"/>
      <c r="L1057" s="1179"/>
      <c r="M1057" s="1179"/>
      <c r="N1057" s="1179"/>
      <c r="O1057" s="1179"/>
      <c r="P1057" s="1179"/>
      <c r="Q1057" s="1179"/>
      <c r="R1057" s="1179"/>
      <c r="S1057" s="1179"/>
      <c r="T1057" s="1179"/>
      <c r="U1057" s="1179"/>
      <c r="V1057" s="1179"/>
      <c r="W1057" s="1179"/>
      <c r="X1057" s="1179"/>
      <c r="Y1057" s="1179"/>
      <c r="Z1057" s="1179"/>
      <c r="AA1057" s="1179"/>
      <c r="AB1057" s="1179"/>
      <c r="AC1057" s="1179"/>
      <c r="AD1057" s="1179"/>
      <c r="AE1057" s="1179"/>
      <c r="AF1057" s="1179"/>
      <c r="AG1057" s="1179"/>
      <c r="AH1057" s="1179"/>
      <c r="AI1057" s="1179"/>
      <c r="AJ1057" s="1179"/>
      <c r="AK1057" s="1179"/>
      <c r="AL1057" s="1179"/>
      <c r="AM1057" s="1179"/>
      <c r="AN1057" s="1179"/>
      <c r="AO1057" s="1179"/>
      <c r="AP1057" s="1180"/>
      <c r="AQ1057" s="1181"/>
    </row>
    <row r="1058" spans="2:52" s="244" customFormat="1" ht="17.45" hidden="1" customHeight="1" outlineLevel="1" thickBot="1">
      <c r="B1058" s="222" t="s">
        <v>0</v>
      </c>
      <c r="C1058" s="223" t="s">
        <v>1</v>
      </c>
      <c r="D1058" s="224" t="s">
        <v>136</v>
      </c>
      <c r="E1058" s="224" t="s">
        <v>135</v>
      </c>
      <c r="F1058" s="224" t="s">
        <v>133</v>
      </c>
      <c r="G1058" s="224" t="s">
        <v>24</v>
      </c>
      <c r="H1058" s="224" t="s">
        <v>134</v>
      </c>
      <c r="I1058" s="225" t="s">
        <v>5</v>
      </c>
      <c r="J1058" s="225" t="s">
        <v>25</v>
      </c>
      <c r="K1058" s="226" t="s">
        <v>26</v>
      </c>
      <c r="L1058" s="226" t="s">
        <v>34</v>
      </c>
      <c r="M1058" s="226" t="s">
        <v>33</v>
      </c>
      <c r="N1058" s="226" t="s">
        <v>32</v>
      </c>
      <c r="O1058" s="226" t="s">
        <v>38</v>
      </c>
      <c r="P1058" s="226" t="s">
        <v>48</v>
      </c>
      <c r="Q1058" s="226" t="s">
        <v>29</v>
      </c>
      <c r="R1058" s="227" t="s">
        <v>21</v>
      </c>
      <c r="S1058" s="227" t="s">
        <v>22</v>
      </c>
      <c r="T1058" s="227" t="s">
        <v>23</v>
      </c>
      <c r="U1058" s="227" t="s">
        <v>8</v>
      </c>
      <c r="V1058" s="223" t="s">
        <v>9</v>
      </c>
      <c r="W1058" s="228" t="s">
        <v>10</v>
      </c>
      <c r="X1058" s="228" t="s">
        <v>11</v>
      </c>
      <c r="Y1058" s="223" t="s">
        <v>12</v>
      </c>
      <c r="Z1058" s="229" t="s">
        <v>13</v>
      </c>
      <c r="AA1058" s="229" t="s">
        <v>39</v>
      </c>
      <c r="AB1058" s="229" t="s">
        <v>47</v>
      </c>
      <c r="AC1058" s="229" t="s">
        <v>40</v>
      </c>
      <c r="AD1058" s="229" t="s">
        <v>49</v>
      </c>
      <c r="AE1058" s="229" t="s">
        <v>41</v>
      </c>
      <c r="AF1058" s="229" t="s">
        <v>42</v>
      </c>
      <c r="AG1058" s="229" t="s">
        <v>43</v>
      </c>
      <c r="AH1058" s="229" t="s">
        <v>50</v>
      </c>
      <c r="AI1058" s="229" t="s">
        <v>44</v>
      </c>
      <c r="AJ1058" s="229" t="s">
        <v>45</v>
      </c>
      <c r="AK1058" s="229" t="s">
        <v>46</v>
      </c>
      <c r="AL1058" s="227" t="s">
        <v>16</v>
      </c>
      <c r="AM1058" s="230" t="s">
        <v>143</v>
      </c>
      <c r="AN1058" s="230" t="s">
        <v>144</v>
      </c>
      <c r="AO1058" s="223" t="s">
        <v>17</v>
      </c>
      <c r="AP1058" s="458"/>
      <c r="AQ1058" s="231" t="s">
        <v>14</v>
      </c>
      <c r="AV1058" s="245"/>
      <c r="AW1058" s="245"/>
      <c r="AX1058" s="119"/>
      <c r="AY1058" s="119"/>
    </row>
    <row r="1059" spans="2:52" ht="17.45" hidden="1" customHeight="1" outlineLevel="1" collapsed="1" thickBot="1">
      <c r="B1059" s="246" t="s">
        <v>267</v>
      </c>
      <c r="C1059" s="117"/>
      <c r="D1059" s="117"/>
      <c r="E1059" s="117"/>
      <c r="F1059" s="117"/>
      <c r="G1059" s="117"/>
      <c r="H1059" s="117"/>
      <c r="I1059" s="117"/>
      <c r="J1059" s="117"/>
      <c r="K1059" s="117"/>
      <c r="L1059" s="146"/>
      <c r="M1059" s="146"/>
      <c r="N1059" s="146"/>
      <c r="O1059" s="117"/>
      <c r="P1059" s="117"/>
      <c r="Q1059" s="117"/>
      <c r="R1059" s="117"/>
      <c r="S1059" s="117"/>
      <c r="T1059" s="117"/>
      <c r="U1059" s="117"/>
      <c r="V1059" s="117"/>
      <c r="W1059" s="117"/>
      <c r="X1059" s="117"/>
      <c r="Y1059" s="208"/>
      <c r="Z1059" s="117"/>
      <c r="AA1059" s="117"/>
      <c r="AB1059" s="117"/>
      <c r="AC1059" s="117"/>
      <c r="AD1059" s="117"/>
      <c r="AE1059" s="117"/>
      <c r="AF1059" s="117"/>
      <c r="AG1059" s="117"/>
      <c r="AH1059" s="117"/>
      <c r="AI1059" s="117"/>
      <c r="AJ1059" s="117"/>
      <c r="AK1059" s="117"/>
      <c r="AL1059" s="117"/>
      <c r="AM1059" s="117"/>
      <c r="AN1059" s="117"/>
      <c r="AO1059" s="117"/>
      <c r="AP1059" s="117"/>
      <c r="AQ1059" s="118"/>
      <c r="AV1059" s="120"/>
      <c r="AW1059" s="120"/>
      <c r="AX1059" s="121"/>
      <c r="AY1059" s="121"/>
      <c r="AZ1059" s="136"/>
    </row>
    <row r="1060" spans="2:52" s="82" customFormat="1" ht="17.45" hidden="1" customHeight="1" outlineLevel="1">
      <c r="B1060" s="365"/>
      <c r="C1060" s="61"/>
      <c r="D1060" s="366"/>
      <c r="E1060" s="366"/>
      <c r="F1060" s="366"/>
      <c r="G1060" s="366"/>
      <c r="H1060" s="366"/>
      <c r="I1060" s="366"/>
      <c r="J1060" s="366"/>
      <c r="K1060" s="367"/>
      <c r="L1060" s="368"/>
      <c r="M1060" s="368"/>
      <c r="N1060" s="368"/>
      <c r="O1060" s="367"/>
      <c r="P1060" s="367"/>
      <c r="Q1060" s="367"/>
      <c r="R1060" s="59"/>
      <c r="S1060" s="59"/>
      <c r="T1060" s="59"/>
      <c r="U1060" s="59"/>
      <c r="V1060" s="59"/>
      <c r="W1060" s="367"/>
      <c r="X1060" s="367"/>
      <c r="Y1060" s="369"/>
      <c r="Z1060" s="370"/>
      <c r="AA1060" s="60"/>
      <c r="AB1060" s="60"/>
      <c r="AC1060" s="60"/>
      <c r="AD1060" s="60"/>
      <c r="AE1060" s="60"/>
      <c r="AF1060" s="60"/>
      <c r="AG1060" s="60"/>
      <c r="AH1060" s="60"/>
      <c r="AI1060" s="60"/>
      <c r="AJ1060" s="60"/>
      <c r="AK1060" s="60"/>
      <c r="AL1060" s="59"/>
      <c r="AM1060" s="59"/>
      <c r="AN1060" s="59"/>
      <c r="AO1060" s="61"/>
      <c r="AP1060" s="447"/>
      <c r="AQ1060" s="62"/>
      <c r="AV1060" s="120"/>
      <c r="AW1060" s="120"/>
      <c r="AX1060" s="121"/>
      <c r="AY1060" s="121"/>
      <c r="AZ1060" s="136"/>
    </row>
    <row r="1061" spans="2:52" ht="17.45" hidden="1" customHeight="1" outlineLevel="1">
      <c r="B1061" s="63"/>
      <c r="C1061" s="71"/>
      <c r="D1061" s="64"/>
      <c r="E1061" s="64"/>
      <c r="F1061" s="64"/>
      <c r="G1061" s="64"/>
      <c r="H1061" s="64"/>
      <c r="I1061" s="65"/>
      <c r="J1061" s="66"/>
      <c r="K1061" s="69"/>
      <c r="L1061" s="67"/>
      <c r="M1061" s="67"/>
      <c r="N1061" s="67">
        <f>L1061+M1061</f>
        <v>0</v>
      </c>
      <c r="O1061" s="68"/>
      <c r="P1061" s="68"/>
      <c r="Q1061" s="69"/>
      <c r="R1061" s="70"/>
      <c r="S1061" s="70"/>
      <c r="T1061" s="70"/>
      <c r="U1061" s="73"/>
      <c r="V1061" s="70"/>
      <c r="W1061" s="83"/>
      <c r="X1061" s="83"/>
      <c r="Y1061" s="206"/>
      <c r="Z1061" s="84"/>
      <c r="AA1061" s="192" t="str">
        <f>IF(E1061="","",E1061-D1061+AH1061+AK1061)</f>
        <v/>
      </c>
      <c r="AB1061" s="192" t="str">
        <f>IF(G1061="","",G1061-D1061)</f>
        <v/>
      </c>
      <c r="AC1061" s="193" t="str">
        <f>IF(H1061="","",H1061-D1061)</f>
        <v/>
      </c>
      <c r="AD1061" s="89" t="str">
        <f>IF(N1061=0,"",((N1061/AE1061)*24)/24)</f>
        <v/>
      </c>
      <c r="AE1061" s="194">
        <f>IF(G1061="",0,(G1061-F1061)-(AJ1061-AI1061)-(AG1061-AF1061))</f>
        <v>0</v>
      </c>
      <c r="AF1061" s="72"/>
      <c r="AG1061" s="72"/>
      <c r="AH1061" s="72">
        <f t="shared" ref="AH1061" si="1450">AG1061-AF1061</f>
        <v>0</v>
      </c>
      <c r="AI1061" s="72"/>
      <c r="AJ1061" s="72"/>
      <c r="AK1061" s="72">
        <f t="shared" ref="AK1061" si="1451">AJ1061-AI1061</f>
        <v>0</v>
      </c>
      <c r="AL1061" s="70"/>
      <c r="AM1061" s="73"/>
      <c r="AN1061" s="73"/>
      <c r="AO1061" s="73"/>
      <c r="AP1061" s="448"/>
      <c r="AQ1061" s="74"/>
      <c r="AV1061" s="120"/>
      <c r="AW1061" s="120"/>
      <c r="AX1061" s="121"/>
      <c r="AY1061" s="121"/>
      <c r="AZ1061" s="136"/>
    </row>
    <row r="1062" spans="2:52" ht="17.45" hidden="1" customHeight="1" outlineLevel="1">
      <c r="B1062" s="63"/>
      <c r="C1062" s="71"/>
      <c r="D1062" s="64"/>
      <c r="E1062" s="64"/>
      <c r="F1062" s="64"/>
      <c r="G1062" s="64"/>
      <c r="H1062" s="64"/>
      <c r="I1062" s="65"/>
      <c r="J1062" s="66"/>
      <c r="K1062" s="69"/>
      <c r="L1062" s="67"/>
      <c r="M1062" s="67"/>
      <c r="N1062" s="77"/>
      <c r="O1062" s="78"/>
      <c r="P1062" s="78"/>
      <c r="Q1062" s="69"/>
      <c r="R1062" s="70"/>
      <c r="S1062" s="70"/>
      <c r="T1062" s="70"/>
      <c r="U1062" s="73"/>
      <c r="V1062" s="73"/>
      <c r="W1062" s="83"/>
      <c r="X1062" s="83"/>
      <c r="Y1062" s="206"/>
      <c r="Z1062" s="84"/>
      <c r="AA1062" s="80"/>
      <c r="AB1062" s="80"/>
      <c r="AC1062" s="80"/>
      <c r="AD1062" s="80"/>
      <c r="AE1062" s="80"/>
      <c r="AF1062" s="80"/>
      <c r="AG1062" s="80"/>
      <c r="AH1062" s="80"/>
      <c r="AI1062" s="80"/>
      <c r="AJ1062" s="80"/>
      <c r="AK1062" s="80"/>
      <c r="AL1062" s="70"/>
      <c r="AM1062" s="73"/>
      <c r="AN1062" s="73"/>
      <c r="AO1062" s="73"/>
      <c r="AP1062" s="448"/>
      <c r="AQ1062" s="85"/>
      <c r="AV1062" s="120"/>
      <c r="AW1062" s="120"/>
      <c r="AX1062" s="121"/>
      <c r="AY1062" s="121"/>
      <c r="AZ1062" s="136"/>
    </row>
    <row r="1063" spans="2:52" s="82" customFormat="1" ht="17.45" hidden="1" customHeight="1" outlineLevel="1">
      <c r="B1063" s="63"/>
      <c r="C1063" s="71"/>
      <c r="D1063" s="64"/>
      <c r="E1063" s="64"/>
      <c r="F1063" s="64"/>
      <c r="G1063" s="64"/>
      <c r="H1063" s="64"/>
      <c r="I1063" s="65"/>
      <c r="J1063" s="66"/>
      <c r="K1063" s="69"/>
      <c r="L1063" s="67"/>
      <c r="M1063" s="67"/>
      <c r="N1063" s="67">
        <f t="shared" ref="N1063" si="1452">L1063+M1063</f>
        <v>0</v>
      </c>
      <c r="O1063" s="68"/>
      <c r="P1063" s="68"/>
      <c r="Q1063" s="69"/>
      <c r="R1063" s="70"/>
      <c r="S1063" s="70"/>
      <c r="T1063" s="70"/>
      <c r="U1063" s="70"/>
      <c r="V1063" s="70"/>
      <c r="W1063" s="69"/>
      <c r="X1063" s="69"/>
      <c r="Y1063" s="204"/>
      <c r="Z1063" s="72"/>
      <c r="AA1063" s="192" t="str">
        <f t="shared" ref="AA1063" si="1453">IF(E1063="","",E1063-D1063+AH1063+AK1063)</f>
        <v/>
      </c>
      <c r="AB1063" s="192" t="str">
        <f t="shared" ref="AB1063" si="1454">IF(G1063="","",G1063-D1063)</f>
        <v/>
      </c>
      <c r="AC1063" s="193" t="str">
        <f t="shared" ref="AC1063" si="1455">IF(H1063="","",H1063-D1063)</f>
        <v/>
      </c>
      <c r="AD1063" s="89" t="str">
        <f t="shared" ref="AD1063" si="1456">IF(N1063=0,"",((N1063/AE1063)*24)/24)</f>
        <v/>
      </c>
      <c r="AE1063" s="194">
        <f t="shared" ref="AE1063" si="1457">IF(G1063="",0,(G1063-F1063)-(AJ1063-AI1063)-(AG1063-AF1063))</f>
        <v>0</v>
      </c>
      <c r="AF1063" s="72"/>
      <c r="AG1063" s="72"/>
      <c r="AH1063" s="72">
        <f t="shared" ref="AH1063" si="1458">AG1063-AF1063</f>
        <v>0</v>
      </c>
      <c r="AI1063" s="72"/>
      <c r="AJ1063" s="72"/>
      <c r="AK1063" s="72">
        <f t="shared" ref="AK1063" si="1459">AJ1063-AI1063</f>
        <v>0</v>
      </c>
      <c r="AL1063" s="70"/>
      <c r="AM1063" s="70"/>
      <c r="AN1063" s="70"/>
      <c r="AO1063" s="73"/>
      <c r="AP1063" s="448"/>
      <c r="AQ1063" s="74"/>
      <c r="AV1063" s="120"/>
      <c r="AW1063" s="120"/>
      <c r="AX1063" s="121"/>
      <c r="AY1063" s="121"/>
      <c r="AZ1063" s="136"/>
    </row>
    <row r="1064" spans="2:52" s="82" customFormat="1" ht="17.45" hidden="1" customHeight="1" outlineLevel="1">
      <c r="B1064" s="63"/>
      <c r="C1064" s="71"/>
      <c r="D1064" s="64"/>
      <c r="E1064" s="64"/>
      <c r="F1064" s="64"/>
      <c r="G1064" s="64"/>
      <c r="H1064" s="64"/>
      <c r="I1064" s="64"/>
      <c r="J1064" s="64"/>
      <c r="K1064" s="69"/>
      <c r="L1064" s="67"/>
      <c r="M1064" s="67"/>
      <c r="N1064" s="67"/>
      <c r="O1064" s="69"/>
      <c r="P1064" s="69"/>
      <c r="Q1064" s="69"/>
      <c r="R1064" s="70"/>
      <c r="S1064" s="70"/>
      <c r="T1064" s="70"/>
      <c r="U1064" s="70"/>
      <c r="V1064" s="70"/>
      <c r="W1064" s="69"/>
      <c r="X1064" s="69"/>
      <c r="Y1064" s="204"/>
      <c r="Z1064" s="72"/>
      <c r="AA1064" s="80"/>
      <c r="AB1064" s="80"/>
      <c r="AC1064" s="80"/>
      <c r="AD1064" s="80"/>
      <c r="AE1064" s="80"/>
      <c r="AF1064" s="80"/>
      <c r="AG1064" s="80"/>
      <c r="AH1064" s="80"/>
      <c r="AI1064" s="80"/>
      <c r="AJ1064" s="80"/>
      <c r="AK1064" s="80"/>
      <c r="AL1064" s="70"/>
      <c r="AM1064" s="70"/>
      <c r="AN1064" s="70"/>
      <c r="AO1064" s="71"/>
      <c r="AP1064" s="449"/>
      <c r="AQ1064" s="74"/>
      <c r="AV1064" s="120"/>
      <c r="AW1064" s="120"/>
      <c r="AX1064" s="121"/>
      <c r="AY1064" s="121"/>
      <c r="AZ1064" s="136"/>
    </row>
    <row r="1065" spans="2:52" s="82" customFormat="1" ht="17.45" hidden="1" customHeight="1" outlineLevel="1">
      <c r="B1065" s="371"/>
      <c r="C1065" s="71"/>
      <c r="D1065" s="64"/>
      <c r="E1065" s="64"/>
      <c r="F1065" s="64"/>
      <c r="G1065" s="64"/>
      <c r="H1065" s="64"/>
      <c r="I1065" s="65"/>
      <c r="J1065" s="66"/>
      <c r="K1065" s="69"/>
      <c r="L1065" s="67"/>
      <c r="M1065" s="67"/>
      <c r="N1065" s="67">
        <f>L1065+M1065</f>
        <v>0</v>
      </c>
      <c r="O1065" s="68"/>
      <c r="P1065" s="68"/>
      <c r="Q1065" s="69"/>
      <c r="R1065" s="70"/>
      <c r="S1065" s="70"/>
      <c r="T1065" s="70"/>
      <c r="U1065" s="73"/>
      <c r="V1065" s="70"/>
      <c r="W1065" s="69"/>
      <c r="X1065" s="69"/>
      <c r="Y1065" s="204"/>
      <c r="Z1065" s="72"/>
      <c r="AA1065" s="192" t="str">
        <f t="shared" ref="AA1065" si="1460">IF(E1065="","",E1065-D1065+AH1065+AK1065)</f>
        <v/>
      </c>
      <c r="AB1065" s="192" t="str">
        <f t="shared" ref="AB1065" si="1461">IF(G1065="","",G1065-D1065)</f>
        <v/>
      </c>
      <c r="AC1065" s="193" t="str">
        <f t="shared" ref="AC1065" si="1462">IF(H1065="","",H1065-D1065)</f>
        <v/>
      </c>
      <c r="AD1065" s="89" t="str">
        <f t="shared" ref="AD1065" si="1463">IF(N1065=0,"",((N1065/AE1065)*24)/24)</f>
        <v/>
      </c>
      <c r="AE1065" s="194">
        <f t="shared" ref="AE1065" si="1464">IF(G1065="",0,(G1065-F1065)-(AJ1065-AI1065)-(AG1065-AF1065))</f>
        <v>0</v>
      </c>
      <c r="AF1065" s="72"/>
      <c r="AG1065" s="72"/>
      <c r="AH1065" s="72">
        <f t="shared" ref="AH1065" si="1465">AG1065-AF1065</f>
        <v>0</v>
      </c>
      <c r="AI1065" s="72"/>
      <c r="AJ1065" s="72"/>
      <c r="AK1065" s="72">
        <f t="shared" ref="AK1065" si="1466">AJ1065-AI1065</f>
        <v>0</v>
      </c>
      <c r="AL1065" s="70"/>
      <c r="AM1065" s="70"/>
      <c r="AN1065" s="70"/>
      <c r="AO1065" s="73"/>
      <c r="AP1065" s="448"/>
      <c r="AQ1065" s="74"/>
      <c r="AV1065" s="120"/>
      <c r="AW1065" s="120"/>
      <c r="AX1065" s="121"/>
      <c r="AY1065" s="121"/>
      <c r="AZ1065" s="136"/>
    </row>
    <row r="1066" spans="2:52" s="82" customFormat="1" ht="17.45" hidden="1" customHeight="1" outlineLevel="1">
      <c r="B1066" s="63"/>
      <c r="C1066" s="71"/>
      <c r="D1066" s="64"/>
      <c r="E1066" s="64"/>
      <c r="F1066" s="64"/>
      <c r="G1066" s="64"/>
      <c r="H1066" s="64"/>
      <c r="I1066" s="64"/>
      <c r="J1066" s="64"/>
      <c r="K1066" s="69"/>
      <c r="L1066" s="67"/>
      <c r="M1066" s="67"/>
      <c r="N1066" s="67"/>
      <c r="O1066" s="69"/>
      <c r="P1066" s="69"/>
      <c r="Q1066" s="69"/>
      <c r="R1066" s="70"/>
      <c r="S1066" s="70"/>
      <c r="T1066" s="70"/>
      <c r="U1066" s="70"/>
      <c r="V1066" s="70"/>
      <c r="W1066" s="69"/>
      <c r="X1066" s="69"/>
      <c r="Y1066" s="204"/>
      <c r="Z1066" s="72"/>
      <c r="AA1066" s="80"/>
      <c r="AB1066" s="80"/>
      <c r="AC1066" s="80"/>
      <c r="AD1066" s="80"/>
      <c r="AE1066" s="80"/>
      <c r="AF1066" s="80"/>
      <c r="AG1066" s="80"/>
      <c r="AH1066" s="80"/>
      <c r="AI1066" s="80"/>
      <c r="AJ1066" s="80"/>
      <c r="AK1066" s="80"/>
      <c r="AL1066" s="70"/>
      <c r="AM1066" s="70"/>
      <c r="AN1066" s="70"/>
      <c r="AO1066" s="71"/>
      <c r="AP1066" s="449"/>
      <c r="AQ1066" s="81"/>
      <c r="AV1066" s="120"/>
      <c r="AW1066" s="120"/>
      <c r="AX1066" s="121"/>
      <c r="AY1066" s="121"/>
      <c r="AZ1066" s="136"/>
    </row>
    <row r="1067" spans="2:52" s="102" customFormat="1" ht="17.45" hidden="1" customHeight="1" outlineLevel="1">
      <c r="B1067" s="63"/>
      <c r="C1067" s="71"/>
      <c r="D1067" s="64"/>
      <c r="E1067" s="64"/>
      <c r="F1067" s="64"/>
      <c r="G1067" s="64"/>
      <c r="H1067" s="64"/>
      <c r="I1067" s="65"/>
      <c r="J1067" s="66"/>
      <c r="K1067" s="69"/>
      <c r="L1067" s="67"/>
      <c r="M1067" s="67"/>
      <c r="N1067" s="67">
        <f t="shared" ref="N1067" si="1467">L1067+M1067</f>
        <v>0</v>
      </c>
      <c r="O1067" s="68"/>
      <c r="P1067" s="68"/>
      <c r="Q1067" s="69"/>
      <c r="R1067" s="70"/>
      <c r="S1067" s="70"/>
      <c r="T1067" s="70"/>
      <c r="U1067" s="70"/>
      <c r="V1067" s="70"/>
      <c r="W1067" s="69"/>
      <c r="X1067" s="69"/>
      <c r="Y1067" s="204"/>
      <c r="Z1067" s="72"/>
      <c r="AA1067" s="192" t="str">
        <f t="shared" ref="AA1067" si="1468">IF(E1067="","",E1067-D1067+AH1067+AK1067)</f>
        <v/>
      </c>
      <c r="AB1067" s="192" t="str">
        <f t="shared" ref="AB1067" si="1469">IF(G1067="","",G1067-D1067)</f>
        <v/>
      </c>
      <c r="AC1067" s="193" t="str">
        <f t="shared" ref="AC1067" si="1470">IF(H1067="","",H1067-D1067)</f>
        <v/>
      </c>
      <c r="AD1067" s="89" t="str">
        <f t="shared" ref="AD1067" si="1471">IF(N1067=0,"",((N1067/AE1067)*24)/24)</f>
        <v/>
      </c>
      <c r="AE1067" s="194">
        <f t="shared" ref="AE1067" si="1472">IF(G1067="",0,(G1067-F1067)-(AJ1067-AI1067)-(AG1067-AF1067))</f>
        <v>0</v>
      </c>
      <c r="AF1067" s="72"/>
      <c r="AG1067" s="72"/>
      <c r="AH1067" s="72">
        <f t="shared" ref="AH1067" si="1473">AG1067-AF1067</f>
        <v>0</v>
      </c>
      <c r="AI1067" s="72"/>
      <c r="AJ1067" s="72"/>
      <c r="AK1067" s="72">
        <f t="shared" ref="AK1067" si="1474">AJ1067-AI1067</f>
        <v>0</v>
      </c>
      <c r="AL1067" s="70"/>
      <c r="AM1067" s="70"/>
      <c r="AN1067" s="70"/>
      <c r="AO1067" s="71"/>
      <c r="AP1067" s="449"/>
      <c r="AQ1067" s="85"/>
      <c r="AV1067" s="218"/>
      <c r="AW1067" s="218"/>
      <c r="AX1067" s="219"/>
      <c r="AY1067" s="219"/>
      <c r="AZ1067" s="136"/>
    </row>
    <row r="1068" spans="2:52" s="102" customFormat="1" ht="17.45" hidden="1" customHeight="1" outlineLevel="1">
      <c r="B1068" s="63"/>
      <c r="C1068" s="71"/>
      <c r="D1068" s="64"/>
      <c r="E1068" s="64"/>
      <c r="F1068" s="64"/>
      <c r="G1068" s="64"/>
      <c r="H1068" s="64"/>
      <c r="I1068" s="64"/>
      <c r="J1068" s="64"/>
      <c r="K1068" s="69"/>
      <c r="L1068" s="67"/>
      <c r="M1068" s="67"/>
      <c r="N1068" s="67"/>
      <c r="O1068" s="69"/>
      <c r="P1068" s="69"/>
      <c r="Q1068" s="69"/>
      <c r="R1068" s="70"/>
      <c r="S1068" s="70"/>
      <c r="T1068" s="70"/>
      <c r="U1068" s="70"/>
      <c r="V1068" s="70"/>
      <c r="W1068" s="69"/>
      <c r="X1068" s="69"/>
      <c r="Y1068" s="204"/>
      <c r="Z1068" s="72"/>
      <c r="AA1068" s="80"/>
      <c r="AB1068" s="80"/>
      <c r="AC1068" s="80"/>
      <c r="AD1068" s="80"/>
      <c r="AE1068" s="80"/>
      <c r="AF1068" s="80"/>
      <c r="AG1068" s="80"/>
      <c r="AH1068" s="80"/>
      <c r="AI1068" s="80"/>
      <c r="AJ1068" s="80"/>
      <c r="AK1068" s="80"/>
      <c r="AL1068" s="70"/>
      <c r="AM1068" s="70"/>
      <c r="AN1068" s="70"/>
      <c r="AO1068" s="71"/>
      <c r="AP1068" s="449"/>
      <c r="AQ1068" s="81"/>
      <c r="AV1068" s="218"/>
      <c r="AW1068" s="218"/>
      <c r="AX1068" s="219"/>
      <c r="AY1068" s="219"/>
      <c r="AZ1068" s="136"/>
    </row>
    <row r="1069" spans="2:52" s="102" customFormat="1" ht="17.45" hidden="1" customHeight="1" outlineLevel="1">
      <c r="B1069" s="63"/>
      <c r="C1069" s="71"/>
      <c r="D1069" s="64"/>
      <c r="E1069" s="64"/>
      <c r="F1069" s="64"/>
      <c r="G1069" s="64"/>
      <c r="H1069" s="64"/>
      <c r="I1069" s="65"/>
      <c r="J1069" s="66"/>
      <c r="K1069" s="69"/>
      <c r="L1069" s="67"/>
      <c r="M1069" s="67"/>
      <c r="N1069" s="67">
        <f t="shared" ref="N1069" si="1475">L1069+M1069</f>
        <v>0</v>
      </c>
      <c r="O1069" s="68"/>
      <c r="P1069" s="68"/>
      <c r="Q1069" s="69"/>
      <c r="R1069" s="70"/>
      <c r="S1069" s="70"/>
      <c r="T1069" s="70"/>
      <c r="U1069" s="70"/>
      <c r="V1069" s="70"/>
      <c r="W1069" s="69"/>
      <c r="X1069" s="69"/>
      <c r="Y1069" s="204"/>
      <c r="Z1069" s="72"/>
      <c r="AA1069" s="192" t="str">
        <f t="shared" ref="AA1069" si="1476">IF(E1069="","",E1069-D1069+AH1069+AK1069)</f>
        <v/>
      </c>
      <c r="AB1069" s="192" t="str">
        <f t="shared" ref="AB1069" si="1477">IF(G1069="","",G1069-D1069)</f>
        <v/>
      </c>
      <c r="AC1069" s="193" t="str">
        <f t="shared" ref="AC1069" si="1478">IF(H1069="","",H1069-D1069)</f>
        <v/>
      </c>
      <c r="AD1069" s="89" t="str">
        <f t="shared" ref="AD1069" si="1479">IF(N1069=0,"",((N1069/AE1069)*24)/24)</f>
        <v/>
      </c>
      <c r="AE1069" s="194">
        <f t="shared" ref="AE1069" si="1480">IF(G1069="",0,(G1069-F1069)-(AJ1069-AI1069)-(AG1069-AF1069))</f>
        <v>0</v>
      </c>
      <c r="AF1069" s="72"/>
      <c r="AG1069" s="72"/>
      <c r="AH1069" s="72">
        <f t="shared" ref="AH1069" si="1481">AG1069-AF1069</f>
        <v>0</v>
      </c>
      <c r="AI1069" s="72"/>
      <c r="AJ1069" s="72"/>
      <c r="AK1069" s="72">
        <f t="shared" ref="AK1069" si="1482">AJ1069-AI1069</f>
        <v>0</v>
      </c>
      <c r="AL1069" s="70"/>
      <c r="AM1069" s="70"/>
      <c r="AN1069" s="70"/>
      <c r="AO1069" s="71"/>
      <c r="AP1069" s="449"/>
      <c r="AQ1069" s="85"/>
      <c r="AV1069" s="120"/>
      <c r="AW1069" s="120"/>
      <c r="AX1069" s="121"/>
      <c r="AY1069" s="121"/>
      <c r="AZ1069" s="136"/>
    </row>
    <row r="1070" spans="2:52" s="102" customFormat="1" ht="17.45" hidden="1" customHeight="1" outlineLevel="1">
      <c r="B1070" s="63"/>
      <c r="C1070" s="71"/>
      <c r="D1070" s="64"/>
      <c r="E1070" s="64"/>
      <c r="F1070" s="64"/>
      <c r="G1070" s="64"/>
      <c r="H1070" s="64"/>
      <c r="I1070" s="64"/>
      <c r="J1070" s="64"/>
      <c r="K1070" s="69"/>
      <c r="L1070" s="67"/>
      <c r="M1070" s="67"/>
      <c r="N1070" s="67"/>
      <c r="O1070" s="69"/>
      <c r="P1070" s="69"/>
      <c r="Q1070" s="69"/>
      <c r="R1070" s="70"/>
      <c r="S1070" s="70"/>
      <c r="T1070" s="70"/>
      <c r="U1070" s="70"/>
      <c r="V1070" s="70"/>
      <c r="W1070" s="69"/>
      <c r="X1070" s="69"/>
      <c r="Y1070" s="204"/>
      <c r="Z1070" s="72"/>
      <c r="AA1070" s="80"/>
      <c r="AB1070" s="80"/>
      <c r="AC1070" s="80"/>
      <c r="AD1070" s="80"/>
      <c r="AE1070" s="80"/>
      <c r="AF1070" s="80"/>
      <c r="AG1070" s="80"/>
      <c r="AH1070" s="80"/>
      <c r="AI1070" s="80"/>
      <c r="AJ1070" s="80"/>
      <c r="AK1070" s="80"/>
      <c r="AL1070" s="70"/>
      <c r="AM1070" s="70"/>
      <c r="AN1070" s="70"/>
      <c r="AO1070" s="71"/>
      <c r="AP1070" s="449"/>
      <c r="AQ1070" s="81"/>
      <c r="AV1070" s="120"/>
      <c r="AW1070" s="120"/>
      <c r="AX1070" s="121"/>
      <c r="AY1070" s="121"/>
      <c r="AZ1070" s="136"/>
    </row>
    <row r="1071" spans="2:52" s="82" customFormat="1" ht="17.45" hidden="1" customHeight="1" outlineLevel="1">
      <c r="B1071" s="63"/>
      <c r="C1071" s="71"/>
      <c r="D1071" s="64"/>
      <c r="E1071" s="64"/>
      <c r="F1071" s="64"/>
      <c r="G1071" s="64"/>
      <c r="H1071" s="64"/>
      <c r="I1071" s="65"/>
      <c r="J1071" s="66"/>
      <c r="K1071" s="69"/>
      <c r="L1071" s="67"/>
      <c r="M1071" s="67"/>
      <c r="N1071" s="67">
        <f t="shared" ref="N1071" si="1483">L1071+M1071</f>
        <v>0</v>
      </c>
      <c r="O1071" s="68"/>
      <c r="P1071" s="68"/>
      <c r="Q1071" s="69"/>
      <c r="R1071" s="70"/>
      <c r="S1071" s="70"/>
      <c r="T1071" s="70"/>
      <c r="U1071" s="73"/>
      <c r="V1071" s="70"/>
      <c r="W1071" s="83"/>
      <c r="X1071" s="83"/>
      <c r="Y1071" s="206"/>
      <c r="Z1071" s="84"/>
      <c r="AA1071" s="192" t="str">
        <f t="shared" ref="AA1071" si="1484">IF(E1071="","",E1071-D1071+AH1071+AK1071)</f>
        <v/>
      </c>
      <c r="AB1071" s="192" t="str">
        <f t="shared" ref="AB1071" si="1485">IF(G1071="","",G1071-D1071)</f>
        <v/>
      </c>
      <c r="AC1071" s="193" t="str">
        <f t="shared" ref="AC1071" si="1486">IF(H1071="","",H1071-D1071)</f>
        <v/>
      </c>
      <c r="AD1071" s="89" t="str">
        <f t="shared" ref="AD1071" si="1487">IF(N1071=0,"",((N1071/AE1071)*24)/24)</f>
        <v/>
      </c>
      <c r="AE1071" s="194">
        <f t="shared" ref="AE1071" si="1488">IF(G1071="",0,(G1071-F1071)-(AJ1071-AI1071)-(AG1071-AF1071))</f>
        <v>0</v>
      </c>
      <c r="AF1071" s="72"/>
      <c r="AG1071" s="72"/>
      <c r="AH1071" s="72">
        <f t="shared" ref="AH1071" si="1489">AG1071-AF1071</f>
        <v>0</v>
      </c>
      <c r="AI1071" s="72"/>
      <c r="AJ1071" s="72"/>
      <c r="AK1071" s="72">
        <f t="shared" ref="AK1071" si="1490">AJ1071-AI1071</f>
        <v>0</v>
      </c>
      <c r="AL1071" s="70"/>
      <c r="AM1071" s="73"/>
      <c r="AN1071" s="73"/>
      <c r="AO1071" s="73"/>
      <c r="AP1071" s="448"/>
      <c r="AQ1071" s="85"/>
      <c r="AV1071" s="120"/>
      <c r="AW1071" s="120"/>
      <c r="AX1071" s="121"/>
      <c r="AY1071" s="121"/>
      <c r="AZ1071" s="136"/>
    </row>
    <row r="1072" spans="2:52" s="82" customFormat="1" ht="17.45" hidden="1" customHeight="1" outlineLevel="1">
      <c r="B1072" s="63"/>
      <c r="C1072" s="71"/>
      <c r="D1072" s="64"/>
      <c r="E1072" s="86"/>
      <c r="F1072" s="86"/>
      <c r="G1072" s="86"/>
      <c r="H1072" s="86"/>
      <c r="I1072" s="86"/>
      <c r="J1072" s="86"/>
      <c r="K1072" s="69"/>
      <c r="L1072" s="67"/>
      <c r="M1072" s="67"/>
      <c r="N1072" s="67"/>
      <c r="O1072" s="69"/>
      <c r="P1072" s="69"/>
      <c r="Q1072" s="69"/>
      <c r="R1072" s="87"/>
      <c r="S1072" s="70"/>
      <c r="T1072" s="73"/>
      <c r="U1072" s="70"/>
      <c r="V1072" s="70"/>
      <c r="W1072" s="69"/>
      <c r="X1072" s="69"/>
      <c r="Y1072" s="204"/>
      <c r="Z1072" s="72"/>
      <c r="AA1072" s="80"/>
      <c r="AB1072" s="80"/>
      <c r="AC1072" s="80"/>
      <c r="AD1072" s="80"/>
      <c r="AE1072" s="80"/>
      <c r="AF1072" s="80"/>
      <c r="AG1072" s="80"/>
      <c r="AH1072" s="80"/>
      <c r="AI1072" s="80"/>
      <c r="AJ1072" s="80"/>
      <c r="AK1072" s="80"/>
      <c r="AL1072" s="70"/>
      <c r="AM1072" s="73"/>
      <c r="AN1072" s="73"/>
      <c r="AO1072" s="71"/>
      <c r="AP1072" s="449"/>
      <c r="AQ1072" s="81"/>
      <c r="AV1072" s="120"/>
      <c r="AW1072" s="120"/>
      <c r="AX1072" s="121"/>
      <c r="AY1072" s="121"/>
      <c r="AZ1072" s="136"/>
    </row>
    <row r="1073" spans="2:52" ht="17.45" hidden="1" customHeight="1" outlineLevel="1">
      <c r="B1073" s="372"/>
      <c r="C1073" s="71"/>
      <c r="D1073" s="64"/>
      <c r="E1073" s="64"/>
      <c r="F1073" s="64"/>
      <c r="G1073" s="64"/>
      <c r="H1073" s="64"/>
      <c r="I1073" s="65"/>
      <c r="J1073" s="66"/>
      <c r="K1073" s="69"/>
      <c r="L1073" s="67"/>
      <c r="M1073" s="67"/>
      <c r="N1073" s="67">
        <f t="shared" ref="N1073" si="1491">L1073+M1073</f>
        <v>0</v>
      </c>
      <c r="O1073" s="68"/>
      <c r="P1073" s="68"/>
      <c r="Q1073" s="69"/>
      <c r="R1073" s="70"/>
      <c r="S1073" s="70"/>
      <c r="T1073" s="70"/>
      <c r="U1073" s="73"/>
      <c r="V1073" s="70"/>
      <c r="W1073" s="83"/>
      <c r="X1073" s="83"/>
      <c r="Y1073" s="206"/>
      <c r="Z1073" s="84"/>
      <c r="AA1073" s="192" t="str">
        <f t="shared" ref="AA1073" si="1492">IF(E1073="","",E1073-D1073+AH1073+AK1073)</f>
        <v/>
      </c>
      <c r="AB1073" s="192" t="str">
        <f t="shared" ref="AB1073" si="1493">IF(G1073="","",G1073-D1073)</f>
        <v/>
      </c>
      <c r="AC1073" s="193" t="str">
        <f t="shared" ref="AC1073" si="1494">IF(H1073="","",H1073-D1073)</f>
        <v/>
      </c>
      <c r="AD1073" s="89" t="str">
        <f t="shared" ref="AD1073" si="1495">IF(N1073=0,"",((N1073/AE1073)*24)/24)</f>
        <v/>
      </c>
      <c r="AE1073" s="194">
        <f t="shared" ref="AE1073" si="1496">IF(G1073="",0,(G1073-F1073)-(AJ1073-AI1073)-(AG1073-AF1073))</f>
        <v>0</v>
      </c>
      <c r="AF1073" s="72"/>
      <c r="AG1073" s="72"/>
      <c r="AH1073" s="72">
        <f t="shared" ref="AH1073" si="1497">AG1073-AF1073</f>
        <v>0</v>
      </c>
      <c r="AI1073" s="72"/>
      <c r="AJ1073" s="72"/>
      <c r="AK1073" s="72">
        <f t="shared" ref="AK1073" si="1498">AJ1073-AI1073</f>
        <v>0</v>
      </c>
      <c r="AL1073" s="70"/>
      <c r="AM1073" s="73"/>
      <c r="AN1073" s="73"/>
      <c r="AO1073" s="73"/>
      <c r="AP1073" s="448"/>
      <c r="AQ1073" s="74"/>
      <c r="AV1073" s="120"/>
      <c r="AW1073" s="120"/>
      <c r="AX1073" s="121"/>
      <c r="AY1073" s="121"/>
      <c r="AZ1073" s="136"/>
    </row>
    <row r="1074" spans="2:52" ht="17.45" hidden="1" customHeight="1" outlineLevel="1">
      <c r="B1074" s="372"/>
      <c r="C1074" s="71"/>
      <c r="D1074" s="64"/>
      <c r="E1074" s="64"/>
      <c r="F1074" s="64"/>
      <c r="G1074" s="64"/>
      <c r="H1074" s="64"/>
      <c r="I1074" s="65"/>
      <c r="J1074" s="66"/>
      <c r="K1074" s="69"/>
      <c r="L1074" s="67"/>
      <c r="M1074" s="67"/>
      <c r="N1074" s="67"/>
      <c r="O1074" s="69"/>
      <c r="P1074" s="69"/>
      <c r="Q1074" s="69"/>
      <c r="R1074" s="70"/>
      <c r="S1074" s="70"/>
      <c r="T1074" s="70"/>
      <c r="U1074" s="73"/>
      <c r="V1074" s="70"/>
      <c r="W1074" s="83"/>
      <c r="X1074" s="83"/>
      <c r="Y1074" s="206"/>
      <c r="Z1074" s="84"/>
      <c r="AA1074" s="80"/>
      <c r="AB1074" s="80"/>
      <c r="AC1074" s="80"/>
      <c r="AD1074" s="80"/>
      <c r="AE1074" s="80"/>
      <c r="AF1074" s="80"/>
      <c r="AG1074" s="80"/>
      <c r="AH1074" s="80"/>
      <c r="AI1074" s="80"/>
      <c r="AJ1074" s="80"/>
      <c r="AK1074" s="80"/>
      <c r="AL1074" s="70"/>
      <c r="AM1074" s="73"/>
      <c r="AN1074" s="73"/>
      <c r="AO1074" s="73"/>
      <c r="AP1074" s="448"/>
      <c r="AQ1074" s="74"/>
      <c r="AV1074" s="120"/>
      <c r="AW1074" s="120"/>
      <c r="AX1074" s="121"/>
      <c r="AY1074" s="121"/>
      <c r="AZ1074" s="136"/>
    </row>
    <row r="1075" spans="2:52" s="82" customFormat="1" ht="17.45" hidden="1" customHeight="1" outlineLevel="1">
      <c r="B1075" s="63"/>
      <c r="C1075" s="71"/>
      <c r="D1075" s="64"/>
      <c r="E1075" s="64"/>
      <c r="F1075" s="64"/>
      <c r="G1075" s="64"/>
      <c r="H1075" s="64"/>
      <c r="I1075" s="65"/>
      <c r="J1075" s="66"/>
      <c r="K1075" s="69"/>
      <c r="L1075" s="67"/>
      <c r="M1075" s="67"/>
      <c r="N1075" s="67">
        <f t="shared" ref="N1075" si="1499">L1075+M1075</f>
        <v>0</v>
      </c>
      <c r="O1075" s="68"/>
      <c r="P1075" s="68"/>
      <c r="Q1075" s="69"/>
      <c r="R1075" s="70"/>
      <c r="S1075" s="70"/>
      <c r="T1075" s="70"/>
      <c r="U1075" s="73"/>
      <c r="V1075" s="70"/>
      <c r="W1075" s="83"/>
      <c r="X1075" s="83"/>
      <c r="Y1075" s="206"/>
      <c r="Z1075" s="84"/>
      <c r="AA1075" s="192" t="str">
        <f t="shared" ref="AA1075" si="1500">IF(E1075="","",E1075-D1075+AH1075+AK1075)</f>
        <v/>
      </c>
      <c r="AB1075" s="192" t="str">
        <f t="shared" ref="AB1075" si="1501">IF(G1075="","",G1075-D1075)</f>
        <v/>
      </c>
      <c r="AC1075" s="193" t="str">
        <f t="shared" ref="AC1075" si="1502">IF(H1075="","",H1075-D1075)</f>
        <v/>
      </c>
      <c r="AD1075" s="89" t="str">
        <f t="shared" ref="AD1075" si="1503">IF(N1075=0,"",((N1075/AE1075)*24)/24)</f>
        <v/>
      </c>
      <c r="AE1075" s="194">
        <f t="shared" ref="AE1075" si="1504">IF(G1075="",0,(G1075-F1075)-(AJ1075-AI1075)-(AG1075-AF1075))</f>
        <v>0</v>
      </c>
      <c r="AF1075" s="72"/>
      <c r="AG1075" s="72"/>
      <c r="AH1075" s="72">
        <f t="shared" ref="AH1075" si="1505">AG1075-AF1075</f>
        <v>0</v>
      </c>
      <c r="AI1075" s="72"/>
      <c r="AJ1075" s="72"/>
      <c r="AK1075" s="72">
        <f t="shared" ref="AK1075" si="1506">AJ1075-AI1075</f>
        <v>0</v>
      </c>
      <c r="AL1075" s="70"/>
      <c r="AM1075" s="73"/>
      <c r="AN1075" s="73"/>
      <c r="AO1075" s="73"/>
      <c r="AP1075" s="448"/>
      <c r="AQ1075" s="74"/>
      <c r="AV1075" s="120"/>
      <c r="AW1075" s="120"/>
      <c r="AX1075" s="121"/>
      <c r="AY1075" s="121"/>
      <c r="AZ1075" s="136"/>
    </row>
    <row r="1076" spans="2:52" s="82" customFormat="1" ht="17.45" hidden="1" customHeight="1" outlineLevel="1">
      <c r="B1076" s="63"/>
      <c r="C1076" s="71"/>
      <c r="D1076" s="64"/>
      <c r="E1076" s="64"/>
      <c r="F1076" s="64"/>
      <c r="G1076" s="64"/>
      <c r="H1076" s="64"/>
      <c r="I1076" s="65"/>
      <c r="J1076" s="66"/>
      <c r="K1076" s="69"/>
      <c r="L1076" s="67"/>
      <c r="M1076" s="67"/>
      <c r="N1076" s="67"/>
      <c r="O1076" s="68"/>
      <c r="P1076" s="68"/>
      <c r="Q1076" s="69"/>
      <c r="R1076" s="70"/>
      <c r="S1076" s="70"/>
      <c r="T1076" s="70"/>
      <c r="U1076" s="73"/>
      <c r="V1076" s="70"/>
      <c r="W1076" s="83"/>
      <c r="X1076" s="83"/>
      <c r="Y1076" s="206"/>
      <c r="Z1076" s="84"/>
      <c r="AA1076" s="80"/>
      <c r="AB1076" s="80"/>
      <c r="AC1076" s="80"/>
      <c r="AD1076" s="80"/>
      <c r="AE1076" s="80"/>
      <c r="AF1076" s="80"/>
      <c r="AG1076" s="80"/>
      <c r="AH1076" s="80"/>
      <c r="AI1076" s="80"/>
      <c r="AJ1076" s="80"/>
      <c r="AK1076" s="80"/>
      <c r="AL1076" s="70"/>
      <c r="AM1076" s="73"/>
      <c r="AN1076" s="73"/>
      <c r="AO1076" s="73"/>
      <c r="AP1076" s="448"/>
      <c r="AQ1076" s="81"/>
      <c r="AV1076" s="120"/>
      <c r="AW1076" s="120"/>
      <c r="AX1076" s="121"/>
      <c r="AY1076" s="121"/>
      <c r="AZ1076" s="136"/>
    </row>
    <row r="1077" spans="2:52" ht="17.45" hidden="1" customHeight="1" outlineLevel="1">
      <c r="B1077" s="63"/>
      <c r="C1077" s="71"/>
      <c r="D1077" s="64"/>
      <c r="E1077" s="64"/>
      <c r="F1077" s="64"/>
      <c r="G1077" s="64"/>
      <c r="H1077" s="64"/>
      <c r="I1077" s="65"/>
      <c r="J1077" s="66"/>
      <c r="K1077" s="69"/>
      <c r="L1077" s="67"/>
      <c r="M1077" s="67"/>
      <c r="N1077" s="67">
        <f t="shared" ref="N1077" si="1507">L1077+M1077</f>
        <v>0</v>
      </c>
      <c r="O1077" s="68"/>
      <c r="P1077" s="68"/>
      <c r="Q1077" s="69"/>
      <c r="R1077" s="70"/>
      <c r="S1077" s="70"/>
      <c r="T1077" s="70"/>
      <c r="U1077" s="73"/>
      <c r="V1077" s="70"/>
      <c r="W1077" s="83"/>
      <c r="X1077" s="83"/>
      <c r="Y1077" s="206"/>
      <c r="Z1077" s="84"/>
      <c r="AA1077" s="192" t="str">
        <f t="shared" ref="AA1077" si="1508">IF(E1077="","",E1077-D1077+AH1077+AK1077)</f>
        <v/>
      </c>
      <c r="AB1077" s="192" t="str">
        <f t="shared" ref="AB1077" si="1509">IF(G1077="","",G1077-D1077)</f>
        <v/>
      </c>
      <c r="AC1077" s="193" t="str">
        <f t="shared" ref="AC1077" si="1510">IF(H1077="","",H1077-D1077)</f>
        <v/>
      </c>
      <c r="AD1077" s="89" t="str">
        <f t="shared" ref="AD1077" si="1511">IF(N1077=0,"",((N1077/AE1077)*24)/24)</f>
        <v/>
      </c>
      <c r="AE1077" s="194">
        <f t="shared" ref="AE1077" si="1512">IF(G1077="",0,(G1077-F1077)-(AJ1077-AI1077)-(AG1077-AF1077))</f>
        <v>0</v>
      </c>
      <c r="AF1077" s="72"/>
      <c r="AG1077" s="72"/>
      <c r="AH1077" s="72">
        <f t="shared" ref="AH1077" si="1513">AG1077-AF1077</f>
        <v>0</v>
      </c>
      <c r="AI1077" s="72"/>
      <c r="AJ1077" s="72"/>
      <c r="AK1077" s="72">
        <f t="shared" ref="AK1077" si="1514">AJ1077-AI1077</f>
        <v>0</v>
      </c>
      <c r="AL1077" s="70"/>
      <c r="AM1077" s="73"/>
      <c r="AN1077" s="73"/>
      <c r="AO1077" s="73"/>
      <c r="AP1077" s="448"/>
      <c r="AQ1077" s="74"/>
      <c r="AV1077" s="120"/>
      <c r="AW1077" s="120"/>
      <c r="AX1077" s="121"/>
      <c r="AY1077" s="121"/>
      <c r="AZ1077" s="136"/>
    </row>
    <row r="1078" spans="2:52" ht="17.45" hidden="1" customHeight="1" outlineLevel="1">
      <c r="B1078" s="63"/>
      <c r="C1078" s="71"/>
      <c r="D1078" s="64"/>
      <c r="E1078" s="64"/>
      <c r="F1078" s="64"/>
      <c r="G1078" s="64"/>
      <c r="H1078" s="64"/>
      <c r="I1078" s="65"/>
      <c r="J1078" s="66"/>
      <c r="K1078" s="69"/>
      <c r="L1078" s="67"/>
      <c r="M1078" s="67"/>
      <c r="N1078" s="67"/>
      <c r="O1078" s="69"/>
      <c r="P1078" s="69"/>
      <c r="Q1078" s="69"/>
      <c r="R1078" s="70"/>
      <c r="S1078" s="70"/>
      <c r="T1078" s="70"/>
      <c r="U1078" s="73"/>
      <c r="V1078" s="73"/>
      <c r="W1078" s="83"/>
      <c r="X1078" s="83"/>
      <c r="Y1078" s="206"/>
      <c r="Z1078" s="84"/>
      <c r="AA1078" s="80"/>
      <c r="AB1078" s="80"/>
      <c r="AC1078" s="80"/>
      <c r="AD1078" s="80"/>
      <c r="AE1078" s="80"/>
      <c r="AF1078" s="80"/>
      <c r="AG1078" s="80"/>
      <c r="AH1078" s="80"/>
      <c r="AI1078" s="80"/>
      <c r="AJ1078" s="80"/>
      <c r="AK1078" s="80"/>
      <c r="AL1078" s="70"/>
      <c r="AM1078" s="73"/>
      <c r="AN1078" s="73"/>
      <c r="AO1078" s="73"/>
      <c r="AP1078" s="448"/>
      <c r="AQ1078" s="85"/>
      <c r="AV1078" s="120"/>
      <c r="AW1078" s="120"/>
      <c r="AX1078" s="121"/>
      <c r="AY1078" s="121"/>
      <c r="AZ1078" s="136"/>
    </row>
    <row r="1079" spans="2:52" ht="17.45" hidden="1" customHeight="1" outlineLevel="1">
      <c r="B1079" s="63"/>
      <c r="C1079" s="71"/>
      <c r="D1079" s="64"/>
      <c r="E1079" s="64"/>
      <c r="F1079" s="64"/>
      <c r="G1079" s="64"/>
      <c r="H1079" s="64"/>
      <c r="I1079" s="65"/>
      <c r="J1079" s="66"/>
      <c r="K1079" s="69"/>
      <c r="L1079" s="67"/>
      <c r="M1079" s="67"/>
      <c r="N1079" s="67">
        <f t="shared" ref="N1079" si="1515">L1079+M1079</f>
        <v>0</v>
      </c>
      <c r="O1079" s="68"/>
      <c r="P1079" s="68"/>
      <c r="Q1079" s="69"/>
      <c r="R1079" s="70"/>
      <c r="S1079" s="70"/>
      <c r="T1079" s="70"/>
      <c r="U1079" s="73"/>
      <c r="V1079" s="70"/>
      <c r="W1079" s="83"/>
      <c r="X1079" s="83"/>
      <c r="Y1079" s="206"/>
      <c r="Z1079" s="84"/>
      <c r="AA1079" s="192" t="str">
        <f t="shared" ref="AA1079" si="1516">IF(E1079="","",E1079-D1079+AH1079+AK1079)</f>
        <v/>
      </c>
      <c r="AB1079" s="192" t="str">
        <f t="shared" ref="AB1079" si="1517">IF(G1079="","",G1079-D1079)</f>
        <v/>
      </c>
      <c r="AC1079" s="193" t="str">
        <f t="shared" ref="AC1079" si="1518">IF(H1079="","",H1079-D1079)</f>
        <v/>
      </c>
      <c r="AD1079" s="89" t="str">
        <f t="shared" ref="AD1079" si="1519">IF(N1079=0,"",((N1079/AE1079)*24)/24)</f>
        <v/>
      </c>
      <c r="AE1079" s="194">
        <f t="shared" ref="AE1079" si="1520">IF(G1079="",0,(G1079-F1079)-(AJ1079-AI1079)-(AG1079-AF1079))</f>
        <v>0</v>
      </c>
      <c r="AF1079" s="72"/>
      <c r="AG1079" s="72"/>
      <c r="AH1079" s="72">
        <f t="shared" ref="AH1079" si="1521">AG1079-AF1079</f>
        <v>0</v>
      </c>
      <c r="AI1079" s="72"/>
      <c r="AJ1079" s="72"/>
      <c r="AK1079" s="72">
        <f t="shared" ref="AK1079" si="1522">AJ1079-AI1079</f>
        <v>0</v>
      </c>
      <c r="AL1079" s="70"/>
      <c r="AM1079" s="73"/>
      <c r="AN1079" s="73"/>
      <c r="AO1079" s="73"/>
      <c r="AP1079" s="448"/>
      <c r="AQ1079" s="74"/>
      <c r="AV1079" s="120"/>
      <c r="AW1079" s="120"/>
      <c r="AX1079" s="121"/>
      <c r="AY1079" s="121"/>
      <c r="AZ1079" s="136"/>
    </row>
    <row r="1080" spans="2:52" ht="17.45" hidden="1" customHeight="1" outlineLevel="1">
      <c r="B1080" s="63"/>
      <c r="C1080" s="71"/>
      <c r="D1080" s="64"/>
      <c r="E1080" s="86"/>
      <c r="F1080" s="86"/>
      <c r="G1080" s="86"/>
      <c r="H1080" s="86"/>
      <c r="I1080" s="86"/>
      <c r="J1080" s="86"/>
      <c r="K1080" s="69"/>
      <c r="L1080" s="67"/>
      <c r="M1080" s="67"/>
      <c r="N1080" s="67"/>
      <c r="O1080" s="69"/>
      <c r="P1080" s="69"/>
      <c r="Q1080" s="69"/>
      <c r="R1080" s="87"/>
      <c r="S1080" s="70"/>
      <c r="T1080" s="73"/>
      <c r="U1080" s="70"/>
      <c r="V1080" s="70"/>
      <c r="W1080" s="69"/>
      <c r="X1080" s="69"/>
      <c r="Y1080" s="204"/>
      <c r="Z1080" s="72"/>
      <c r="AA1080" s="80"/>
      <c r="AB1080" s="80"/>
      <c r="AC1080" s="80"/>
      <c r="AD1080" s="80"/>
      <c r="AE1080" s="80"/>
      <c r="AF1080" s="80"/>
      <c r="AG1080" s="80"/>
      <c r="AH1080" s="80"/>
      <c r="AI1080" s="80"/>
      <c r="AJ1080" s="80"/>
      <c r="AK1080" s="80"/>
      <c r="AL1080" s="70"/>
      <c r="AM1080" s="73"/>
      <c r="AN1080" s="73"/>
      <c r="AO1080" s="71"/>
      <c r="AP1080" s="449"/>
      <c r="AQ1080" s="74"/>
      <c r="AV1080" s="120"/>
      <c r="AW1080" s="120"/>
      <c r="AX1080" s="121"/>
      <c r="AY1080" s="121"/>
      <c r="AZ1080" s="136"/>
    </row>
    <row r="1081" spans="2:52" ht="17.45" hidden="1" customHeight="1" outlineLevel="1" thickBot="1">
      <c r="B1081" s="90"/>
      <c r="C1081" s="91"/>
      <c r="D1081" s="92"/>
      <c r="E1081" s="92"/>
      <c r="F1081" s="92"/>
      <c r="G1081" s="92"/>
      <c r="H1081" s="92"/>
      <c r="I1081" s="150">
        <f>IFERROR(AVERAGE(I1060:I1080),0)</f>
        <v>0</v>
      </c>
      <c r="J1081" s="150">
        <f>IFERROR(AVERAGE(J1060:J1080),0)</f>
        <v>0</v>
      </c>
      <c r="K1081" s="95">
        <f>SUM(K1060:K1080)</f>
        <v>0</v>
      </c>
      <c r="L1081" s="94">
        <f>SUM(L1060:L1080)</f>
        <v>0</v>
      </c>
      <c r="M1081" s="94">
        <f>SUM(M1060:M1080)</f>
        <v>0</v>
      </c>
      <c r="N1081" s="93">
        <f>SUM(N1060:N1080)</f>
        <v>0</v>
      </c>
      <c r="O1081" s="95"/>
      <c r="P1081" s="95"/>
      <c r="Q1081" s="95"/>
      <c r="R1081" s="91"/>
      <c r="S1081" s="91"/>
      <c r="T1081" s="91"/>
      <c r="U1081" s="96"/>
      <c r="V1081" s="97"/>
      <c r="W1081" s="98"/>
      <c r="X1081" s="98"/>
      <c r="Y1081" s="207"/>
      <c r="Z1081" s="99"/>
      <c r="AA1081" s="99"/>
      <c r="AB1081" s="99"/>
      <c r="AC1081" s="99"/>
      <c r="AD1081" s="99"/>
      <c r="AE1081" s="99"/>
      <c r="AF1081" s="99"/>
      <c r="AG1081" s="99"/>
      <c r="AH1081" s="99"/>
      <c r="AI1081" s="99"/>
      <c r="AJ1081" s="99"/>
      <c r="AK1081" s="99"/>
      <c r="AL1081" s="100"/>
      <c r="AM1081" s="100"/>
      <c r="AN1081" s="100"/>
      <c r="AO1081" s="96"/>
      <c r="AP1081" s="450"/>
      <c r="AQ1081" s="101"/>
      <c r="AV1081" s="120"/>
      <c r="AW1081" s="120"/>
      <c r="AX1081" s="121"/>
      <c r="AY1081" s="121"/>
      <c r="AZ1081" s="136"/>
    </row>
    <row r="1082" spans="2:52" ht="17.45" hidden="1" customHeight="1" outlineLevel="1" collapsed="1" thickBot="1">
      <c r="B1082" s="246" t="s">
        <v>268</v>
      </c>
      <c r="C1082" s="117"/>
      <c r="D1082" s="117"/>
      <c r="E1082" s="117"/>
      <c r="F1082" s="117"/>
      <c r="G1082" s="117"/>
      <c r="H1082" s="117"/>
      <c r="I1082" s="117"/>
      <c r="J1082" s="117"/>
      <c r="K1082" s="117"/>
      <c r="L1082" s="146"/>
      <c r="M1082" s="146"/>
      <c r="N1082" s="146"/>
      <c r="O1082" s="117"/>
      <c r="P1082" s="117"/>
      <c r="Q1082" s="117"/>
      <c r="R1082" s="117"/>
      <c r="S1082" s="117"/>
      <c r="T1082" s="117"/>
      <c r="U1082" s="117"/>
      <c r="V1082" s="117"/>
      <c r="W1082" s="117"/>
      <c r="X1082" s="117"/>
      <c r="Y1082" s="208"/>
      <c r="Z1082" s="117"/>
      <c r="AA1082" s="117"/>
      <c r="AB1082" s="117"/>
      <c r="AC1082" s="117"/>
      <c r="AD1082" s="117"/>
      <c r="AE1082" s="117"/>
      <c r="AF1082" s="117"/>
      <c r="AG1082" s="117"/>
      <c r="AH1082" s="117"/>
      <c r="AI1082" s="117"/>
      <c r="AJ1082" s="117"/>
      <c r="AK1082" s="117"/>
      <c r="AL1082" s="117"/>
      <c r="AM1082" s="117"/>
      <c r="AN1082" s="117"/>
      <c r="AO1082" s="117"/>
      <c r="AP1082" s="117"/>
      <c r="AQ1082" s="118"/>
      <c r="AV1082" s="120"/>
      <c r="AW1082" s="120"/>
      <c r="AX1082" s="121"/>
      <c r="AY1082" s="121"/>
      <c r="AZ1082" s="136"/>
    </row>
    <row r="1083" spans="2:52" s="82" customFormat="1" ht="17.45" hidden="1" customHeight="1" outlineLevel="1">
      <c r="B1083" s="365"/>
      <c r="C1083" s="61"/>
      <c r="D1083" s="366"/>
      <c r="E1083" s="366"/>
      <c r="F1083" s="366"/>
      <c r="G1083" s="366"/>
      <c r="H1083" s="366"/>
      <c r="I1083" s="366"/>
      <c r="J1083" s="366"/>
      <c r="K1083" s="367"/>
      <c r="L1083" s="368"/>
      <c r="M1083" s="368"/>
      <c r="N1083" s="368"/>
      <c r="O1083" s="367"/>
      <c r="P1083" s="367"/>
      <c r="Q1083" s="367"/>
      <c r="R1083" s="59"/>
      <c r="S1083" s="59"/>
      <c r="T1083" s="59"/>
      <c r="U1083" s="59"/>
      <c r="V1083" s="59"/>
      <c r="W1083" s="367"/>
      <c r="X1083" s="367"/>
      <c r="Y1083" s="369"/>
      <c r="Z1083" s="370"/>
      <c r="AA1083" s="60"/>
      <c r="AB1083" s="60"/>
      <c r="AC1083" s="60"/>
      <c r="AD1083" s="60"/>
      <c r="AE1083" s="60"/>
      <c r="AF1083" s="60"/>
      <c r="AG1083" s="60"/>
      <c r="AH1083" s="60"/>
      <c r="AI1083" s="60"/>
      <c r="AJ1083" s="60"/>
      <c r="AK1083" s="60"/>
      <c r="AL1083" s="59"/>
      <c r="AM1083" s="59"/>
      <c r="AN1083" s="59"/>
      <c r="AO1083" s="61"/>
      <c r="AP1083" s="447"/>
      <c r="AQ1083" s="62"/>
      <c r="AV1083" s="120"/>
      <c r="AW1083" s="120"/>
      <c r="AX1083" s="121"/>
      <c r="AY1083" s="121"/>
      <c r="AZ1083" s="136"/>
    </row>
    <row r="1084" spans="2:52" ht="17.45" hidden="1" customHeight="1" outlineLevel="1">
      <c r="B1084" s="63"/>
      <c r="C1084" s="71"/>
      <c r="D1084" s="64"/>
      <c r="E1084" s="64"/>
      <c r="F1084" s="64"/>
      <c r="G1084" s="64"/>
      <c r="H1084" s="64"/>
      <c r="I1084" s="65"/>
      <c r="J1084" s="66"/>
      <c r="K1084" s="69"/>
      <c r="L1084" s="67"/>
      <c r="M1084" s="67"/>
      <c r="N1084" s="67">
        <f>L1084+M1084</f>
        <v>0</v>
      </c>
      <c r="O1084" s="68"/>
      <c r="P1084" s="68"/>
      <c r="Q1084" s="69"/>
      <c r="R1084" s="70"/>
      <c r="S1084" s="70"/>
      <c r="T1084" s="70"/>
      <c r="U1084" s="73"/>
      <c r="V1084" s="70"/>
      <c r="W1084" s="83"/>
      <c r="X1084" s="83"/>
      <c r="Y1084" s="206"/>
      <c r="Z1084" s="84"/>
      <c r="AA1084" s="192" t="str">
        <f>IF(E1084="","",E1084-D1084+AH1084+AK1084)</f>
        <v/>
      </c>
      <c r="AB1084" s="192" t="str">
        <f>IF(G1084="","",G1084-D1084)</f>
        <v/>
      </c>
      <c r="AC1084" s="193" t="str">
        <f>IF(H1084="","",H1084-D1084)</f>
        <v/>
      </c>
      <c r="AD1084" s="89" t="str">
        <f>IF(N1084=0,"",((N1084/AE1084)*24)/24)</f>
        <v/>
      </c>
      <c r="AE1084" s="194">
        <f>IF(G1084="",0,(G1084-F1084)-(AJ1084-AI1084)-(AG1084-AF1084))</f>
        <v>0</v>
      </c>
      <c r="AF1084" s="72"/>
      <c r="AG1084" s="72"/>
      <c r="AH1084" s="72">
        <f t="shared" ref="AH1084" si="1523">AG1084-AF1084</f>
        <v>0</v>
      </c>
      <c r="AI1084" s="72"/>
      <c r="AJ1084" s="72"/>
      <c r="AK1084" s="72">
        <f t="shared" ref="AK1084" si="1524">AJ1084-AI1084</f>
        <v>0</v>
      </c>
      <c r="AL1084" s="70"/>
      <c r="AM1084" s="73"/>
      <c r="AN1084" s="73"/>
      <c r="AO1084" s="73"/>
      <c r="AP1084" s="448"/>
      <c r="AQ1084" s="74"/>
      <c r="AV1084" s="120"/>
      <c r="AW1084" s="120"/>
      <c r="AX1084" s="121"/>
      <c r="AY1084" s="121"/>
      <c r="AZ1084" s="136"/>
    </row>
    <row r="1085" spans="2:52" ht="17.45" hidden="1" customHeight="1" outlineLevel="1">
      <c r="B1085" s="63"/>
      <c r="C1085" s="71"/>
      <c r="D1085" s="64"/>
      <c r="E1085" s="64"/>
      <c r="F1085" s="64"/>
      <c r="G1085" s="64"/>
      <c r="H1085" s="64"/>
      <c r="I1085" s="65"/>
      <c r="J1085" s="66"/>
      <c r="K1085" s="69"/>
      <c r="L1085" s="67"/>
      <c r="M1085" s="67"/>
      <c r="N1085" s="77"/>
      <c r="O1085" s="78"/>
      <c r="P1085" s="78"/>
      <c r="Q1085" s="69"/>
      <c r="R1085" s="70"/>
      <c r="S1085" s="70"/>
      <c r="T1085" s="70"/>
      <c r="U1085" s="73"/>
      <c r="V1085" s="73"/>
      <c r="W1085" s="83"/>
      <c r="X1085" s="83"/>
      <c r="Y1085" s="206"/>
      <c r="Z1085" s="84"/>
      <c r="AA1085" s="80"/>
      <c r="AB1085" s="80"/>
      <c r="AC1085" s="80"/>
      <c r="AD1085" s="80"/>
      <c r="AE1085" s="80"/>
      <c r="AF1085" s="80"/>
      <c r="AG1085" s="80"/>
      <c r="AH1085" s="80"/>
      <c r="AI1085" s="80"/>
      <c r="AJ1085" s="80"/>
      <c r="AK1085" s="80"/>
      <c r="AL1085" s="70"/>
      <c r="AM1085" s="73"/>
      <c r="AN1085" s="73"/>
      <c r="AO1085" s="73"/>
      <c r="AP1085" s="448"/>
      <c r="AQ1085" s="85"/>
      <c r="AV1085" s="120"/>
      <c r="AW1085" s="120"/>
      <c r="AX1085" s="121"/>
      <c r="AY1085" s="121"/>
      <c r="AZ1085" s="136"/>
    </row>
    <row r="1086" spans="2:52" ht="17.45" hidden="1" customHeight="1" outlineLevel="1">
      <c r="B1086" s="372"/>
      <c r="C1086" s="71"/>
      <c r="D1086" s="64"/>
      <c r="E1086" s="64"/>
      <c r="F1086" s="64"/>
      <c r="G1086" s="64"/>
      <c r="H1086" s="64"/>
      <c r="I1086" s="65"/>
      <c r="J1086" s="66"/>
      <c r="K1086" s="69"/>
      <c r="L1086" s="67"/>
      <c r="M1086" s="67"/>
      <c r="N1086" s="67">
        <f>L1086+M1086</f>
        <v>0</v>
      </c>
      <c r="O1086" s="68"/>
      <c r="P1086" s="68"/>
      <c r="Q1086" s="69"/>
      <c r="R1086" s="70"/>
      <c r="S1086" s="70"/>
      <c r="T1086" s="70"/>
      <c r="U1086" s="73"/>
      <c r="V1086" s="70"/>
      <c r="W1086" s="83"/>
      <c r="X1086" s="83"/>
      <c r="Y1086" s="206"/>
      <c r="Z1086" s="84"/>
      <c r="AA1086" s="192" t="str">
        <f t="shared" ref="AA1086" si="1525">IF(E1086="","",E1086-D1086+AH1086+AK1086)</f>
        <v/>
      </c>
      <c r="AB1086" s="192" t="str">
        <f t="shared" ref="AB1086" si="1526">IF(G1086="","",G1086-D1086)</f>
        <v/>
      </c>
      <c r="AC1086" s="193" t="str">
        <f t="shared" ref="AC1086" si="1527">IF(H1086="","",H1086-D1086)</f>
        <v/>
      </c>
      <c r="AD1086" s="89" t="str">
        <f t="shared" ref="AD1086" si="1528">IF(N1086=0,"",((N1086/AE1086)*24)/24)</f>
        <v/>
      </c>
      <c r="AE1086" s="194">
        <f t="shared" ref="AE1086" si="1529">IF(G1086="",0,(G1086-F1086)-(AJ1086-AI1086)-(AG1086-AF1086))</f>
        <v>0</v>
      </c>
      <c r="AF1086" s="72"/>
      <c r="AG1086" s="72"/>
      <c r="AH1086" s="72">
        <f t="shared" ref="AH1086" si="1530">AG1086-AF1086</f>
        <v>0</v>
      </c>
      <c r="AI1086" s="72"/>
      <c r="AJ1086" s="72"/>
      <c r="AK1086" s="72">
        <f t="shared" ref="AK1086" si="1531">AJ1086-AI1086</f>
        <v>0</v>
      </c>
      <c r="AL1086" s="70"/>
      <c r="AM1086" s="73"/>
      <c r="AN1086" s="73"/>
      <c r="AO1086" s="73"/>
      <c r="AP1086" s="448"/>
      <c r="AQ1086" s="74"/>
      <c r="AV1086" s="120"/>
      <c r="AW1086" s="120"/>
      <c r="AX1086" s="121"/>
      <c r="AY1086" s="121"/>
      <c r="AZ1086" s="136"/>
    </row>
    <row r="1087" spans="2:52" ht="17.45" hidden="1" customHeight="1" outlineLevel="1">
      <c r="B1087" s="372"/>
      <c r="C1087" s="71"/>
      <c r="D1087" s="64"/>
      <c r="E1087" s="64"/>
      <c r="F1087" s="64"/>
      <c r="G1087" s="64"/>
      <c r="H1087" s="64"/>
      <c r="I1087" s="65"/>
      <c r="J1087" s="66"/>
      <c r="K1087" s="69"/>
      <c r="L1087" s="67"/>
      <c r="M1087" s="67"/>
      <c r="N1087" s="77"/>
      <c r="O1087" s="78"/>
      <c r="P1087" s="78"/>
      <c r="Q1087" s="69"/>
      <c r="R1087" s="70"/>
      <c r="S1087" s="70"/>
      <c r="T1087" s="70"/>
      <c r="U1087" s="73"/>
      <c r="V1087" s="70"/>
      <c r="W1087" s="83"/>
      <c r="X1087" s="83"/>
      <c r="Y1087" s="206"/>
      <c r="Z1087" s="84"/>
      <c r="AA1087" s="80"/>
      <c r="AB1087" s="80"/>
      <c r="AC1087" s="80"/>
      <c r="AD1087" s="80"/>
      <c r="AE1087" s="80"/>
      <c r="AF1087" s="80"/>
      <c r="AG1087" s="80"/>
      <c r="AH1087" s="80"/>
      <c r="AI1087" s="80"/>
      <c r="AJ1087" s="80"/>
      <c r="AK1087" s="80"/>
      <c r="AL1087" s="70"/>
      <c r="AM1087" s="73"/>
      <c r="AN1087" s="73"/>
      <c r="AO1087" s="73"/>
      <c r="AP1087" s="448"/>
      <c r="AQ1087" s="74"/>
      <c r="AV1087" s="120"/>
      <c r="AW1087" s="120"/>
      <c r="AX1087" s="121"/>
      <c r="AY1087" s="121"/>
      <c r="AZ1087" s="136"/>
    </row>
    <row r="1088" spans="2:52" s="82" customFormat="1" ht="17.45" hidden="1" customHeight="1" outlineLevel="1">
      <c r="B1088" s="63"/>
      <c r="C1088" s="71"/>
      <c r="D1088" s="64"/>
      <c r="E1088" s="64"/>
      <c r="F1088" s="64"/>
      <c r="G1088" s="64"/>
      <c r="H1088" s="64"/>
      <c r="I1088" s="65"/>
      <c r="J1088" s="66"/>
      <c r="K1088" s="69"/>
      <c r="L1088" s="67"/>
      <c r="M1088" s="67"/>
      <c r="N1088" s="67">
        <f t="shared" ref="N1088" si="1532">L1088+M1088</f>
        <v>0</v>
      </c>
      <c r="O1088" s="68"/>
      <c r="P1088" s="68"/>
      <c r="Q1088" s="69"/>
      <c r="R1088" s="70"/>
      <c r="S1088" s="70"/>
      <c r="T1088" s="70"/>
      <c r="U1088" s="70"/>
      <c r="V1088" s="70"/>
      <c r="W1088" s="69"/>
      <c r="X1088" s="69"/>
      <c r="Y1088" s="204"/>
      <c r="Z1088" s="72"/>
      <c r="AA1088" s="192" t="str">
        <f t="shared" ref="AA1088" si="1533">IF(E1088="","",E1088-D1088+AH1088+AK1088)</f>
        <v/>
      </c>
      <c r="AB1088" s="192" t="str">
        <f t="shared" ref="AB1088" si="1534">IF(G1088="","",G1088-D1088)</f>
        <v/>
      </c>
      <c r="AC1088" s="193" t="str">
        <f t="shared" ref="AC1088" si="1535">IF(H1088="","",H1088-D1088)</f>
        <v/>
      </c>
      <c r="AD1088" s="89" t="str">
        <f t="shared" ref="AD1088" si="1536">IF(N1088=0,"",((N1088/AE1088)*24)/24)</f>
        <v/>
      </c>
      <c r="AE1088" s="194">
        <f t="shared" ref="AE1088" si="1537">IF(G1088="",0,(G1088-F1088)-(AJ1088-AI1088)-(AG1088-AF1088))</f>
        <v>0</v>
      </c>
      <c r="AF1088" s="72"/>
      <c r="AG1088" s="72"/>
      <c r="AH1088" s="72">
        <f t="shared" ref="AH1088" si="1538">AG1088-AF1088</f>
        <v>0</v>
      </c>
      <c r="AI1088" s="72"/>
      <c r="AJ1088" s="72"/>
      <c r="AK1088" s="72">
        <f t="shared" ref="AK1088" si="1539">AJ1088-AI1088</f>
        <v>0</v>
      </c>
      <c r="AL1088" s="70"/>
      <c r="AM1088" s="70"/>
      <c r="AN1088" s="70"/>
      <c r="AO1088" s="73"/>
      <c r="AP1088" s="448"/>
      <c r="AQ1088" s="74"/>
      <c r="AV1088" s="120"/>
      <c r="AW1088" s="120"/>
      <c r="AX1088" s="121"/>
      <c r="AY1088" s="121"/>
      <c r="AZ1088" s="136"/>
    </row>
    <row r="1089" spans="2:52" s="82" customFormat="1" ht="17.45" hidden="1" customHeight="1" outlineLevel="1">
      <c r="B1089" s="63"/>
      <c r="C1089" s="71"/>
      <c r="D1089" s="64"/>
      <c r="E1089" s="64"/>
      <c r="F1089" s="64"/>
      <c r="G1089" s="64"/>
      <c r="H1089" s="64"/>
      <c r="I1089" s="64"/>
      <c r="J1089" s="64"/>
      <c r="K1089" s="69"/>
      <c r="L1089" s="67"/>
      <c r="M1089" s="67"/>
      <c r="N1089" s="67"/>
      <c r="O1089" s="69"/>
      <c r="P1089" s="69"/>
      <c r="Q1089" s="69"/>
      <c r="R1089" s="70"/>
      <c r="S1089" s="70"/>
      <c r="T1089" s="70"/>
      <c r="U1089" s="70"/>
      <c r="V1089" s="70"/>
      <c r="W1089" s="69"/>
      <c r="X1089" s="69"/>
      <c r="Y1089" s="204"/>
      <c r="Z1089" s="72"/>
      <c r="AA1089" s="80"/>
      <c r="AB1089" s="80"/>
      <c r="AC1089" s="80"/>
      <c r="AD1089" s="80"/>
      <c r="AE1089" s="80"/>
      <c r="AF1089" s="80"/>
      <c r="AG1089" s="80"/>
      <c r="AH1089" s="80"/>
      <c r="AI1089" s="80"/>
      <c r="AJ1089" s="80"/>
      <c r="AK1089" s="80"/>
      <c r="AL1089" s="70"/>
      <c r="AM1089" s="70"/>
      <c r="AN1089" s="70"/>
      <c r="AO1089" s="71"/>
      <c r="AP1089" s="449"/>
      <c r="AQ1089" s="74"/>
      <c r="AV1089" s="120"/>
      <c r="AW1089" s="120"/>
      <c r="AX1089" s="121"/>
      <c r="AY1089" s="121"/>
      <c r="AZ1089" s="136"/>
    </row>
    <row r="1090" spans="2:52" s="82" customFormat="1" ht="17.45" hidden="1" customHeight="1" outlineLevel="1">
      <c r="B1090" s="371"/>
      <c r="C1090" s="71"/>
      <c r="D1090" s="64"/>
      <c r="E1090" s="64"/>
      <c r="F1090" s="64"/>
      <c r="G1090" s="64"/>
      <c r="H1090" s="64"/>
      <c r="I1090" s="65"/>
      <c r="J1090" s="66"/>
      <c r="K1090" s="69"/>
      <c r="L1090" s="67"/>
      <c r="M1090" s="67"/>
      <c r="N1090" s="67">
        <f>L1090+M1090</f>
        <v>0</v>
      </c>
      <c r="O1090" s="68"/>
      <c r="P1090" s="68"/>
      <c r="Q1090" s="69"/>
      <c r="R1090" s="70"/>
      <c r="S1090" s="70"/>
      <c r="T1090" s="70"/>
      <c r="U1090" s="73"/>
      <c r="V1090" s="70"/>
      <c r="W1090" s="69"/>
      <c r="X1090" s="69"/>
      <c r="Y1090" s="204"/>
      <c r="Z1090" s="72"/>
      <c r="AA1090" s="192" t="str">
        <f t="shared" ref="AA1090" si="1540">IF(E1090="","",E1090-D1090+AH1090+AK1090)</f>
        <v/>
      </c>
      <c r="AB1090" s="192" t="str">
        <f t="shared" ref="AB1090" si="1541">IF(G1090="","",G1090-D1090)</f>
        <v/>
      </c>
      <c r="AC1090" s="193" t="str">
        <f t="shared" ref="AC1090" si="1542">IF(H1090="","",H1090-D1090)</f>
        <v/>
      </c>
      <c r="AD1090" s="89" t="str">
        <f t="shared" ref="AD1090" si="1543">IF(N1090=0,"",((N1090/AE1090)*24)/24)</f>
        <v/>
      </c>
      <c r="AE1090" s="194">
        <f t="shared" ref="AE1090" si="1544">IF(G1090="",0,(G1090-F1090)-(AJ1090-AI1090)-(AG1090-AF1090))</f>
        <v>0</v>
      </c>
      <c r="AF1090" s="72"/>
      <c r="AG1090" s="72"/>
      <c r="AH1090" s="72">
        <f t="shared" ref="AH1090" si="1545">AG1090-AF1090</f>
        <v>0</v>
      </c>
      <c r="AI1090" s="72"/>
      <c r="AJ1090" s="72"/>
      <c r="AK1090" s="72">
        <f t="shared" ref="AK1090" si="1546">AJ1090-AI1090</f>
        <v>0</v>
      </c>
      <c r="AL1090" s="70"/>
      <c r="AM1090" s="70"/>
      <c r="AN1090" s="70"/>
      <c r="AO1090" s="73"/>
      <c r="AP1090" s="448"/>
      <c r="AQ1090" s="74"/>
      <c r="AV1090" s="120"/>
      <c r="AW1090" s="120"/>
      <c r="AX1090" s="121"/>
      <c r="AY1090" s="121"/>
      <c r="AZ1090" s="136"/>
    </row>
    <row r="1091" spans="2:52" s="82" customFormat="1" ht="17.45" hidden="1" customHeight="1" outlineLevel="1">
      <c r="B1091" s="63"/>
      <c r="C1091" s="71"/>
      <c r="D1091" s="64"/>
      <c r="E1091" s="64"/>
      <c r="F1091" s="64"/>
      <c r="G1091" s="64"/>
      <c r="H1091" s="64"/>
      <c r="I1091" s="64"/>
      <c r="J1091" s="64"/>
      <c r="K1091" s="69"/>
      <c r="L1091" s="67"/>
      <c r="M1091" s="67"/>
      <c r="N1091" s="67"/>
      <c r="O1091" s="69"/>
      <c r="P1091" s="69"/>
      <c r="Q1091" s="69"/>
      <c r="R1091" s="70"/>
      <c r="S1091" s="70"/>
      <c r="T1091" s="70"/>
      <c r="U1091" s="70"/>
      <c r="V1091" s="70"/>
      <c r="W1091" s="69"/>
      <c r="X1091" s="69"/>
      <c r="Y1091" s="204"/>
      <c r="Z1091" s="72"/>
      <c r="AA1091" s="80"/>
      <c r="AB1091" s="80"/>
      <c r="AC1091" s="80"/>
      <c r="AD1091" s="80"/>
      <c r="AE1091" s="80"/>
      <c r="AF1091" s="80"/>
      <c r="AG1091" s="80"/>
      <c r="AH1091" s="80"/>
      <c r="AI1091" s="80"/>
      <c r="AJ1091" s="80"/>
      <c r="AK1091" s="80"/>
      <c r="AL1091" s="70"/>
      <c r="AM1091" s="70"/>
      <c r="AN1091" s="70"/>
      <c r="AO1091" s="71"/>
      <c r="AP1091" s="449"/>
      <c r="AQ1091" s="81"/>
      <c r="AV1091" s="120"/>
      <c r="AW1091" s="120"/>
      <c r="AX1091" s="121"/>
      <c r="AY1091" s="121"/>
      <c r="AZ1091" s="136"/>
    </row>
    <row r="1092" spans="2:52" s="82" customFormat="1" ht="17.45" hidden="1" customHeight="1" outlineLevel="1">
      <c r="B1092" s="63"/>
      <c r="C1092" s="71"/>
      <c r="D1092" s="64"/>
      <c r="E1092" s="64"/>
      <c r="F1092" s="64"/>
      <c r="G1092" s="64"/>
      <c r="H1092" s="64"/>
      <c r="I1092" s="65"/>
      <c r="J1092" s="66"/>
      <c r="K1092" s="69"/>
      <c r="L1092" s="67"/>
      <c r="M1092" s="67"/>
      <c r="N1092" s="67">
        <f t="shared" ref="N1092" si="1547">L1092+M1092</f>
        <v>0</v>
      </c>
      <c r="O1092" s="68"/>
      <c r="P1092" s="68"/>
      <c r="Q1092" s="69"/>
      <c r="R1092" s="70"/>
      <c r="S1092" s="70"/>
      <c r="T1092" s="70"/>
      <c r="U1092" s="70"/>
      <c r="V1092" s="70"/>
      <c r="W1092" s="69"/>
      <c r="X1092" s="69"/>
      <c r="Y1092" s="204"/>
      <c r="Z1092" s="72"/>
      <c r="AA1092" s="192" t="str">
        <f t="shared" ref="AA1092" si="1548">IF(E1092="","",E1092-D1092+AH1092+AK1092)</f>
        <v/>
      </c>
      <c r="AB1092" s="192" t="str">
        <f t="shared" ref="AB1092" si="1549">IF(G1092="","",G1092-D1092)</f>
        <v/>
      </c>
      <c r="AC1092" s="193" t="str">
        <f t="shared" ref="AC1092" si="1550">IF(H1092="","",H1092-D1092)</f>
        <v/>
      </c>
      <c r="AD1092" s="89" t="str">
        <f t="shared" ref="AD1092" si="1551">IF(N1092=0,"",((N1092/AE1092)*24)/24)</f>
        <v/>
      </c>
      <c r="AE1092" s="194">
        <f t="shared" ref="AE1092" si="1552">IF(G1092="",0,(G1092-F1092)-(AJ1092-AI1092)-(AG1092-AF1092))</f>
        <v>0</v>
      </c>
      <c r="AF1092" s="72"/>
      <c r="AG1092" s="72"/>
      <c r="AH1092" s="72">
        <f t="shared" ref="AH1092" si="1553">AG1092-AF1092</f>
        <v>0</v>
      </c>
      <c r="AI1092" s="72"/>
      <c r="AJ1092" s="72"/>
      <c r="AK1092" s="72">
        <f t="shared" ref="AK1092" si="1554">AJ1092-AI1092</f>
        <v>0</v>
      </c>
      <c r="AL1092" s="70"/>
      <c r="AM1092" s="70"/>
      <c r="AN1092" s="70"/>
      <c r="AO1092" s="73"/>
      <c r="AP1092" s="448"/>
      <c r="AQ1092" s="74"/>
      <c r="AV1092" s="120"/>
      <c r="AW1092" s="120"/>
      <c r="AX1092" s="121"/>
      <c r="AY1092" s="121"/>
      <c r="AZ1092" s="136"/>
    </row>
    <row r="1093" spans="2:52" s="82" customFormat="1" ht="17.45" hidden="1" customHeight="1" outlineLevel="1">
      <c r="B1093" s="63"/>
      <c r="C1093" s="71"/>
      <c r="D1093" s="64"/>
      <c r="E1093" s="64"/>
      <c r="F1093" s="64"/>
      <c r="G1093" s="64"/>
      <c r="H1093" s="64"/>
      <c r="I1093" s="65"/>
      <c r="J1093" s="66"/>
      <c r="K1093" s="69"/>
      <c r="L1093" s="67"/>
      <c r="M1093" s="67"/>
      <c r="N1093" s="67"/>
      <c r="O1093" s="68"/>
      <c r="P1093" s="68"/>
      <c r="Q1093" s="69"/>
      <c r="R1093" s="70"/>
      <c r="S1093" s="70"/>
      <c r="T1093" s="70"/>
      <c r="U1093" s="70"/>
      <c r="V1093" s="70"/>
      <c r="W1093" s="69"/>
      <c r="X1093" s="69"/>
      <c r="Y1093" s="204"/>
      <c r="Z1093" s="72"/>
      <c r="AA1093" s="80"/>
      <c r="AB1093" s="80"/>
      <c r="AC1093" s="80"/>
      <c r="AD1093" s="80"/>
      <c r="AE1093" s="80"/>
      <c r="AF1093" s="80"/>
      <c r="AG1093" s="80"/>
      <c r="AH1093" s="80"/>
      <c r="AI1093" s="80"/>
      <c r="AJ1093" s="80"/>
      <c r="AK1093" s="80"/>
      <c r="AL1093" s="70"/>
      <c r="AM1093" s="70"/>
      <c r="AN1093" s="70"/>
      <c r="AO1093" s="73"/>
      <c r="AP1093" s="448"/>
      <c r="AQ1093" s="74"/>
      <c r="AV1093" s="120"/>
      <c r="AW1093" s="120"/>
      <c r="AX1093" s="121"/>
      <c r="AY1093" s="121"/>
      <c r="AZ1093" s="136"/>
    </row>
    <row r="1094" spans="2:52" s="102" customFormat="1" ht="17.45" hidden="1" customHeight="1" outlineLevel="1">
      <c r="B1094" s="63"/>
      <c r="C1094" s="71"/>
      <c r="D1094" s="64"/>
      <c r="E1094" s="64"/>
      <c r="F1094" s="64"/>
      <c r="G1094" s="64"/>
      <c r="H1094" s="64"/>
      <c r="I1094" s="65"/>
      <c r="J1094" s="66"/>
      <c r="K1094" s="69"/>
      <c r="L1094" s="67"/>
      <c r="M1094" s="67"/>
      <c r="N1094" s="67">
        <f t="shared" ref="N1094" si="1555">L1094+M1094</f>
        <v>0</v>
      </c>
      <c r="O1094" s="68"/>
      <c r="P1094" s="68"/>
      <c r="Q1094" s="69"/>
      <c r="R1094" s="70"/>
      <c r="S1094" s="70"/>
      <c r="T1094" s="70"/>
      <c r="U1094" s="70"/>
      <c r="V1094" s="70"/>
      <c r="W1094" s="69"/>
      <c r="X1094" s="69"/>
      <c r="Y1094" s="204"/>
      <c r="Z1094" s="72"/>
      <c r="AA1094" s="192" t="str">
        <f t="shared" ref="AA1094" si="1556">IF(E1094="","",E1094-D1094+AH1094+AK1094)</f>
        <v/>
      </c>
      <c r="AB1094" s="192" t="str">
        <f t="shared" ref="AB1094" si="1557">IF(G1094="","",G1094-D1094)</f>
        <v/>
      </c>
      <c r="AC1094" s="193" t="str">
        <f t="shared" ref="AC1094" si="1558">IF(H1094="","",H1094-D1094)</f>
        <v/>
      </c>
      <c r="AD1094" s="89" t="str">
        <f t="shared" ref="AD1094" si="1559">IF(N1094=0,"",((N1094/AE1094)*24)/24)</f>
        <v/>
      </c>
      <c r="AE1094" s="194">
        <f t="shared" ref="AE1094" si="1560">IF(G1094="",0,(G1094-F1094)-(AJ1094-AI1094)-(AG1094-AF1094))</f>
        <v>0</v>
      </c>
      <c r="AF1094" s="72"/>
      <c r="AG1094" s="72"/>
      <c r="AH1094" s="72">
        <f t="shared" ref="AH1094" si="1561">AG1094-AF1094</f>
        <v>0</v>
      </c>
      <c r="AI1094" s="72"/>
      <c r="AJ1094" s="72"/>
      <c r="AK1094" s="72">
        <f t="shared" ref="AK1094" si="1562">AJ1094-AI1094</f>
        <v>0</v>
      </c>
      <c r="AL1094" s="70"/>
      <c r="AM1094" s="70"/>
      <c r="AN1094" s="70"/>
      <c r="AO1094" s="71"/>
      <c r="AP1094" s="449"/>
      <c r="AQ1094" s="85"/>
      <c r="AV1094" s="120"/>
      <c r="AW1094" s="120"/>
      <c r="AX1094" s="121"/>
      <c r="AY1094" s="121"/>
      <c r="AZ1094" s="136"/>
    </row>
    <row r="1095" spans="2:52" s="102" customFormat="1" ht="17.45" hidden="1" customHeight="1" outlineLevel="1">
      <c r="B1095" s="63"/>
      <c r="C1095" s="71"/>
      <c r="D1095" s="64"/>
      <c r="E1095" s="64"/>
      <c r="F1095" s="64"/>
      <c r="G1095" s="64"/>
      <c r="H1095" s="64"/>
      <c r="I1095" s="64"/>
      <c r="J1095" s="64"/>
      <c r="K1095" s="69"/>
      <c r="L1095" s="67"/>
      <c r="M1095" s="67"/>
      <c r="N1095" s="67"/>
      <c r="O1095" s="69"/>
      <c r="P1095" s="69"/>
      <c r="Q1095" s="69"/>
      <c r="R1095" s="70"/>
      <c r="S1095" s="70"/>
      <c r="T1095" s="70"/>
      <c r="U1095" s="70"/>
      <c r="V1095" s="70"/>
      <c r="W1095" s="69"/>
      <c r="X1095" s="69"/>
      <c r="Y1095" s="204"/>
      <c r="Z1095" s="72"/>
      <c r="AA1095" s="80"/>
      <c r="AB1095" s="80"/>
      <c r="AC1095" s="80"/>
      <c r="AD1095" s="80"/>
      <c r="AE1095" s="80"/>
      <c r="AF1095" s="80"/>
      <c r="AG1095" s="80"/>
      <c r="AH1095" s="80"/>
      <c r="AI1095" s="80"/>
      <c r="AJ1095" s="80"/>
      <c r="AK1095" s="80"/>
      <c r="AL1095" s="70"/>
      <c r="AM1095" s="70"/>
      <c r="AN1095" s="70"/>
      <c r="AO1095" s="71"/>
      <c r="AP1095" s="449"/>
      <c r="AQ1095" s="81"/>
      <c r="AV1095" s="120"/>
      <c r="AW1095" s="120"/>
      <c r="AX1095" s="121"/>
      <c r="AY1095" s="121"/>
      <c r="AZ1095" s="136"/>
    </row>
    <row r="1096" spans="2:52" ht="17.45" hidden="1" customHeight="1" outlineLevel="1">
      <c r="B1096" s="372"/>
      <c r="C1096" s="71"/>
      <c r="D1096" s="64"/>
      <c r="E1096" s="64"/>
      <c r="F1096" s="64"/>
      <c r="G1096" s="64"/>
      <c r="H1096" s="64"/>
      <c r="I1096" s="65"/>
      <c r="J1096" s="66"/>
      <c r="K1096" s="69"/>
      <c r="L1096" s="67"/>
      <c r="M1096" s="67"/>
      <c r="N1096" s="67">
        <f t="shared" ref="N1096" si="1563">L1096+M1096</f>
        <v>0</v>
      </c>
      <c r="O1096" s="68"/>
      <c r="P1096" s="68"/>
      <c r="Q1096" s="69"/>
      <c r="R1096" s="70"/>
      <c r="S1096" s="70"/>
      <c r="T1096" s="70"/>
      <c r="U1096" s="73"/>
      <c r="V1096" s="70"/>
      <c r="W1096" s="83"/>
      <c r="X1096" s="83"/>
      <c r="Y1096" s="206"/>
      <c r="Z1096" s="84"/>
      <c r="AA1096" s="192" t="str">
        <f t="shared" ref="AA1096" si="1564">IF(E1096="","",E1096-D1096+AH1096+AK1096)</f>
        <v/>
      </c>
      <c r="AB1096" s="192" t="str">
        <f t="shared" ref="AB1096" si="1565">IF(G1096="","",G1096-D1096)</f>
        <v/>
      </c>
      <c r="AC1096" s="193" t="str">
        <f t="shared" ref="AC1096" si="1566">IF(H1096="","",H1096-D1096)</f>
        <v/>
      </c>
      <c r="AD1096" s="89" t="str">
        <f t="shared" ref="AD1096" si="1567">IF(N1096=0,"",((N1096/AE1096)*24)/24)</f>
        <v/>
      </c>
      <c r="AE1096" s="194">
        <f t="shared" ref="AE1096" si="1568">IF(G1096="",0,(G1096-F1096)-(AJ1096-AI1096)-(AG1096-AF1096))</f>
        <v>0</v>
      </c>
      <c r="AF1096" s="72"/>
      <c r="AG1096" s="72"/>
      <c r="AH1096" s="72">
        <f t="shared" ref="AH1096" si="1569">AG1096-AF1096</f>
        <v>0</v>
      </c>
      <c r="AI1096" s="72"/>
      <c r="AJ1096" s="72"/>
      <c r="AK1096" s="72">
        <f t="shared" ref="AK1096" si="1570">AJ1096-AI1096</f>
        <v>0</v>
      </c>
      <c r="AL1096" s="70"/>
      <c r="AM1096" s="73"/>
      <c r="AN1096" s="73"/>
      <c r="AO1096" s="73"/>
      <c r="AP1096" s="448"/>
      <c r="AQ1096" s="74"/>
      <c r="AV1096" s="120"/>
      <c r="AW1096" s="120"/>
      <c r="AX1096" s="121"/>
      <c r="AY1096" s="121"/>
      <c r="AZ1096" s="136"/>
    </row>
    <row r="1097" spans="2:52" ht="17.45" hidden="1" customHeight="1" outlineLevel="1">
      <c r="B1097" s="372"/>
      <c r="C1097" s="71"/>
      <c r="D1097" s="64"/>
      <c r="E1097" s="64"/>
      <c r="F1097" s="64"/>
      <c r="G1097" s="64"/>
      <c r="H1097" s="64"/>
      <c r="I1097" s="65"/>
      <c r="J1097" s="66"/>
      <c r="K1097" s="69"/>
      <c r="L1097" s="67"/>
      <c r="M1097" s="67"/>
      <c r="N1097" s="67"/>
      <c r="O1097" s="69"/>
      <c r="P1097" s="69"/>
      <c r="Q1097" s="69"/>
      <c r="R1097" s="70"/>
      <c r="S1097" s="70"/>
      <c r="T1097" s="70"/>
      <c r="U1097" s="73"/>
      <c r="V1097" s="70"/>
      <c r="W1097" s="83"/>
      <c r="X1097" s="83"/>
      <c r="Y1097" s="206"/>
      <c r="Z1097" s="84"/>
      <c r="AA1097" s="80"/>
      <c r="AB1097" s="80"/>
      <c r="AC1097" s="80"/>
      <c r="AD1097" s="80"/>
      <c r="AE1097" s="80"/>
      <c r="AF1097" s="80"/>
      <c r="AG1097" s="80"/>
      <c r="AH1097" s="80"/>
      <c r="AI1097" s="80"/>
      <c r="AJ1097" s="80"/>
      <c r="AK1097" s="80"/>
      <c r="AL1097" s="70"/>
      <c r="AM1097" s="73"/>
      <c r="AN1097" s="73"/>
      <c r="AO1097" s="73"/>
      <c r="AP1097" s="448"/>
      <c r="AQ1097" s="74"/>
      <c r="AV1097" s="120"/>
      <c r="AW1097" s="120"/>
      <c r="AX1097" s="121"/>
      <c r="AY1097" s="121"/>
      <c r="AZ1097" s="136"/>
    </row>
    <row r="1098" spans="2:52" s="82" customFormat="1" ht="17.45" hidden="1" customHeight="1" outlineLevel="1">
      <c r="B1098" s="63"/>
      <c r="C1098" s="71"/>
      <c r="D1098" s="64"/>
      <c r="E1098" s="64"/>
      <c r="F1098" s="64"/>
      <c r="G1098" s="64"/>
      <c r="H1098" s="64"/>
      <c r="I1098" s="65"/>
      <c r="J1098" s="66"/>
      <c r="K1098" s="69"/>
      <c r="L1098" s="67"/>
      <c r="M1098" s="67"/>
      <c r="N1098" s="67">
        <f t="shared" ref="N1098" si="1571">L1098+M1098</f>
        <v>0</v>
      </c>
      <c r="O1098" s="68"/>
      <c r="P1098" s="68"/>
      <c r="Q1098" s="69"/>
      <c r="R1098" s="70"/>
      <c r="S1098" s="70"/>
      <c r="T1098" s="70"/>
      <c r="U1098" s="73"/>
      <c r="V1098" s="70"/>
      <c r="W1098" s="83"/>
      <c r="X1098" s="83"/>
      <c r="Y1098" s="206"/>
      <c r="Z1098" s="84"/>
      <c r="AA1098" s="192" t="str">
        <f t="shared" ref="AA1098" si="1572">IF(E1098="","",E1098-D1098+AH1098+AK1098)</f>
        <v/>
      </c>
      <c r="AB1098" s="192" t="str">
        <f t="shared" ref="AB1098" si="1573">IF(G1098="","",G1098-D1098)</f>
        <v/>
      </c>
      <c r="AC1098" s="193" t="str">
        <f t="shared" ref="AC1098" si="1574">IF(H1098="","",H1098-D1098)</f>
        <v/>
      </c>
      <c r="AD1098" s="89" t="str">
        <f t="shared" ref="AD1098" si="1575">IF(N1098=0,"",((N1098/AE1098)*24)/24)</f>
        <v/>
      </c>
      <c r="AE1098" s="194">
        <f t="shared" ref="AE1098" si="1576">IF(G1098="",0,(G1098-F1098)-(AJ1098-AI1098)-(AG1098-AF1098))</f>
        <v>0</v>
      </c>
      <c r="AF1098" s="72"/>
      <c r="AG1098" s="72"/>
      <c r="AH1098" s="72">
        <f t="shared" ref="AH1098" si="1577">AG1098-AF1098</f>
        <v>0</v>
      </c>
      <c r="AI1098" s="72"/>
      <c r="AJ1098" s="72"/>
      <c r="AK1098" s="72">
        <f t="shared" ref="AK1098" si="1578">AJ1098-AI1098</f>
        <v>0</v>
      </c>
      <c r="AL1098" s="70"/>
      <c r="AM1098" s="73"/>
      <c r="AN1098" s="73"/>
      <c r="AO1098" s="73"/>
      <c r="AP1098" s="448"/>
      <c r="AQ1098" s="74"/>
      <c r="AV1098" s="120"/>
      <c r="AW1098" s="120"/>
      <c r="AX1098" s="121"/>
      <c r="AY1098" s="121"/>
      <c r="AZ1098" s="136"/>
    </row>
    <row r="1099" spans="2:52" s="82" customFormat="1" ht="17.45" hidden="1" customHeight="1" outlineLevel="1">
      <c r="B1099" s="63"/>
      <c r="C1099" s="71"/>
      <c r="D1099" s="64"/>
      <c r="E1099" s="64"/>
      <c r="F1099" s="64"/>
      <c r="G1099" s="64"/>
      <c r="H1099" s="64"/>
      <c r="I1099" s="65"/>
      <c r="J1099" s="66"/>
      <c r="K1099" s="69"/>
      <c r="L1099" s="67"/>
      <c r="M1099" s="67"/>
      <c r="N1099" s="67"/>
      <c r="O1099" s="68"/>
      <c r="P1099" s="68"/>
      <c r="Q1099" s="69"/>
      <c r="R1099" s="70"/>
      <c r="S1099" s="70"/>
      <c r="T1099" s="70"/>
      <c r="U1099" s="73"/>
      <c r="V1099" s="70"/>
      <c r="W1099" s="83"/>
      <c r="X1099" s="83"/>
      <c r="Y1099" s="206"/>
      <c r="Z1099" s="84"/>
      <c r="AA1099" s="80"/>
      <c r="AB1099" s="80"/>
      <c r="AC1099" s="80"/>
      <c r="AD1099" s="80"/>
      <c r="AE1099" s="80"/>
      <c r="AF1099" s="80"/>
      <c r="AG1099" s="80"/>
      <c r="AH1099" s="80"/>
      <c r="AI1099" s="80"/>
      <c r="AJ1099" s="80"/>
      <c r="AK1099" s="80"/>
      <c r="AL1099" s="70"/>
      <c r="AM1099" s="73"/>
      <c r="AN1099" s="73"/>
      <c r="AO1099" s="73"/>
      <c r="AP1099" s="448"/>
      <c r="AQ1099" s="81"/>
      <c r="AV1099" s="120"/>
      <c r="AW1099" s="120"/>
      <c r="AX1099" s="121"/>
      <c r="AY1099" s="121"/>
      <c r="AZ1099" s="136"/>
    </row>
    <row r="1100" spans="2:52" ht="17.45" hidden="1" customHeight="1" outlineLevel="1">
      <c r="B1100" s="63"/>
      <c r="C1100" s="71"/>
      <c r="D1100" s="64"/>
      <c r="E1100" s="64"/>
      <c r="F1100" s="64"/>
      <c r="G1100" s="64"/>
      <c r="H1100" s="64"/>
      <c r="I1100" s="65"/>
      <c r="J1100" s="66"/>
      <c r="K1100" s="69"/>
      <c r="L1100" s="67"/>
      <c r="M1100" s="67"/>
      <c r="N1100" s="67">
        <f t="shared" ref="N1100" si="1579">L1100+M1100</f>
        <v>0</v>
      </c>
      <c r="O1100" s="68"/>
      <c r="P1100" s="68"/>
      <c r="Q1100" s="69"/>
      <c r="R1100" s="70"/>
      <c r="S1100" s="70"/>
      <c r="T1100" s="70"/>
      <c r="U1100" s="73"/>
      <c r="V1100" s="70"/>
      <c r="W1100" s="83"/>
      <c r="X1100" s="83"/>
      <c r="Y1100" s="206"/>
      <c r="Z1100" s="84"/>
      <c r="AA1100" s="192" t="str">
        <f t="shared" ref="AA1100" si="1580">IF(E1100="","",E1100-D1100+AH1100+AK1100)</f>
        <v/>
      </c>
      <c r="AB1100" s="192" t="str">
        <f t="shared" ref="AB1100" si="1581">IF(G1100="","",G1100-D1100)</f>
        <v/>
      </c>
      <c r="AC1100" s="193" t="str">
        <f t="shared" ref="AC1100" si="1582">IF(H1100="","",H1100-D1100)</f>
        <v/>
      </c>
      <c r="AD1100" s="89" t="str">
        <f t="shared" ref="AD1100" si="1583">IF(N1100=0,"",((N1100/AE1100)*24)/24)</f>
        <v/>
      </c>
      <c r="AE1100" s="194">
        <f t="shared" ref="AE1100" si="1584">IF(G1100="",0,(G1100-F1100)-(AJ1100-AI1100)-(AG1100-AF1100))</f>
        <v>0</v>
      </c>
      <c r="AF1100" s="72"/>
      <c r="AG1100" s="72"/>
      <c r="AH1100" s="72">
        <f t="shared" ref="AH1100" si="1585">AG1100-AF1100</f>
        <v>0</v>
      </c>
      <c r="AI1100" s="72"/>
      <c r="AJ1100" s="72"/>
      <c r="AK1100" s="72">
        <f t="shared" ref="AK1100" si="1586">AJ1100-AI1100</f>
        <v>0</v>
      </c>
      <c r="AL1100" s="70"/>
      <c r="AM1100" s="73"/>
      <c r="AN1100" s="73"/>
      <c r="AO1100" s="73"/>
      <c r="AP1100" s="448"/>
      <c r="AQ1100" s="74"/>
      <c r="AV1100" s="120"/>
      <c r="AW1100" s="120"/>
      <c r="AX1100" s="121"/>
      <c r="AY1100" s="121"/>
      <c r="AZ1100" s="136"/>
    </row>
    <row r="1101" spans="2:52" ht="17.45" hidden="1" customHeight="1" outlineLevel="1">
      <c r="B1101" s="63"/>
      <c r="C1101" s="71"/>
      <c r="D1101" s="64"/>
      <c r="E1101" s="64"/>
      <c r="F1101" s="64"/>
      <c r="G1101" s="64"/>
      <c r="H1101" s="64"/>
      <c r="I1101" s="65"/>
      <c r="J1101" s="66"/>
      <c r="K1101" s="69"/>
      <c r="L1101" s="67"/>
      <c r="M1101" s="67"/>
      <c r="N1101" s="67"/>
      <c r="O1101" s="69"/>
      <c r="P1101" s="69"/>
      <c r="Q1101" s="69"/>
      <c r="R1101" s="70"/>
      <c r="S1101" s="70"/>
      <c r="T1101" s="70"/>
      <c r="U1101" s="73"/>
      <c r="V1101" s="73"/>
      <c r="W1101" s="83"/>
      <c r="X1101" s="83"/>
      <c r="Y1101" s="206"/>
      <c r="Z1101" s="84"/>
      <c r="AA1101" s="80"/>
      <c r="AB1101" s="80"/>
      <c r="AC1101" s="80"/>
      <c r="AD1101" s="80"/>
      <c r="AE1101" s="80"/>
      <c r="AF1101" s="80"/>
      <c r="AG1101" s="80"/>
      <c r="AH1101" s="80"/>
      <c r="AI1101" s="80"/>
      <c r="AJ1101" s="80"/>
      <c r="AK1101" s="80"/>
      <c r="AL1101" s="70"/>
      <c r="AM1101" s="73"/>
      <c r="AN1101" s="73"/>
      <c r="AO1101" s="73"/>
      <c r="AP1101" s="448"/>
      <c r="AQ1101" s="85"/>
      <c r="AV1101" s="120"/>
      <c r="AW1101" s="120"/>
      <c r="AX1101" s="121"/>
      <c r="AY1101" s="121"/>
      <c r="AZ1101" s="136"/>
    </row>
    <row r="1102" spans="2:52" ht="17.45" hidden="1" customHeight="1" outlineLevel="1">
      <c r="B1102" s="63"/>
      <c r="C1102" s="71"/>
      <c r="D1102" s="64"/>
      <c r="E1102" s="64"/>
      <c r="F1102" s="64"/>
      <c r="G1102" s="64"/>
      <c r="H1102" s="64"/>
      <c r="I1102" s="65"/>
      <c r="J1102" s="66"/>
      <c r="K1102" s="69"/>
      <c r="L1102" s="67"/>
      <c r="M1102" s="67"/>
      <c r="N1102" s="67">
        <f t="shared" ref="N1102" si="1587">L1102+M1102</f>
        <v>0</v>
      </c>
      <c r="O1102" s="68"/>
      <c r="P1102" s="68"/>
      <c r="Q1102" s="69"/>
      <c r="R1102" s="70"/>
      <c r="S1102" s="70"/>
      <c r="T1102" s="70"/>
      <c r="U1102" s="73"/>
      <c r="V1102" s="70"/>
      <c r="W1102" s="83"/>
      <c r="X1102" s="83"/>
      <c r="Y1102" s="206"/>
      <c r="Z1102" s="84"/>
      <c r="AA1102" s="192" t="str">
        <f t="shared" ref="AA1102" si="1588">IF(E1102="","",E1102-D1102+AH1102+AK1102)</f>
        <v/>
      </c>
      <c r="AB1102" s="192" t="str">
        <f t="shared" ref="AB1102" si="1589">IF(G1102="","",G1102-D1102)</f>
        <v/>
      </c>
      <c r="AC1102" s="193" t="str">
        <f t="shared" ref="AC1102" si="1590">IF(H1102="","",H1102-D1102)</f>
        <v/>
      </c>
      <c r="AD1102" s="89" t="str">
        <f t="shared" ref="AD1102" si="1591">IF(N1102=0,"",((N1102/AE1102)*24)/24)</f>
        <v/>
      </c>
      <c r="AE1102" s="194">
        <f t="shared" ref="AE1102" si="1592">IF(G1102="",0,(G1102-F1102)-(AJ1102-AI1102)-(AG1102-AF1102))</f>
        <v>0</v>
      </c>
      <c r="AF1102" s="72"/>
      <c r="AG1102" s="72"/>
      <c r="AH1102" s="72">
        <f t="shared" ref="AH1102" si="1593">AG1102-AF1102</f>
        <v>0</v>
      </c>
      <c r="AI1102" s="72"/>
      <c r="AJ1102" s="72"/>
      <c r="AK1102" s="72">
        <f t="shared" ref="AK1102" si="1594">AJ1102-AI1102</f>
        <v>0</v>
      </c>
      <c r="AL1102" s="70"/>
      <c r="AM1102" s="73"/>
      <c r="AN1102" s="73"/>
      <c r="AO1102" s="73"/>
      <c r="AP1102" s="448"/>
      <c r="AQ1102" s="74"/>
      <c r="AV1102" s="120"/>
      <c r="AW1102" s="120"/>
      <c r="AX1102" s="121"/>
      <c r="AY1102" s="121"/>
      <c r="AZ1102" s="136"/>
    </row>
    <row r="1103" spans="2:52" ht="17.45" hidden="1" customHeight="1" outlineLevel="1">
      <c r="B1103" s="63"/>
      <c r="C1103" s="71"/>
      <c r="D1103" s="64"/>
      <c r="E1103" s="86"/>
      <c r="F1103" s="86"/>
      <c r="G1103" s="86"/>
      <c r="H1103" s="86"/>
      <c r="I1103" s="86"/>
      <c r="J1103" s="86"/>
      <c r="K1103" s="69"/>
      <c r="L1103" s="67"/>
      <c r="M1103" s="67"/>
      <c r="N1103" s="67"/>
      <c r="O1103" s="69"/>
      <c r="P1103" s="69"/>
      <c r="Q1103" s="69"/>
      <c r="R1103" s="87"/>
      <c r="S1103" s="70"/>
      <c r="T1103" s="73"/>
      <c r="U1103" s="70"/>
      <c r="V1103" s="70"/>
      <c r="W1103" s="69"/>
      <c r="X1103" s="69"/>
      <c r="Y1103" s="204"/>
      <c r="Z1103" s="72"/>
      <c r="AA1103" s="80"/>
      <c r="AB1103" s="80"/>
      <c r="AC1103" s="80"/>
      <c r="AD1103" s="80"/>
      <c r="AE1103" s="80"/>
      <c r="AF1103" s="80"/>
      <c r="AG1103" s="80"/>
      <c r="AH1103" s="80"/>
      <c r="AI1103" s="80"/>
      <c r="AJ1103" s="80"/>
      <c r="AK1103" s="80"/>
      <c r="AL1103" s="70"/>
      <c r="AM1103" s="73"/>
      <c r="AN1103" s="73"/>
      <c r="AO1103" s="71"/>
      <c r="AP1103" s="449"/>
      <c r="AQ1103" s="74"/>
      <c r="AV1103" s="120"/>
      <c r="AW1103" s="120"/>
      <c r="AX1103" s="121"/>
      <c r="AY1103" s="121"/>
      <c r="AZ1103" s="136"/>
    </row>
    <row r="1104" spans="2:52" ht="17.45" hidden="1" customHeight="1" outlineLevel="1" thickBot="1">
      <c r="B1104" s="90"/>
      <c r="C1104" s="91"/>
      <c r="D1104" s="92"/>
      <c r="E1104" s="92"/>
      <c r="F1104" s="92"/>
      <c r="G1104" s="92"/>
      <c r="H1104" s="92"/>
      <c r="I1104" s="150">
        <f>IFERROR(AVERAGE(I1083:I1103),0)</f>
        <v>0</v>
      </c>
      <c r="J1104" s="150">
        <f>IFERROR(AVERAGE(J1083:J1103),0)</f>
        <v>0</v>
      </c>
      <c r="K1104" s="95">
        <f>SUM(K1083:K1103)</f>
        <v>0</v>
      </c>
      <c r="L1104" s="94">
        <f>SUM(L1083:L1103)</f>
        <v>0</v>
      </c>
      <c r="M1104" s="94">
        <f>SUM(M1083:M1103)</f>
        <v>0</v>
      </c>
      <c r="N1104" s="93">
        <f>SUM(N1083:N1103)</f>
        <v>0</v>
      </c>
      <c r="O1104" s="95"/>
      <c r="P1104" s="95"/>
      <c r="Q1104" s="95"/>
      <c r="R1104" s="91"/>
      <c r="S1104" s="91"/>
      <c r="T1104" s="91"/>
      <c r="U1104" s="96"/>
      <c r="V1104" s="97"/>
      <c r="W1104" s="98"/>
      <c r="X1104" s="98"/>
      <c r="Y1104" s="207"/>
      <c r="Z1104" s="99"/>
      <c r="AA1104" s="99"/>
      <c r="AB1104" s="99"/>
      <c r="AC1104" s="99"/>
      <c r="AD1104" s="99"/>
      <c r="AE1104" s="99"/>
      <c r="AF1104" s="99"/>
      <c r="AG1104" s="99"/>
      <c r="AH1104" s="99"/>
      <c r="AI1104" s="99"/>
      <c r="AJ1104" s="99"/>
      <c r="AK1104" s="99"/>
      <c r="AL1104" s="100"/>
      <c r="AM1104" s="100"/>
      <c r="AN1104" s="100"/>
      <c r="AO1104" s="96"/>
      <c r="AP1104" s="450"/>
      <c r="AQ1104" s="101"/>
      <c r="AV1104" s="120"/>
      <c r="AW1104" s="120"/>
      <c r="AX1104" s="121"/>
      <c r="AY1104" s="121"/>
      <c r="AZ1104" s="136"/>
    </row>
    <row r="1105" ht="17.45" customHeight="1" collapsed="1"/>
  </sheetData>
  <mergeCells count="472">
    <mergeCell ref="B1057:AQ1057"/>
    <mergeCell ref="K1030:M1030"/>
    <mergeCell ref="N1030:P1030"/>
    <mergeCell ref="Q1030:Q1031"/>
    <mergeCell ref="R1030:R1031"/>
    <mergeCell ref="S1030:S1031"/>
    <mergeCell ref="B1047:B1048"/>
    <mergeCell ref="C1047:E1047"/>
    <mergeCell ref="F1047:F1048"/>
    <mergeCell ref="G1047:G1048"/>
    <mergeCell ref="H1047:I1047"/>
    <mergeCell ref="AA1002:AA1003"/>
    <mergeCell ref="B1004:B1010"/>
    <mergeCell ref="B1011:B1026"/>
    <mergeCell ref="B1027:C1027"/>
    <mergeCell ref="B1030:B1031"/>
    <mergeCell ref="C1030:E1030"/>
    <mergeCell ref="F1030:F1031"/>
    <mergeCell ref="G1030:G1031"/>
    <mergeCell ref="H1030:H1031"/>
    <mergeCell ref="J1030:J1031"/>
    <mergeCell ref="U1002:U1003"/>
    <mergeCell ref="V1002:V1003"/>
    <mergeCell ref="W1002:W1003"/>
    <mergeCell ref="X1002:X1003"/>
    <mergeCell ref="Y1002:Y1003"/>
    <mergeCell ref="Z1002:Z1003"/>
    <mergeCell ref="J1002:L1002"/>
    <mergeCell ref="O1002:O1003"/>
    <mergeCell ref="P1002:P1003"/>
    <mergeCell ref="Q1002:Q1003"/>
    <mergeCell ref="R1002:R1003"/>
    <mergeCell ref="T1002:T1003"/>
    <mergeCell ref="B993:B994"/>
    <mergeCell ref="C993:E993"/>
    <mergeCell ref="F993:F994"/>
    <mergeCell ref="G993:G994"/>
    <mergeCell ref="H993:I993"/>
    <mergeCell ref="B1002:C1003"/>
    <mergeCell ref="D1002:F1002"/>
    <mergeCell ref="G1002:I1002"/>
    <mergeCell ref="J976:J977"/>
    <mergeCell ref="K976:M976"/>
    <mergeCell ref="N976:P976"/>
    <mergeCell ref="Q976:Q977"/>
    <mergeCell ref="R976:R977"/>
    <mergeCell ref="S976:S977"/>
    <mergeCell ref="B973:C973"/>
    <mergeCell ref="B976:B977"/>
    <mergeCell ref="C976:E976"/>
    <mergeCell ref="F976:F977"/>
    <mergeCell ref="G976:G977"/>
    <mergeCell ref="H976:H977"/>
    <mergeCell ref="Y948:Y949"/>
    <mergeCell ref="Z948:Z949"/>
    <mergeCell ref="AA948:AA949"/>
    <mergeCell ref="B950:B956"/>
    <mergeCell ref="B957:B972"/>
    <mergeCell ref="Q948:Q949"/>
    <mergeCell ref="R948:R949"/>
    <mergeCell ref="T948:T949"/>
    <mergeCell ref="U948:U949"/>
    <mergeCell ref="V948:V949"/>
    <mergeCell ref="W948:W949"/>
    <mergeCell ref="B948:C949"/>
    <mergeCell ref="D948:F948"/>
    <mergeCell ref="G948:I948"/>
    <mergeCell ref="J948:L948"/>
    <mergeCell ref="O948:O949"/>
    <mergeCell ref="P948:P949"/>
    <mergeCell ref="Q922:Q923"/>
    <mergeCell ref="R922:R923"/>
    <mergeCell ref="S922:S923"/>
    <mergeCell ref="B939:B940"/>
    <mergeCell ref="C939:E939"/>
    <mergeCell ref="F939:F940"/>
    <mergeCell ref="G939:G940"/>
    <mergeCell ref="H939:I939"/>
    <mergeCell ref="X948:X949"/>
    <mergeCell ref="AA894:AA895"/>
    <mergeCell ref="B896:B902"/>
    <mergeCell ref="B903:B918"/>
    <mergeCell ref="B919:C919"/>
    <mergeCell ref="B922:B923"/>
    <mergeCell ref="C922:E922"/>
    <mergeCell ref="F922:F923"/>
    <mergeCell ref="G922:G923"/>
    <mergeCell ref="H922:H923"/>
    <mergeCell ref="J922:J923"/>
    <mergeCell ref="U894:U895"/>
    <mergeCell ref="V894:V895"/>
    <mergeCell ref="W894:W895"/>
    <mergeCell ref="X894:X895"/>
    <mergeCell ref="Y894:Y895"/>
    <mergeCell ref="Z894:Z895"/>
    <mergeCell ref="J894:L894"/>
    <mergeCell ref="O894:O895"/>
    <mergeCell ref="P894:P895"/>
    <mergeCell ref="Q894:Q895"/>
    <mergeCell ref="R894:R895"/>
    <mergeCell ref="T894:T895"/>
    <mergeCell ref="K922:M922"/>
    <mergeCell ref="N922:P922"/>
    <mergeCell ref="B885:B886"/>
    <mergeCell ref="C885:E885"/>
    <mergeCell ref="F885:F886"/>
    <mergeCell ref="G885:G886"/>
    <mergeCell ref="H885:I885"/>
    <mergeCell ref="B894:C895"/>
    <mergeCell ref="D894:F894"/>
    <mergeCell ref="G894:I894"/>
    <mergeCell ref="J868:J869"/>
    <mergeCell ref="K868:M868"/>
    <mergeCell ref="N868:P868"/>
    <mergeCell ref="Q868:Q869"/>
    <mergeCell ref="R868:R869"/>
    <mergeCell ref="S868:S869"/>
    <mergeCell ref="B865:C865"/>
    <mergeCell ref="B868:B869"/>
    <mergeCell ref="C868:E868"/>
    <mergeCell ref="F868:F869"/>
    <mergeCell ref="G868:G869"/>
    <mergeCell ref="H868:H869"/>
    <mergeCell ref="X840:X841"/>
    <mergeCell ref="Y840:Y841"/>
    <mergeCell ref="Z840:Z841"/>
    <mergeCell ref="AA840:AA841"/>
    <mergeCell ref="B842:B848"/>
    <mergeCell ref="B849:B864"/>
    <mergeCell ref="Q840:Q841"/>
    <mergeCell ref="R840:R841"/>
    <mergeCell ref="T840:T841"/>
    <mergeCell ref="U840:U841"/>
    <mergeCell ref="V840:V841"/>
    <mergeCell ref="W840:W841"/>
    <mergeCell ref="B840:C841"/>
    <mergeCell ref="D840:F840"/>
    <mergeCell ref="G840:I840"/>
    <mergeCell ref="J840:L840"/>
    <mergeCell ref="O840:O841"/>
    <mergeCell ref="P840:P841"/>
    <mergeCell ref="K814:M814"/>
    <mergeCell ref="N814:P814"/>
    <mergeCell ref="Q814:Q815"/>
    <mergeCell ref="R814:R815"/>
    <mergeCell ref="S814:S815"/>
    <mergeCell ref="B831:B832"/>
    <mergeCell ref="C831:E831"/>
    <mergeCell ref="F831:F832"/>
    <mergeCell ref="G831:G832"/>
    <mergeCell ref="H831:I831"/>
    <mergeCell ref="B814:B815"/>
    <mergeCell ref="C814:E814"/>
    <mergeCell ref="F814:F815"/>
    <mergeCell ref="G814:G815"/>
    <mergeCell ref="H814:H815"/>
    <mergeCell ref="J814:J815"/>
    <mergeCell ref="X786:X787"/>
    <mergeCell ref="Y786:Y787"/>
    <mergeCell ref="Z786:Z787"/>
    <mergeCell ref="B788:B794"/>
    <mergeCell ref="B795:B810"/>
    <mergeCell ref="B811:C811"/>
    <mergeCell ref="Q786:Q787"/>
    <mergeCell ref="R786:R787"/>
    <mergeCell ref="T786:T787"/>
    <mergeCell ref="U786:U787"/>
    <mergeCell ref="V786:V787"/>
    <mergeCell ref="W786:W787"/>
    <mergeCell ref="B786:C787"/>
    <mergeCell ref="D786:F786"/>
    <mergeCell ref="G786:I786"/>
    <mergeCell ref="J786:L786"/>
    <mergeCell ref="O786:O787"/>
    <mergeCell ref="P786:P787"/>
    <mergeCell ref="K760:M760"/>
    <mergeCell ref="N760:P760"/>
    <mergeCell ref="Q760:Q761"/>
    <mergeCell ref="R760:R761"/>
    <mergeCell ref="S760:S761"/>
    <mergeCell ref="B777:B778"/>
    <mergeCell ref="C777:E777"/>
    <mergeCell ref="F777:F778"/>
    <mergeCell ref="G777:G778"/>
    <mergeCell ref="H777:I777"/>
    <mergeCell ref="B760:B761"/>
    <mergeCell ref="C760:E760"/>
    <mergeCell ref="F760:F761"/>
    <mergeCell ref="G760:G761"/>
    <mergeCell ref="H760:H761"/>
    <mergeCell ref="J760:J761"/>
    <mergeCell ref="X732:X733"/>
    <mergeCell ref="Y732:Y733"/>
    <mergeCell ref="Z732:Z733"/>
    <mergeCell ref="B734:B740"/>
    <mergeCell ref="B741:B756"/>
    <mergeCell ref="B757:C757"/>
    <mergeCell ref="Q732:Q733"/>
    <mergeCell ref="R732:R733"/>
    <mergeCell ref="T732:T733"/>
    <mergeCell ref="U732:U733"/>
    <mergeCell ref="V732:V733"/>
    <mergeCell ref="W732:W733"/>
    <mergeCell ref="B732:C733"/>
    <mergeCell ref="D732:F732"/>
    <mergeCell ref="G732:I732"/>
    <mergeCell ref="J732:L732"/>
    <mergeCell ref="O732:O733"/>
    <mergeCell ref="P732:P733"/>
    <mergeCell ref="K706:M706"/>
    <mergeCell ref="N706:P706"/>
    <mergeCell ref="Q706:Q707"/>
    <mergeCell ref="R706:R707"/>
    <mergeCell ref="S706:S707"/>
    <mergeCell ref="B723:B724"/>
    <mergeCell ref="C723:E723"/>
    <mergeCell ref="F723:F724"/>
    <mergeCell ref="G723:G724"/>
    <mergeCell ref="H723:I723"/>
    <mergeCell ref="B706:B707"/>
    <mergeCell ref="C706:E706"/>
    <mergeCell ref="F706:F707"/>
    <mergeCell ref="G706:G707"/>
    <mergeCell ref="H706:H707"/>
    <mergeCell ref="J706:J707"/>
    <mergeCell ref="X678:X679"/>
    <mergeCell ref="Y678:Y679"/>
    <mergeCell ref="Z678:Z679"/>
    <mergeCell ref="B680:B686"/>
    <mergeCell ref="B687:B702"/>
    <mergeCell ref="B703:C703"/>
    <mergeCell ref="Q678:Q679"/>
    <mergeCell ref="R678:R679"/>
    <mergeCell ref="T678:T679"/>
    <mergeCell ref="U678:U679"/>
    <mergeCell ref="V678:V679"/>
    <mergeCell ref="W678:W679"/>
    <mergeCell ref="B678:C679"/>
    <mergeCell ref="D678:F678"/>
    <mergeCell ref="G678:I678"/>
    <mergeCell ref="J678:L678"/>
    <mergeCell ref="O678:O679"/>
    <mergeCell ref="P678:P679"/>
    <mergeCell ref="K652:M652"/>
    <mergeCell ref="N652:P652"/>
    <mergeCell ref="Q652:Q653"/>
    <mergeCell ref="R652:R653"/>
    <mergeCell ref="S652:S653"/>
    <mergeCell ref="B669:B670"/>
    <mergeCell ref="C669:E669"/>
    <mergeCell ref="F669:F670"/>
    <mergeCell ref="G669:G670"/>
    <mergeCell ref="H669:I669"/>
    <mergeCell ref="B652:B653"/>
    <mergeCell ref="C652:E652"/>
    <mergeCell ref="F652:F653"/>
    <mergeCell ref="G652:G653"/>
    <mergeCell ref="H652:H653"/>
    <mergeCell ref="J652:J653"/>
    <mergeCell ref="X624:X625"/>
    <mergeCell ref="Y624:Y625"/>
    <mergeCell ref="Z624:Z625"/>
    <mergeCell ref="B626:B632"/>
    <mergeCell ref="B633:B648"/>
    <mergeCell ref="B649:C649"/>
    <mergeCell ref="Q624:Q625"/>
    <mergeCell ref="R624:R625"/>
    <mergeCell ref="T624:T625"/>
    <mergeCell ref="U624:U625"/>
    <mergeCell ref="V624:V625"/>
    <mergeCell ref="W624:W625"/>
    <mergeCell ref="B624:C625"/>
    <mergeCell ref="D624:F624"/>
    <mergeCell ref="G624:I624"/>
    <mergeCell ref="J624:L624"/>
    <mergeCell ref="O624:O625"/>
    <mergeCell ref="P624:P625"/>
    <mergeCell ref="K598:M598"/>
    <mergeCell ref="N598:P598"/>
    <mergeCell ref="Q598:Q599"/>
    <mergeCell ref="R598:R599"/>
    <mergeCell ref="S598:S599"/>
    <mergeCell ref="B615:B616"/>
    <mergeCell ref="C615:E615"/>
    <mergeCell ref="F615:F616"/>
    <mergeCell ref="G615:G616"/>
    <mergeCell ref="H615:I615"/>
    <mergeCell ref="B598:B599"/>
    <mergeCell ref="C598:E598"/>
    <mergeCell ref="F598:F599"/>
    <mergeCell ref="G598:G599"/>
    <mergeCell ref="H598:H599"/>
    <mergeCell ref="J598:J599"/>
    <mergeCell ref="X570:X571"/>
    <mergeCell ref="Y570:Y571"/>
    <mergeCell ref="Z570:Z571"/>
    <mergeCell ref="B572:B578"/>
    <mergeCell ref="B579:B594"/>
    <mergeCell ref="B595:C595"/>
    <mergeCell ref="Q570:Q571"/>
    <mergeCell ref="R570:R571"/>
    <mergeCell ref="T570:T571"/>
    <mergeCell ref="U570:U571"/>
    <mergeCell ref="V570:V571"/>
    <mergeCell ref="W570:W571"/>
    <mergeCell ref="B570:C571"/>
    <mergeCell ref="D570:F570"/>
    <mergeCell ref="G570:I570"/>
    <mergeCell ref="J570:L570"/>
    <mergeCell ref="O570:O571"/>
    <mergeCell ref="P570:P571"/>
    <mergeCell ref="K544:M544"/>
    <mergeCell ref="N544:P544"/>
    <mergeCell ref="Q544:Q545"/>
    <mergeCell ref="R544:R545"/>
    <mergeCell ref="S544:S545"/>
    <mergeCell ref="B561:B562"/>
    <mergeCell ref="C561:E561"/>
    <mergeCell ref="F561:F562"/>
    <mergeCell ref="G561:G562"/>
    <mergeCell ref="H561:I561"/>
    <mergeCell ref="B544:B545"/>
    <mergeCell ref="C544:E544"/>
    <mergeCell ref="F544:F545"/>
    <mergeCell ref="G544:G545"/>
    <mergeCell ref="H544:H545"/>
    <mergeCell ref="J544:J545"/>
    <mergeCell ref="X516:X517"/>
    <mergeCell ref="Y516:Y517"/>
    <mergeCell ref="Z516:Z517"/>
    <mergeCell ref="B518:B524"/>
    <mergeCell ref="B525:B540"/>
    <mergeCell ref="B541:C541"/>
    <mergeCell ref="Q516:Q517"/>
    <mergeCell ref="R516:R517"/>
    <mergeCell ref="T516:T517"/>
    <mergeCell ref="U516:U517"/>
    <mergeCell ref="V516:V517"/>
    <mergeCell ref="W516:W517"/>
    <mergeCell ref="B516:C517"/>
    <mergeCell ref="D516:F516"/>
    <mergeCell ref="G516:I516"/>
    <mergeCell ref="J516:L516"/>
    <mergeCell ref="O516:O517"/>
    <mergeCell ref="P516:P517"/>
    <mergeCell ref="K490:M490"/>
    <mergeCell ref="N490:P490"/>
    <mergeCell ref="Q490:Q491"/>
    <mergeCell ref="R490:R491"/>
    <mergeCell ref="S490:S491"/>
    <mergeCell ref="B507:B508"/>
    <mergeCell ref="C507:E507"/>
    <mergeCell ref="F507:F508"/>
    <mergeCell ref="G507:G508"/>
    <mergeCell ref="H507:I507"/>
    <mergeCell ref="B490:B491"/>
    <mergeCell ref="C490:E490"/>
    <mergeCell ref="F490:F491"/>
    <mergeCell ref="G490:G491"/>
    <mergeCell ref="H490:H491"/>
    <mergeCell ref="J490:J491"/>
    <mergeCell ref="X461:X462"/>
    <mergeCell ref="Y461:Y462"/>
    <mergeCell ref="Z461:Z462"/>
    <mergeCell ref="B463:B469"/>
    <mergeCell ref="B470:B486"/>
    <mergeCell ref="B487:C487"/>
    <mergeCell ref="Q461:Q462"/>
    <mergeCell ref="R461:R462"/>
    <mergeCell ref="T461:T462"/>
    <mergeCell ref="U461:U462"/>
    <mergeCell ref="V461:V462"/>
    <mergeCell ref="W461:W462"/>
    <mergeCell ref="B461:C462"/>
    <mergeCell ref="D461:F461"/>
    <mergeCell ref="G461:I461"/>
    <mergeCell ref="J461:L461"/>
    <mergeCell ref="O461:O462"/>
    <mergeCell ref="P461:P462"/>
    <mergeCell ref="K435:M435"/>
    <mergeCell ref="N435:P435"/>
    <mergeCell ref="Q435:Q436"/>
    <mergeCell ref="R435:R436"/>
    <mergeCell ref="S435:S436"/>
    <mergeCell ref="B452:B453"/>
    <mergeCell ref="C452:E452"/>
    <mergeCell ref="F452:F453"/>
    <mergeCell ref="G452:G453"/>
    <mergeCell ref="H452:I452"/>
    <mergeCell ref="B435:B436"/>
    <mergeCell ref="C435:E435"/>
    <mergeCell ref="F435:F436"/>
    <mergeCell ref="G435:G436"/>
    <mergeCell ref="H435:H436"/>
    <mergeCell ref="J435:J436"/>
    <mergeCell ref="X406:X407"/>
    <mergeCell ref="Y406:Y407"/>
    <mergeCell ref="Z406:Z407"/>
    <mergeCell ref="B408:B414"/>
    <mergeCell ref="B415:B431"/>
    <mergeCell ref="B432:C432"/>
    <mergeCell ref="Q406:Q407"/>
    <mergeCell ref="R406:R407"/>
    <mergeCell ref="T406:T407"/>
    <mergeCell ref="U406:U407"/>
    <mergeCell ref="V406:V407"/>
    <mergeCell ref="W406:W407"/>
    <mergeCell ref="B406:C407"/>
    <mergeCell ref="D406:F406"/>
    <mergeCell ref="G406:I406"/>
    <mergeCell ref="J406:L406"/>
    <mergeCell ref="O406:O407"/>
    <mergeCell ref="P406:P407"/>
    <mergeCell ref="K379:M379"/>
    <mergeCell ref="N379:P379"/>
    <mergeCell ref="Q379:Q380"/>
    <mergeCell ref="R379:R380"/>
    <mergeCell ref="S379:S380"/>
    <mergeCell ref="B396:B397"/>
    <mergeCell ref="C396:E396"/>
    <mergeCell ref="F396:F397"/>
    <mergeCell ref="G396:G397"/>
    <mergeCell ref="H396:I396"/>
    <mergeCell ref="B379:B380"/>
    <mergeCell ref="C379:E379"/>
    <mergeCell ref="F379:F380"/>
    <mergeCell ref="G379:G380"/>
    <mergeCell ref="H379:H380"/>
    <mergeCell ref="J379:J380"/>
    <mergeCell ref="X350:X351"/>
    <mergeCell ref="Y350:Y351"/>
    <mergeCell ref="Z350:Z351"/>
    <mergeCell ref="B352:B358"/>
    <mergeCell ref="B359:B375"/>
    <mergeCell ref="B376:C376"/>
    <mergeCell ref="Q350:Q351"/>
    <mergeCell ref="R350:R351"/>
    <mergeCell ref="T350:T351"/>
    <mergeCell ref="U350:U351"/>
    <mergeCell ref="V350:V351"/>
    <mergeCell ref="W350:W351"/>
    <mergeCell ref="B350:C351"/>
    <mergeCell ref="D350:F350"/>
    <mergeCell ref="G350:I350"/>
    <mergeCell ref="J350:L350"/>
    <mergeCell ref="O350:O351"/>
    <mergeCell ref="P350:P351"/>
    <mergeCell ref="Q317:R317"/>
    <mergeCell ref="V317:AD317"/>
    <mergeCell ref="Q327:R327"/>
    <mergeCell ref="V327:AD327"/>
    <mergeCell ref="Q337:R337"/>
    <mergeCell ref="V337:AD337"/>
    <mergeCell ref="Q287:R287"/>
    <mergeCell ref="V287:AD287"/>
    <mergeCell ref="Q297:R297"/>
    <mergeCell ref="V297:AD297"/>
    <mergeCell ref="Q307:R307"/>
    <mergeCell ref="V307:AD307"/>
    <mergeCell ref="Q257:R257"/>
    <mergeCell ref="V257:AD257"/>
    <mergeCell ref="Q267:R267"/>
    <mergeCell ref="V267:AD267"/>
    <mergeCell ref="Q277:R277"/>
    <mergeCell ref="V277:AD277"/>
    <mergeCell ref="B2:AQ2"/>
    <mergeCell ref="Q227:R227"/>
    <mergeCell ref="V227:AD227"/>
    <mergeCell ref="Q237:R237"/>
    <mergeCell ref="V237:AD237"/>
    <mergeCell ref="Q247:R247"/>
    <mergeCell ref="V247:AD247"/>
  </mergeCells>
  <phoneticPr fontId="10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58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S17"/>
  <sheetViews>
    <sheetView workbookViewId="0">
      <selection activeCell="N18" sqref="N18"/>
    </sheetView>
  </sheetViews>
  <sheetFormatPr defaultRowHeight="16.5"/>
  <cols>
    <col min="2" max="2" width="20" bestFit="1" customWidth="1"/>
    <col min="3" max="16" width="7.625" customWidth="1"/>
  </cols>
  <sheetData>
    <row r="3" spans="2:19">
      <c r="B3" t="s">
        <v>776</v>
      </c>
    </row>
    <row r="5" spans="2:19" ht="15.75" customHeight="1"/>
    <row r="6" spans="2:19" s="836" customFormat="1" ht="20.100000000000001" customHeight="1">
      <c r="B6" s="836">
        <f ca="1">TODAY()</f>
        <v>46105</v>
      </c>
      <c r="C6" s="836">
        <f ca="1">+B6+1</f>
        <v>46106</v>
      </c>
      <c r="D6" s="836">
        <f t="shared" ref="D6:K6" ca="1" si="0">+C6+1</f>
        <v>46107</v>
      </c>
      <c r="E6" s="836">
        <f t="shared" ca="1" si="0"/>
        <v>46108</v>
      </c>
      <c r="F6" s="836">
        <f t="shared" ca="1" si="0"/>
        <v>46109</v>
      </c>
      <c r="G6" s="836">
        <f t="shared" ca="1" si="0"/>
        <v>46110</v>
      </c>
      <c r="H6" s="836">
        <f t="shared" ca="1" si="0"/>
        <v>46111</v>
      </c>
      <c r="I6" s="836">
        <f t="shared" ca="1" si="0"/>
        <v>46112</v>
      </c>
      <c r="J6" s="836">
        <f t="shared" ca="1" si="0"/>
        <v>46113</v>
      </c>
      <c r="K6" s="836">
        <f t="shared" ca="1" si="0"/>
        <v>46114</v>
      </c>
      <c r="L6" s="836">
        <f ca="1">+K6+1</f>
        <v>46115</v>
      </c>
      <c r="M6" s="836">
        <f t="shared" ref="M6:P6" ca="1" si="1">+L6+1</f>
        <v>46116</v>
      </c>
      <c r="N6" s="836">
        <f t="shared" ca="1" si="1"/>
        <v>46117</v>
      </c>
      <c r="O6" s="836">
        <f t="shared" ca="1" si="1"/>
        <v>46118</v>
      </c>
      <c r="P6" s="836">
        <f t="shared" ca="1" si="1"/>
        <v>46119</v>
      </c>
    </row>
    <row r="7" spans="2:19" s="837" customFormat="1" ht="39.950000000000003" customHeight="1"/>
    <row r="8" spans="2:19" s="836" customFormat="1" ht="20.100000000000001" customHeight="1">
      <c r="B8" s="836">
        <f ca="1">+P6+1</f>
        <v>46120</v>
      </c>
      <c r="C8" s="836">
        <f ca="1">+B8+1</f>
        <v>46121</v>
      </c>
      <c r="D8" s="836">
        <f t="shared" ref="D8:P8" ca="1" si="2">+C8+1</f>
        <v>46122</v>
      </c>
      <c r="E8" s="836">
        <f t="shared" ca="1" si="2"/>
        <v>46123</v>
      </c>
      <c r="F8" s="836">
        <f t="shared" ca="1" si="2"/>
        <v>46124</v>
      </c>
      <c r="G8" s="836">
        <f t="shared" ca="1" si="2"/>
        <v>46125</v>
      </c>
      <c r="H8" s="836">
        <f t="shared" ca="1" si="2"/>
        <v>46126</v>
      </c>
      <c r="I8" s="836">
        <f t="shared" ca="1" si="2"/>
        <v>46127</v>
      </c>
      <c r="J8" s="836">
        <f t="shared" ca="1" si="2"/>
        <v>46128</v>
      </c>
      <c r="K8" s="836">
        <f t="shared" ca="1" si="2"/>
        <v>46129</v>
      </c>
      <c r="L8" s="836">
        <f t="shared" ca="1" si="2"/>
        <v>46130</v>
      </c>
      <c r="M8" s="836">
        <f t="shared" ca="1" si="2"/>
        <v>46131</v>
      </c>
      <c r="N8" s="836">
        <f t="shared" ca="1" si="2"/>
        <v>46132</v>
      </c>
      <c r="O8" s="836">
        <f t="shared" ca="1" si="2"/>
        <v>46133</v>
      </c>
      <c r="P8" s="836">
        <f t="shared" ca="1" si="2"/>
        <v>46134</v>
      </c>
    </row>
    <row r="9" spans="2:19" s="837" customFormat="1" ht="39.950000000000003" customHeight="1"/>
    <row r="10" spans="2:19" s="836" customFormat="1" ht="20.100000000000001" customHeight="1">
      <c r="B10" s="836">
        <f ca="1">+K8+1</f>
        <v>46130</v>
      </c>
      <c r="C10" s="836">
        <f ca="1">+B10+1</f>
        <v>46131</v>
      </c>
      <c r="D10" s="836">
        <f t="shared" ref="D10:P10" ca="1" si="3">+C10+1</f>
        <v>46132</v>
      </c>
      <c r="E10" s="836">
        <f t="shared" ca="1" si="3"/>
        <v>46133</v>
      </c>
      <c r="F10" s="836">
        <f t="shared" ca="1" si="3"/>
        <v>46134</v>
      </c>
      <c r="G10" s="836">
        <f t="shared" ca="1" si="3"/>
        <v>46135</v>
      </c>
      <c r="H10" s="836">
        <f t="shared" ca="1" si="3"/>
        <v>46136</v>
      </c>
      <c r="I10" s="836">
        <f t="shared" ca="1" si="3"/>
        <v>46137</v>
      </c>
      <c r="J10" s="836">
        <f t="shared" ca="1" si="3"/>
        <v>46138</v>
      </c>
      <c r="K10" s="836">
        <f t="shared" ca="1" si="3"/>
        <v>46139</v>
      </c>
      <c r="L10" s="836">
        <f t="shared" ca="1" si="3"/>
        <v>46140</v>
      </c>
      <c r="M10" s="836">
        <f t="shared" ca="1" si="3"/>
        <v>46141</v>
      </c>
      <c r="N10" s="836">
        <f t="shared" ca="1" si="3"/>
        <v>46142</v>
      </c>
      <c r="O10" s="836">
        <f t="shared" ca="1" si="3"/>
        <v>46143</v>
      </c>
      <c r="P10" s="836">
        <f t="shared" ca="1" si="3"/>
        <v>46144</v>
      </c>
    </row>
    <row r="11" spans="2:19" s="837" customFormat="1" ht="39.950000000000003" customHeight="1"/>
    <row r="12" spans="2:19" s="836" customFormat="1" ht="20.100000000000001" customHeight="1">
      <c r="B12" s="836">
        <f ca="1">+P10+1</f>
        <v>46145</v>
      </c>
      <c r="C12" s="836">
        <f ca="1">+B12+1</f>
        <v>46146</v>
      </c>
      <c r="D12" s="836">
        <f t="shared" ref="D12:P12" ca="1" si="4">+C12+1</f>
        <v>46147</v>
      </c>
      <c r="E12" s="836">
        <f t="shared" ca="1" si="4"/>
        <v>46148</v>
      </c>
      <c r="F12" s="836">
        <f t="shared" ca="1" si="4"/>
        <v>46149</v>
      </c>
      <c r="G12" s="836">
        <f t="shared" ca="1" si="4"/>
        <v>46150</v>
      </c>
      <c r="H12" s="836">
        <f t="shared" ca="1" si="4"/>
        <v>46151</v>
      </c>
      <c r="I12" s="836">
        <f t="shared" ca="1" si="4"/>
        <v>46152</v>
      </c>
      <c r="J12" s="836">
        <f t="shared" ca="1" si="4"/>
        <v>46153</v>
      </c>
      <c r="K12" s="836">
        <f t="shared" ca="1" si="4"/>
        <v>46154</v>
      </c>
      <c r="L12" s="836">
        <f t="shared" ca="1" si="4"/>
        <v>46155</v>
      </c>
      <c r="M12" s="836">
        <f t="shared" ca="1" si="4"/>
        <v>46156</v>
      </c>
      <c r="N12" s="836">
        <f t="shared" ca="1" si="4"/>
        <v>46157</v>
      </c>
      <c r="O12" s="836">
        <f t="shared" ca="1" si="4"/>
        <v>46158</v>
      </c>
      <c r="P12" s="836">
        <f t="shared" ca="1" si="4"/>
        <v>46159</v>
      </c>
    </row>
    <row r="13" spans="2:19" s="837" customFormat="1" ht="39.950000000000003" customHeight="1"/>
    <row r="16" spans="2:19" s="848" customFormat="1" ht="24">
      <c r="B16" s="842" t="s">
        <v>0</v>
      </c>
      <c r="C16" s="843" t="s">
        <v>1</v>
      </c>
      <c r="D16" s="844" t="s">
        <v>136</v>
      </c>
      <c r="E16" s="844" t="s">
        <v>135</v>
      </c>
      <c r="F16" s="844" t="s">
        <v>133</v>
      </c>
      <c r="G16" s="844" t="s">
        <v>24</v>
      </c>
      <c r="H16" s="844" t="s">
        <v>134</v>
      </c>
      <c r="I16" s="845" t="s">
        <v>5</v>
      </c>
      <c r="J16" s="845" t="s">
        <v>757</v>
      </c>
      <c r="K16" s="846" t="s">
        <v>26</v>
      </c>
      <c r="L16" s="846" t="s">
        <v>34</v>
      </c>
      <c r="M16" s="846" t="s">
        <v>33</v>
      </c>
      <c r="N16" s="846" t="s">
        <v>32</v>
      </c>
      <c r="O16" s="846" t="s">
        <v>211</v>
      </c>
      <c r="P16" s="847" t="s">
        <v>21</v>
      </c>
      <c r="Q16" s="847" t="s">
        <v>22</v>
      </c>
      <c r="R16" s="847" t="s">
        <v>23</v>
      </c>
      <c r="S16" s="847" t="s">
        <v>8</v>
      </c>
    </row>
    <row r="17" spans="1:1">
      <c r="A17">
        <v>1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fitToPage="1"/>
  </sheetPr>
  <dimension ref="A1:L90"/>
  <sheetViews>
    <sheetView zoomScale="85" zoomScaleNormal="85" workbookViewId="0">
      <pane ySplit="2" topLeftCell="A3" activePane="bottomLeft" state="frozen"/>
      <selection pane="bottomLeft" activeCell="O77" sqref="O77"/>
    </sheetView>
  </sheetViews>
  <sheetFormatPr defaultColWidth="9" defaultRowHeight="16.5"/>
  <cols>
    <col min="1" max="1" width="5.625" style="422" bestFit="1" customWidth="1"/>
    <col min="2" max="2" width="7.625" style="422" customWidth="1"/>
    <col min="3" max="3" width="18.625" style="422" customWidth="1"/>
    <col min="4" max="4" width="23.625" style="422" customWidth="1"/>
    <col min="5" max="8" width="9.625" style="422" customWidth="1"/>
    <col min="9" max="9" width="13.375" style="422" bestFit="1" customWidth="1"/>
    <col min="10" max="10" width="9.625" style="422" customWidth="1"/>
    <col min="11" max="11" width="30.125" style="422" customWidth="1"/>
    <col min="12" max="16384" width="9" style="422"/>
  </cols>
  <sheetData>
    <row r="1" spans="1:11" ht="20.100000000000001" customHeight="1"/>
    <row r="2" spans="1:11" ht="19.5" customHeight="1">
      <c r="B2" s="423" t="s">
        <v>198</v>
      </c>
      <c r="C2" s="423" t="s">
        <v>0</v>
      </c>
      <c r="D2" s="424" t="s">
        <v>1</v>
      </c>
      <c r="E2" s="425" t="s">
        <v>136</v>
      </c>
      <c r="F2" s="425" t="s">
        <v>135</v>
      </c>
      <c r="G2" s="425" t="s">
        <v>196</v>
      </c>
      <c r="H2" s="426" t="s">
        <v>205</v>
      </c>
      <c r="I2" s="426" t="s">
        <v>199</v>
      </c>
      <c r="J2" s="426" t="s">
        <v>200</v>
      </c>
      <c r="K2" s="426" t="s">
        <v>201</v>
      </c>
    </row>
    <row r="3" spans="1:11" hidden="1">
      <c r="A3" s="422" t="s">
        <v>542</v>
      </c>
      <c r="B3" s="630" t="s">
        <v>543</v>
      </c>
      <c r="C3" s="630" t="s">
        <v>544</v>
      </c>
      <c r="D3" s="630" t="s">
        <v>545</v>
      </c>
      <c r="E3" s="631">
        <v>44562</v>
      </c>
      <c r="F3" s="631">
        <v>44928</v>
      </c>
      <c r="G3" s="631">
        <v>44932</v>
      </c>
      <c r="H3" s="632">
        <v>55</v>
      </c>
      <c r="I3" s="633" t="s">
        <v>546</v>
      </c>
      <c r="J3" s="633" t="s">
        <v>547</v>
      </c>
      <c r="K3" s="633"/>
    </row>
    <row r="4" spans="1:11" hidden="1">
      <c r="B4" s="638" t="s">
        <v>568</v>
      </c>
      <c r="C4" s="638" t="s">
        <v>569</v>
      </c>
      <c r="D4" s="638" t="s">
        <v>570</v>
      </c>
      <c r="E4" s="639">
        <v>44933</v>
      </c>
      <c r="F4" s="639">
        <v>44933</v>
      </c>
      <c r="G4" s="639">
        <v>44934</v>
      </c>
      <c r="H4" s="640">
        <v>30</v>
      </c>
      <c r="I4" s="629" t="s">
        <v>571</v>
      </c>
      <c r="J4" s="629" t="s">
        <v>572</v>
      </c>
      <c r="K4" s="629" t="s">
        <v>573</v>
      </c>
    </row>
    <row r="5" spans="1:11" hidden="1">
      <c r="B5" s="638" t="s">
        <v>543</v>
      </c>
      <c r="C5" s="638" t="s">
        <v>544</v>
      </c>
      <c r="D5" s="638" t="s">
        <v>554</v>
      </c>
      <c r="E5" s="639">
        <v>44940</v>
      </c>
      <c r="F5" s="639">
        <v>44940</v>
      </c>
      <c r="G5" s="639">
        <v>44944</v>
      </c>
      <c r="H5" s="640">
        <v>54</v>
      </c>
      <c r="I5" s="629" t="s">
        <v>555</v>
      </c>
      <c r="J5" s="629" t="s">
        <v>547</v>
      </c>
      <c r="K5" s="629"/>
    </row>
    <row r="6" spans="1:11" hidden="1">
      <c r="B6" s="638" t="s">
        <v>556</v>
      </c>
      <c r="C6" s="638" t="s">
        <v>557</v>
      </c>
      <c r="D6" s="629" t="s">
        <v>558</v>
      </c>
      <c r="E6" s="639">
        <v>44942</v>
      </c>
      <c r="F6" s="639">
        <v>44943</v>
      </c>
      <c r="G6" s="639">
        <v>44944</v>
      </c>
      <c r="H6" s="640">
        <v>33</v>
      </c>
      <c r="I6" s="629" t="s">
        <v>559</v>
      </c>
      <c r="J6" s="629" t="s">
        <v>285</v>
      </c>
      <c r="K6" s="629"/>
    </row>
    <row r="7" spans="1:11" hidden="1">
      <c r="B7" s="638" t="s">
        <v>548</v>
      </c>
      <c r="C7" s="638" t="s">
        <v>564</v>
      </c>
      <c r="D7" s="629" t="s">
        <v>565</v>
      </c>
      <c r="E7" s="639">
        <v>44935</v>
      </c>
      <c r="F7" s="639">
        <v>44944</v>
      </c>
      <c r="G7" s="639">
        <v>44946</v>
      </c>
      <c r="H7" s="640">
        <v>74</v>
      </c>
      <c r="I7" s="629" t="s">
        <v>551</v>
      </c>
      <c r="J7" s="629" t="s">
        <v>287</v>
      </c>
      <c r="K7" s="629"/>
    </row>
    <row r="8" spans="1:11" hidden="1">
      <c r="B8" s="638" t="s">
        <v>548</v>
      </c>
      <c r="C8" s="638" t="s">
        <v>549</v>
      </c>
      <c r="D8" s="629" t="s">
        <v>550</v>
      </c>
      <c r="E8" s="639">
        <v>44941</v>
      </c>
      <c r="F8" s="639">
        <v>44944</v>
      </c>
      <c r="G8" s="639">
        <v>44947</v>
      </c>
      <c r="H8" s="640">
        <v>72</v>
      </c>
      <c r="I8" s="629" t="s">
        <v>551</v>
      </c>
      <c r="J8" s="629" t="s">
        <v>278</v>
      </c>
      <c r="K8" s="629"/>
    </row>
    <row r="9" spans="1:11" hidden="1">
      <c r="B9" s="638" t="s">
        <v>543</v>
      </c>
      <c r="C9" s="638" t="s">
        <v>544</v>
      </c>
      <c r="D9" s="638" t="s">
        <v>560</v>
      </c>
      <c r="E9" s="639">
        <v>44945</v>
      </c>
      <c r="F9" s="639">
        <v>44948</v>
      </c>
      <c r="G9" s="639">
        <v>44951</v>
      </c>
      <c r="H9" s="640">
        <v>53</v>
      </c>
      <c r="I9" s="641" t="s">
        <v>561</v>
      </c>
      <c r="J9" s="629" t="s">
        <v>547</v>
      </c>
      <c r="K9" s="629"/>
    </row>
    <row r="10" spans="1:11" hidden="1">
      <c r="B10" s="638" t="s">
        <v>548</v>
      </c>
      <c r="C10" s="638" t="s">
        <v>194</v>
      </c>
      <c r="D10" s="629" t="s">
        <v>552</v>
      </c>
      <c r="E10" s="639">
        <v>44938</v>
      </c>
      <c r="F10" s="639">
        <v>44949</v>
      </c>
      <c r="G10" s="642">
        <v>44952</v>
      </c>
      <c r="H10" s="640">
        <v>77</v>
      </c>
      <c r="I10" s="629" t="s">
        <v>553</v>
      </c>
      <c r="J10" s="629" t="s">
        <v>285</v>
      </c>
      <c r="K10" s="629"/>
    </row>
    <row r="11" spans="1:11" hidden="1">
      <c r="B11" s="638" t="s">
        <v>543</v>
      </c>
      <c r="C11" s="638" t="s">
        <v>188</v>
      </c>
      <c r="D11" s="638" t="s">
        <v>540</v>
      </c>
      <c r="E11" s="639">
        <v>44942</v>
      </c>
      <c r="F11" s="639">
        <v>44951</v>
      </c>
      <c r="G11" s="639">
        <v>44960</v>
      </c>
      <c r="H11" s="640">
        <v>58</v>
      </c>
      <c r="I11" s="629" t="s">
        <v>562</v>
      </c>
      <c r="J11" s="629" t="s">
        <v>278</v>
      </c>
      <c r="K11" s="629"/>
    </row>
    <row r="12" spans="1:11" hidden="1">
      <c r="A12" s="422" t="s">
        <v>581</v>
      </c>
      <c r="B12" s="638" t="s">
        <v>286</v>
      </c>
      <c r="C12" s="638" t="s">
        <v>185</v>
      </c>
      <c r="D12" s="638" t="s">
        <v>575</v>
      </c>
      <c r="E12" s="639">
        <v>44949</v>
      </c>
      <c r="F12" s="639">
        <v>44960</v>
      </c>
      <c r="G12" s="639">
        <v>44964</v>
      </c>
      <c r="H12" s="640">
        <v>88</v>
      </c>
      <c r="I12" s="629" t="s">
        <v>582</v>
      </c>
      <c r="J12" s="629" t="s">
        <v>583</v>
      </c>
      <c r="K12" s="629"/>
    </row>
    <row r="13" spans="1:11" hidden="1">
      <c r="B13" s="638" t="s">
        <v>577</v>
      </c>
      <c r="C13" s="638" t="s">
        <v>578</v>
      </c>
      <c r="D13" s="629" t="s">
        <v>579</v>
      </c>
      <c r="E13" s="639">
        <v>44957</v>
      </c>
      <c r="F13" s="639">
        <v>44960</v>
      </c>
      <c r="G13" s="639">
        <v>44965</v>
      </c>
      <c r="H13" s="640">
        <v>55</v>
      </c>
      <c r="I13" s="629" t="s">
        <v>546</v>
      </c>
      <c r="J13" s="629" t="s">
        <v>576</v>
      </c>
      <c r="K13" s="629"/>
    </row>
    <row r="14" spans="1:11" hidden="1">
      <c r="B14" s="638" t="s">
        <v>286</v>
      </c>
      <c r="C14" s="638" t="s">
        <v>544</v>
      </c>
      <c r="D14" s="638" t="s">
        <v>563</v>
      </c>
      <c r="E14" s="639">
        <v>44956</v>
      </c>
      <c r="F14" s="639">
        <v>44964</v>
      </c>
      <c r="G14" s="639">
        <v>44966</v>
      </c>
      <c r="H14" s="640">
        <v>50</v>
      </c>
      <c r="I14" s="629" t="s">
        <v>553</v>
      </c>
      <c r="J14" s="629" t="s">
        <v>285</v>
      </c>
      <c r="K14" s="629" t="s">
        <v>574</v>
      </c>
    </row>
    <row r="15" spans="1:11" hidden="1">
      <c r="B15" s="638" t="s">
        <v>587</v>
      </c>
      <c r="C15" s="638" t="s">
        <v>194</v>
      </c>
      <c r="D15" s="629" t="s">
        <v>588</v>
      </c>
      <c r="E15" s="639">
        <v>44961</v>
      </c>
      <c r="F15" s="639">
        <v>44965</v>
      </c>
      <c r="G15" s="639">
        <v>44968</v>
      </c>
      <c r="H15" s="640">
        <v>55</v>
      </c>
      <c r="I15" s="629" t="s">
        <v>582</v>
      </c>
      <c r="J15" s="629" t="s">
        <v>580</v>
      </c>
      <c r="K15" s="629"/>
    </row>
    <row r="16" spans="1:11" hidden="1">
      <c r="B16" s="638" t="s">
        <v>587</v>
      </c>
      <c r="C16" s="638" t="s">
        <v>589</v>
      </c>
      <c r="D16" s="629" t="s">
        <v>590</v>
      </c>
      <c r="E16" s="639">
        <v>44963</v>
      </c>
      <c r="F16" s="639">
        <v>44968</v>
      </c>
      <c r="G16" s="639">
        <v>44971</v>
      </c>
      <c r="H16" s="640">
        <v>53</v>
      </c>
      <c r="I16" s="629" t="s">
        <v>597</v>
      </c>
      <c r="J16" s="629" t="s">
        <v>580</v>
      </c>
      <c r="K16" s="629"/>
    </row>
    <row r="17" spans="1:11" hidden="1">
      <c r="B17" s="638" t="s">
        <v>584</v>
      </c>
      <c r="C17" s="638" t="s">
        <v>585</v>
      </c>
      <c r="D17" s="629" t="s">
        <v>586</v>
      </c>
      <c r="E17" s="639">
        <v>44959</v>
      </c>
      <c r="F17" s="639">
        <v>44971</v>
      </c>
      <c r="G17" s="639">
        <v>44977</v>
      </c>
      <c r="H17" s="640">
        <v>55</v>
      </c>
      <c r="I17" s="629" t="s">
        <v>596</v>
      </c>
      <c r="J17" s="629" t="s">
        <v>580</v>
      </c>
      <c r="K17" s="629"/>
    </row>
    <row r="18" spans="1:11" hidden="1">
      <c r="B18" s="638" t="s">
        <v>587</v>
      </c>
      <c r="C18" s="638" t="s">
        <v>592</v>
      </c>
      <c r="D18" s="629" t="s">
        <v>593</v>
      </c>
      <c r="E18" s="639">
        <v>44969</v>
      </c>
      <c r="F18" s="639">
        <v>44971</v>
      </c>
      <c r="G18" s="639">
        <v>44976</v>
      </c>
      <c r="H18" s="640">
        <v>50</v>
      </c>
      <c r="I18" s="629" t="s">
        <v>582</v>
      </c>
      <c r="J18" s="629" t="s">
        <v>287</v>
      </c>
      <c r="K18" s="629"/>
    </row>
    <row r="19" spans="1:11" hidden="1">
      <c r="B19" s="638" t="s">
        <v>587</v>
      </c>
      <c r="C19" s="638" t="s">
        <v>194</v>
      </c>
      <c r="D19" s="629" t="s">
        <v>591</v>
      </c>
      <c r="E19" s="639">
        <v>44972</v>
      </c>
      <c r="F19" s="639">
        <v>44973</v>
      </c>
      <c r="G19" s="639">
        <v>44976</v>
      </c>
      <c r="H19" s="640">
        <v>74</v>
      </c>
      <c r="I19" s="629" t="s">
        <v>599</v>
      </c>
      <c r="J19" s="629" t="s">
        <v>413</v>
      </c>
      <c r="K19" s="629"/>
    </row>
    <row r="20" spans="1:11" hidden="1">
      <c r="B20" s="638" t="s">
        <v>601</v>
      </c>
      <c r="C20" s="638" t="s">
        <v>602</v>
      </c>
      <c r="D20" s="629" t="s">
        <v>603</v>
      </c>
      <c r="E20" s="639">
        <v>44977</v>
      </c>
      <c r="F20" s="639">
        <v>44977</v>
      </c>
      <c r="G20" s="642">
        <v>44982</v>
      </c>
      <c r="H20" s="640">
        <v>78</v>
      </c>
      <c r="I20" s="629" t="s">
        <v>604</v>
      </c>
      <c r="J20" s="629" t="s">
        <v>605</v>
      </c>
      <c r="K20" s="629"/>
    </row>
    <row r="21" spans="1:11" hidden="1">
      <c r="A21" s="422" t="s">
        <v>623</v>
      </c>
      <c r="B21" s="638" t="s">
        <v>584</v>
      </c>
      <c r="C21" s="638" t="s">
        <v>585</v>
      </c>
      <c r="D21" s="629" t="s">
        <v>594</v>
      </c>
      <c r="E21" s="639">
        <v>44978</v>
      </c>
      <c r="F21" s="639">
        <v>44988</v>
      </c>
      <c r="G21" s="639">
        <v>44994</v>
      </c>
      <c r="H21" s="640">
        <v>65</v>
      </c>
      <c r="I21" s="629" t="s">
        <v>546</v>
      </c>
      <c r="J21" s="629" t="s">
        <v>580</v>
      </c>
      <c r="K21" s="629"/>
    </row>
    <row r="22" spans="1:11" hidden="1">
      <c r="B22" s="638" t="s">
        <v>584</v>
      </c>
      <c r="C22" s="638" t="s">
        <v>585</v>
      </c>
      <c r="D22" s="629" t="s">
        <v>595</v>
      </c>
      <c r="E22" s="639">
        <v>44985</v>
      </c>
      <c r="F22" s="639">
        <v>44994</v>
      </c>
      <c r="G22" s="639">
        <v>45000</v>
      </c>
      <c r="H22" s="640">
        <v>33</v>
      </c>
      <c r="I22" s="629" t="s">
        <v>598</v>
      </c>
      <c r="J22" s="629" t="s">
        <v>580</v>
      </c>
      <c r="K22" s="629"/>
    </row>
    <row r="23" spans="1:11" hidden="1">
      <c r="B23" s="638" t="s">
        <v>612</v>
      </c>
      <c r="C23" s="638" t="s">
        <v>609</v>
      </c>
      <c r="D23" s="629" t="s">
        <v>613</v>
      </c>
      <c r="E23" s="639">
        <v>44989</v>
      </c>
      <c r="F23" s="639">
        <v>45000</v>
      </c>
      <c r="G23" s="639">
        <v>45003</v>
      </c>
      <c r="H23" s="640">
        <v>35</v>
      </c>
      <c r="I23" s="629" t="s">
        <v>614</v>
      </c>
      <c r="J23" s="629" t="s">
        <v>611</v>
      </c>
      <c r="K23" s="629"/>
    </row>
    <row r="24" spans="1:11" hidden="1">
      <c r="B24" s="638" t="s">
        <v>612</v>
      </c>
      <c r="C24" s="638" t="s">
        <v>609</v>
      </c>
      <c r="D24" s="629" t="s">
        <v>618</v>
      </c>
      <c r="E24" s="639">
        <v>45001</v>
      </c>
      <c r="F24" s="639">
        <v>45003</v>
      </c>
      <c r="G24" s="639">
        <v>45008</v>
      </c>
      <c r="H24" s="640">
        <v>55</v>
      </c>
      <c r="I24" s="629" t="s">
        <v>555</v>
      </c>
      <c r="J24" s="629" t="s">
        <v>611</v>
      </c>
      <c r="K24" s="629"/>
    </row>
    <row r="25" spans="1:11" hidden="1">
      <c r="B25" s="638" t="s">
        <v>612</v>
      </c>
      <c r="C25" s="638" t="s">
        <v>609</v>
      </c>
      <c r="D25" s="629" t="s">
        <v>616</v>
      </c>
      <c r="E25" s="639">
        <v>44996</v>
      </c>
      <c r="F25" s="639">
        <v>45008</v>
      </c>
      <c r="G25" s="639">
        <v>45012</v>
      </c>
      <c r="H25" s="640">
        <v>55</v>
      </c>
      <c r="I25" s="629" t="s">
        <v>546</v>
      </c>
      <c r="J25" s="629" t="s">
        <v>611</v>
      </c>
      <c r="K25" s="629"/>
    </row>
    <row r="26" spans="1:11" hidden="1">
      <c r="B26" s="638" t="s">
        <v>612</v>
      </c>
      <c r="C26" s="638" t="s">
        <v>609</v>
      </c>
      <c r="D26" s="629" t="s">
        <v>615</v>
      </c>
      <c r="E26" s="639">
        <v>44991</v>
      </c>
      <c r="F26" s="639">
        <v>45012</v>
      </c>
      <c r="G26" s="639">
        <v>45016</v>
      </c>
      <c r="H26" s="640">
        <v>52</v>
      </c>
      <c r="I26" s="629" t="s">
        <v>617</v>
      </c>
      <c r="J26" s="629" t="s">
        <v>611</v>
      </c>
      <c r="K26" s="629"/>
    </row>
    <row r="27" spans="1:11" hidden="1">
      <c r="B27" s="638" t="s">
        <v>627</v>
      </c>
      <c r="C27" s="638" t="s">
        <v>628</v>
      </c>
      <c r="D27" s="629" t="s">
        <v>629</v>
      </c>
      <c r="E27" s="639">
        <v>45007</v>
      </c>
      <c r="F27" s="639">
        <v>45010</v>
      </c>
      <c r="G27" s="639">
        <v>45011</v>
      </c>
      <c r="H27" s="640">
        <v>30</v>
      </c>
      <c r="I27" s="629" t="s">
        <v>630</v>
      </c>
      <c r="J27" s="629" t="s">
        <v>285</v>
      </c>
      <c r="K27" s="629" t="s">
        <v>631</v>
      </c>
    </row>
    <row r="28" spans="1:11" hidden="1">
      <c r="B28" s="638" t="s">
        <v>621</v>
      </c>
      <c r="C28" s="638" t="s">
        <v>187</v>
      </c>
      <c r="D28" s="638" t="s">
        <v>622</v>
      </c>
      <c r="E28" s="639">
        <v>45011</v>
      </c>
      <c r="F28" s="639">
        <v>45011</v>
      </c>
      <c r="G28" s="639">
        <v>45012</v>
      </c>
      <c r="H28" s="640">
        <v>47</v>
      </c>
      <c r="I28" s="629" t="s">
        <v>610</v>
      </c>
      <c r="J28" s="629" t="s">
        <v>325</v>
      </c>
      <c r="K28" s="629" t="s">
        <v>632</v>
      </c>
    </row>
    <row r="29" spans="1:11" hidden="1">
      <c r="B29" s="638" t="s">
        <v>612</v>
      </c>
      <c r="C29" s="638" t="s">
        <v>609</v>
      </c>
      <c r="D29" s="629" t="s">
        <v>619</v>
      </c>
      <c r="E29" s="639">
        <v>45006</v>
      </c>
      <c r="F29" s="642">
        <v>45016</v>
      </c>
      <c r="G29" s="642">
        <v>45020</v>
      </c>
      <c r="H29" s="640">
        <v>50</v>
      </c>
      <c r="I29" s="629" t="s">
        <v>620</v>
      </c>
      <c r="J29" s="629" t="s">
        <v>611</v>
      </c>
      <c r="K29" s="629"/>
    </row>
    <row r="30" spans="1:11" hidden="1">
      <c r="A30" s="422" t="s">
        <v>633</v>
      </c>
      <c r="B30" s="638" t="s">
        <v>647</v>
      </c>
      <c r="C30" s="638" t="s">
        <v>637</v>
      </c>
      <c r="D30" s="638" t="s">
        <v>648</v>
      </c>
      <c r="E30" s="639">
        <v>45017</v>
      </c>
      <c r="F30" s="639">
        <v>45022</v>
      </c>
      <c r="G30" s="639">
        <v>45027</v>
      </c>
      <c r="H30" s="640">
        <v>62</v>
      </c>
      <c r="I30" s="629" t="s">
        <v>546</v>
      </c>
      <c r="J30" s="629" t="s">
        <v>643</v>
      </c>
      <c r="K30" s="629" t="s">
        <v>654</v>
      </c>
    </row>
    <row r="31" spans="1:11" hidden="1">
      <c r="B31" s="638" t="s">
        <v>647</v>
      </c>
      <c r="C31" s="638" t="s">
        <v>637</v>
      </c>
      <c r="D31" s="638" t="s">
        <v>649</v>
      </c>
      <c r="E31" s="639">
        <v>45025</v>
      </c>
      <c r="F31" s="639">
        <v>45027</v>
      </c>
      <c r="G31" s="639">
        <v>45032</v>
      </c>
      <c r="H31" s="640">
        <v>65</v>
      </c>
      <c r="I31" s="629" t="s">
        <v>655</v>
      </c>
      <c r="J31" s="629" t="s">
        <v>643</v>
      </c>
      <c r="K31" s="629"/>
    </row>
    <row r="32" spans="1:11" hidden="1">
      <c r="B32" s="638" t="s">
        <v>634</v>
      </c>
      <c r="C32" s="638" t="s">
        <v>635</v>
      </c>
      <c r="D32" s="629" t="s">
        <v>639</v>
      </c>
      <c r="E32" s="639">
        <v>45021</v>
      </c>
      <c r="F32" s="639">
        <v>45031</v>
      </c>
      <c r="G32" s="639">
        <v>45033</v>
      </c>
      <c r="H32" s="640">
        <v>63</v>
      </c>
      <c r="I32" s="629" t="s">
        <v>644</v>
      </c>
      <c r="J32" s="629" t="s">
        <v>642</v>
      </c>
      <c r="K32" s="629"/>
    </row>
    <row r="33" spans="2:11" hidden="1">
      <c r="B33" s="638" t="s">
        <v>647</v>
      </c>
      <c r="C33" s="638" t="s">
        <v>637</v>
      </c>
      <c r="D33" s="638" t="s">
        <v>650</v>
      </c>
      <c r="E33" s="639">
        <v>45030</v>
      </c>
      <c r="F33" s="639">
        <v>45032</v>
      </c>
      <c r="G33" s="639">
        <v>45036</v>
      </c>
      <c r="H33" s="640">
        <v>36</v>
      </c>
      <c r="I33" s="629" t="s">
        <v>656</v>
      </c>
      <c r="J33" s="629" t="s">
        <v>643</v>
      </c>
      <c r="K33" s="629" t="s">
        <v>657</v>
      </c>
    </row>
    <row r="34" spans="2:11" hidden="1">
      <c r="B34" s="638" t="s">
        <v>647</v>
      </c>
      <c r="C34" s="638" t="s">
        <v>637</v>
      </c>
      <c r="D34" s="638" t="s">
        <v>651</v>
      </c>
      <c r="E34" s="639">
        <v>45032</v>
      </c>
      <c r="F34" s="639">
        <v>45037</v>
      </c>
      <c r="G34" s="639">
        <v>45040</v>
      </c>
      <c r="H34" s="640">
        <v>55</v>
      </c>
      <c r="I34" s="629" t="s">
        <v>658</v>
      </c>
      <c r="J34" s="629" t="s">
        <v>643</v>
      </c>
      <c r="K34" s="629"/>
    </row>
    <row r="35" spans="2:11" hidden="1">
      <c r="B35" s="1184" t="s">
        <v>634</v>
      </c>
      <c r="C35" s="638" t="s">
        <v>636</v>
      </c>
      <c r="D35" s="1182" t="s">
        <v>640</v>
      </c>
      <c r="E35" s="1186">
        <v>45036</v>
      </c>
      <c r="F35" s="1186">
        <v>45039</v>
      </c>
      <c r="G35" s="1186">
        <v>45044</v>
      </c>
      <c r="H35" s="640">
        <v>55</v>
      </c>
      <c r="I35" s="1182" t="s">
        <v>644</v>
      </c>
      <c r="J35" s="1182" t="s">
        <v>287</v>
      </c>
      <c r="K35" s="1182" t="s">
        <v>574</v>
      </c>
    </row>
    <row r="36" spans="2:11" hidden="1">
      <c r="B36" s="1185"/>
      <c r="C36" s="638" t="s">
        <v>637</v>
      </c>
      <c r="D36" s="1183"/>
      <c r="E36" s="1187"/>
      <c r="F36" s="1187"/>
      <c r="G36" s="1187"/>
      <c r="H36" s="640">
        <v>30</v>
      </c>
      <c r="I36" s="1183"/>
      <c r="J36" s="1183"/>
      <c r="K36" s="1183"/>
    </row>
    <row r="37" spans="2:11" hidden="1">
      <c r="B37" s="638" t="s">
        <v>634</v>
      </c>
      <c r="C37" s="638" t="s">
        <v>194</v>
      </c>
      <c r="D37" s="629" t="s">
        <v>641</v>
      </c>
      <c r="E37" s="639">
        <v>45040</v>
      </c>
      <c r="F37" s="639">
        <v>45041</v>
      </c>
      <c r="G37" s="639">
        <v>45044</v>
      </c>
      <c r="H37" s="640">
        <v>55</v>
      </c>
      <c r="I37" s="629" t="s">
        <v>646</v>
      </c>
      <c r="J37" s="629" t="s">
        <v>643</v>
      </c>
      <c r="K37" s="629"/>
    </row>
    <row r="38" spans="2:11" hidden="1">
      <c r="B38" s="634" t="s">
        <v>634</v>
      </c>
      <c r="C38" s="634" t="s">
        <v>638</v>
      </c>
      <c r="D38" s="429" t="s">
        <v>663</v>
      </c>
      <c r="E38" s="635">
        <v>45044</v>
      </c>
      <c r="F38" s="635">
        <v>45044</v>
      </c>
      <c r="G38" s="637">
        <v>45045</v>
      </c>
      <c r="H38" s="636">
        <v>11</v>
      </c>
      <c r="I38" s="429" t="s">
        <v>645</v>
      </c>
      <c r="J38" s="429" t="s">
        <v>643</v>
      </c>
      <c r="K38" s="429"/>
    </row>
    <row r="39" spans="2:11" hidden="1">
      <c r="B39" s="660" t="s">
        <v>659</v>
      </c>
      <c r="C39" s="638" t="s">
        <v>194</v>
      </c>
      <c r="D39" s="659" t="s">
        <v>660</v>
      </c>
      <c r="E39" s="661">
        <v>45034</v>
      </c>
      <c r="F39" s="661">
        <v>45044</v>
      </c>
      <c r="G39" s="661">
        <v>45047</v>
      </c>
      <c r="H39" s="640">
        <v>86</v>
      </c>
      <c r="I39" s="659" t="s">
        <v>661</v>
      </c>
      <c r="J39" s="659" t="s">
        <v>662</v>
      </c>
      <c r="K39" s="659"/>
    </row>
    <row r="40" spans="2:11" hidden="1">
      <c r="B40" s="638" t="s">
        <v>647</v>
      </c>
      <c r="C40" s="638" t="s">
        <v>637</v>
      </c>
      <c r="D40" s="638" t="s">
        <v>652</v>
      </c>
      <c r="E40" s="639">
        <v>45036</v>
      </c>
      <c r="F40" s="639">
        <v>45045</v>
      </c>
      <c r="G40" s="639">
        <v>45049</v>
      </c>
      <c r="H40" s="640">
        <v>65</v>
      </c>
      <c r="I40" s="629" t="s">
        <v>546</v>
      </c>
      <c r="J40" s="629" t="s">
        <v>643</v>
      </c>
      <c r="K40" s="629"/>
    </row>
    <row r="41" spans="2:11" hidden="1">
      <c r="B41" s="638" t="s">
        <v>647</v>
      </c>
      <c r="C41" s="638" t="s">
        <v>637</v>
      </c>
      <c r="D41" s="638" t="s">
        <v>653</v>
      </c>
      <c r="E41" s="639">
        <v>45043</v>
      </c>
      <c r="F41" s="639">
        <v>45049</v>
      </c>
      <c r="G41" s="639">
        <v>45055</v>
      </c>
      <c r="H41" s="640">
        <v>65</v>
      </c>
      <c r="I41" s="629" t="s">
        <v>596</v>
      </c>
      <c r="J41" s="629" t="s">
        <v>643</v>
      </c>
      <c r="K41" s="629"/>
    </row>
    <row r="42" spans="2:11" hidden="1">
      <c r="B42" s="638" t="s">
        <v>286</v>
      </c>
      <c r="C42" s="638" t="s">
        <v>671</v>
      </c>
      <c r="D42" s="629" t="s">
        <v>676</v>
      </c>
      <c r="E42" s="639">
        <v>45050</v>
      </c>
      <c r="F42" s="639">
        <v>45056</v>
      </c>
      <c r="G42" s="639">
        <v>45057</v>
      </c>
      <c r="H42" s="640">
        <v>25</v>
      </c>
      <c r="I42" s="629" t="s">
        <v>679</v>
      </c>
      <c r="J42" s="629" t="s">
        <v>678</v>
      </c>
      <c r="K42" s="629"/>
    </row>
    <row r="43" spans="2:11" hidden="1">
      <c r="B43" s="638" t="s">
        <v>286</v>
      </c>
      <c r="C43" s="638" t="s">
        <v>665</v>
      </c>
      <c r="D43" s="629" t="s">
        <v>677</v>
      </c>
      <c r="E43" s="639">
        <v>45050</v>
      </c>
      <c r="F43" s="639">
        <v>45057</v>
      </c>
      <c r="G43" s="662">
        <v>45059</v>
      </c>
      <c r="H43" s="640">
        <v>33</v>
      </c>
      <c r="I43" s="629" t="s">
        <v>679</v>
      </c>
      <c r="J43" s="629" t="s">
        <v>678</v>
      </c>
      <c r="K43" s="629"/>
    </row>
    <row r="44" spans="2:11" hidden="1">
      <c r="B44" s="638" t="s">
        <v>286</v>
      </c>
      <c r="C44" s="638" t="s">
        <v>670</v>
      </c>
      <c r="D44" s="629" t="s">
        <v>674</v>
      </c>
      <c r="E44" s="662">
        <v>45048</v>
      </c>
      <c r="F44" s="662">
        <v>45059</v>
      </c>
      <c r="G44" s="662">
        <v>45060</v>
      </c>
      <c r="H44" s="663">
        <v>43</v>
      </c>
      <c r="I44" s="629" t="s">
        <v>680</v>
      </c>
      <c r="J44" s="629" t="s">
        <v>285</v>
      </c>
      <c r="K44" s="629"/>
    </row>
    <row r="45" spans="2:11" hidden="1">
      <c r="B45" s="638" t="s">
        <v>286</v>
      </c>
      <c r="C45" s="638" t="s">
        <v>670</v>
      </c>
      <c r="D45" s="629" t="s">
        <v>675</v>
      </c>
      <c r="E45" s="639">
        <v>45050</v>
      </c>
      <c r="F45" s="662">
        <v>45061</v>
      </c>
      <c r="G45" s="662">
        <v>45062</v>
      </c>
      <c r="H45" s="640">
        <v>37</v>
      </c>
      <c r="I45" s="629" t="s">
        <v>681</v>
      </c>
      <c r="J45" s="629" t="s">
        <v>287</v>
      </c>
      <c r="K45" s="629"/>
    </row>
    <row r="46" spans="2:11" hidden="1">
      <c r="B46" s="638" t="s">
        <v>664</v>
      </c>
      <c r="C46" s="638" t="s">
        <v>665</v>
      </c>
      <c r="D46" s="629" t="s">
        <v>666</v>
      </c>
      <c r="E46" s="639">
        <v>45048</v>
      </c>
      <c r="F46" s="662">
        <v>45059</v>
      </c>
      <c r="G46" s="662">
        <v>45063</v>
      </c>
      <c r="H46" s="640">
        <v>62</v>
      </c>
      <c r="I46" s="629" t="s">
        <v>608</v>
      </c>
      <c r="J46" s="629" t="s">
        <v>678</v>
      </c>
      <c r="K46" s="629"/>
    </row>
    <row r="47" spans="2:11" hidden="1">
      <c r="B47" s="638" t="s">
        <v>664</v>
      </c>
      <c r="C47" s="638" t="s">
        <v>665</v>
      </c>
      <c r="D47" s="638" t="s">
        <v>667</v>
      </c>
      <c r="E47" s="639">
        <v>45051</v>
      </c>
      <c r="F47" s="639">
        <v>45063</v>
      </c>
      <c r="G47" s="639">
        <v>45067</v>
      </c>
      <c r="H47" s="664">
        <v>38</v>
      </c>
      <c r="I47" s="638" t="s">
        <v>656</v>
      </c>
      <c r="J47" s="638" t="s">
        <v>678</v>
      </c>
      <c r="K47" s="638"/>
    </row>
    <row r="48" spans="2:11" hidden="1">
      <c r="B48" s="638" t="s">
        <v>664</v>
      </c>
      <c r="C48" s="638" t="s">
        <v>665</v>
      </c>
      <c r="D48" s="638" t="s">
        <v>668</v>
      </c>
      <c r="E48" s="639">
        <v>45055</v>
      </c>
      <c r="F48" s="639">
        <v>45067</v>
      </c>
      <c r="G48" s="639">
        <v>45069</v>
      </c>
      <c r="H48" s="664">
        <v>26</v>
      </c>
      <c r="I48" s="638" t="s">
        <v>656</v>
      </c>
      <c r="J48" s="638" t="s">
        <v>678</v>
      </c>
      <c r="K48" s="638"/>
    </row>
    <row r="49" spans="1:11" hidden="1">
      <c r="B49" s="638" t="s">
        <v>673</v>
      </c>
      <c r="C49" s="638" t="s">
        <v>672</v>
      </c>
      <c r="D49" s="638" t="s">
        <v>567</v>
      </c>
      <c r="E49" s="639">
        <v>45070</v>
      </c>
      <c r="F49" s="639">
        <v>45070</v>
      </c>
      <c r="G49" s="639">
        <v>45072</v>
      </c>
      <c r="H49" s="664">
        <v>77</v>
      </c>
      <c r="I49" s="638" t="s">
        <v>679</v>
      </c>
      <c r="J49" s="638" t="s">
        <v>678</v>
      </c>
      <c r="K49" s="638"/>
    </row>
    <row r="50" spans="1:11" hidden="1">
      <c r="B50" s="638" t="s">
        <v>664</v>
      </c>
      <c r="C50" s="638" t="s">
        <v>665</v>
      </c>
      <c r="D50" s="638" t="s">
        <v>669</v>
      </c>
      <c r="E50" s="639">
        <v>45070</v>
      </c>
      <c r="F50" s="639">
        <v>45073</v>
      </c>
      <c r="G50" s="639">
        <v>45077</v>
      </c>
      <c r="H50" s="664">
        <v>55</v>
      </c>
      <c r="I50" s="638" t="s">
        <v>546</v>
      </c>
      <c r="J50" s="638" t="s">
        <v>678</v>
      </c>
      <c r="K50" s="638"/>
    </row>
    <row r="51" spans="1:11" hidden="1">
      <c r="A51" s="422" t="s">
        <v>683</v>
      </c>
      <c r="B51" s="638" t="s">
        <v>684</v>
      </c>
      <c r="C51" s="638" t="s">
        <v>685</v>
      </c>
      <c r="D51" s="638" t="s">
        <v>216</v>
      </c>
      <c r="E51" s="639">
        <v>45081</v>
      </c>
      <c r="F51" s="639">
        <v>45081</v>
      </c>
      <c r="G51" s="639">
        <v>45087</v>
      </c>
      <c r="H51" s="664">
        <v>63</v>
      </c>
      <c r="I51" s="638" t="s">
        <v>686</v>
      </c>
      <c r="J51" s="638" t="s">
        <v>687</v>
      </c>
      <c r="K51" s="638"/>
    </row>
    <row r="52" spans="1:11" hidden="1">
      <c r="B52" s="638" t="s">
        <v>684</v>
      </c>
      <c r="C52" s="638" t="s">
        <v>685</v>
      </c>
      <c r="D52" s="638" t="s">
        <v>688</v>
      </c>
      <c r="E52" s="639">
        <v>45085</v>
      </c>
      <c r="F52" s="639">
        <v>45087</v>
      </c>
      <c r="G52" s="639">
        <v>45091</v>
      </c>
      <c r="H52" s="664">
        <v>55</v>
      </c>
      <c r="I52" s="638" t="s">
        <v>689</v>
      </c>
      <c r="J52" s="638" t="s">
        <v>687</v>
      </c>
      <c r="K52" s="638"/>
    </row>
    <row r="53" spans="1:11" hidden="1">
      <c r="B53" s="638" t="s">
        <v>690</v>
      </c>
      <c r="C53" s="638" t="s">
        <v>685</v>
      </c>
      <c r="D53" s="638" t="s">
        <v>691</v>
      </c>
      <c r="E53" s="639">
        <v>45085</v>
      </c>
      <c r="F53" s="639">
        <v>45087</v>
      </c>
      <c r="G53" s="639">
        <v>45094</v>
      </c>
      <c r="H53" s="664">
        <v>44</v>
      </c>
      <c r="I53" s="638" t="s">
        <v>692</v>
      </c>
      <c r="J53" s="638" t="s">
        <v>698</v>
      </c>
      <c r="K53" s="638" t="s">
        <v>574</v>
      </c>
    </row>
    <row r="54" spans="1:11" hidden="1">
      <c r="B54" s="638" t="s">
        <v>690</v>
      </c>
      <c r="C54" s="638" t="s">
        <v>182</v>
      </c>
      <c r="D54" s="638" t="s">
        <v>694</v>
      </c>
      <c r="E54" s="639">
        <v>45092</v>
      </c>
      <c r="F54" s="639">
        <v>45092</v>
      </c>
      <c r="G54" s="639">
        <v>45093</v>
      </c>
      <c r="H54" s="664">
        <v>15</v>
      </c>
      <c r="I54" s="638" t="s">
        <v>699</v>
      </c>
      <c r="J54" s="638" t="s">
        <v>701</v>
      </c>
      <c r="K54" s="638" t="s">
        <v>700</v>
      </c>
    </row>
    <row r="55" spans="1:11" hidden="1">
      <c r="B55" s="638" t="s">
        <v>684</v>
      </c>
      <c r="C55" s="638" t="s">
        <v>685</v>
      </c>
      <c r="D55" s="638" t="s">
        <v>541</v>
      </c>
      <c r="E55" s="639">
        <v>45093</v>
      </c>
      <c r="F55" s="639">
        <v>45093</v>
      </c>
      <c r="G55" s="639">
        <v>45098</v>
      </c>
      <c r="H55" s="664">
        <v>65</v>
      </c>
      <c r="I55" s="638" t="s">
        <v>546</v>
      </c>
      <c r="J55" s="638" t="s">
        <v>687</v>
      </c>
      <c r="K55" s="638"/>
    </row>
    <row r="56" spans="1:11" hidden="1">
      <c r="B56" s="638" t="s">
        <v>684</v>
      </c>
      <c r="C56" s="638" t="s">
        <v>685</v>
      </c>
      <c r="D56" s="638" t="s">
        <v>607</v>
      </c>
      <c r="E56" s="639">
        <v>45094</v>
      </c>
      <c r="F56" s="639">
        <v>45098</v>
      </c>
      <c r="G56" s="639">
        <v>45101</v>
      </c>
      <c r="H56" s="664">
        <v>65</v>
      </c>
      <c r="I56" s="638" t="s">
        <v>693</v>
      </c>
      <c r="J56" s="638" t="s">
        <v>687</v>
      </c>
      <c r="K56" s="638"/>
    </row>
    <row r="57" spans="1:11" hidden="1">
      <c r="B57" s="634" t="s">
        <v>286</v>
      </c>
      <c r="C57" s="634" t="s">
        <v>695</v>
      </c>
      <c r="D57" s="634" t="s">
        <v>567</v>
      </c>
      <c r="E57" s="667">
        <v>45095</v>
      </c>
      <c r="F57" s="667">
        <v>45102</v>
      </c>
      <c r="G57" s="637">
        <v>45106</v>
      </c>
      <c r="H57" s="666">
        <v>75</v>
      </c>
      <c r="I57" s="634" t="s">
        <v>696</v>
      </c>
      <c r="J57" s="634" t="s">
        <v>687</v>
      </c>
      <c r="K57" s="634"/>
    </row>
    <row r="58" spans="1:11" hidden="1">
      <c r="B58" s="682" t="s">
        <v>684</v>
      </c>
      <c r="C58" s="682" t="s">
        <v>685</v>
      </c>
      <c r="D58" s="682" t="s">
        <v>606</v>
      </c>
      <c r="E58" s="684">
        <v>45103</v>
      </c>
      <c r="F58" s="685">
        <v>45106</v>
      </c>
      <c r="G58" s="685">
        <v>45110</v>
      </c>
      <c r="H58" s="683">
        <v>62</v>
      </c>
      <c r="I58" s="682" t="s">
        <v>596</v>
      </c>
      <c r="J58" s="682" t="s">
        <v>687</v>
      </c>
      <c r="K58" s="682"/>
    </row>
    <row r="59" spans="1:11">
      <c r="A59" s="422" t="s">
        <v>711</v>
      </c>
      <c r="B59" s="630" t="s">
        <v>705</v>
      </c>
      <c r="C59" s="630" t="s">
        <v>706</v>
      </c>
      <c r="D59" s="630" t="s">
        <v>707</v>
      </c>
      <c r="E59" s="631">
        <v>45108</v>
      </c>
      <c r="F59" s="631">
        <v>45111</v>
      </c>
      <c r="G59" s="631">
        <v>45117</v>
      </c>
      <c r="H59" s="670">
        <v>55</v>
      </c>
      <c r="I59" s="630" t="s">
        <v>608</v>
      </c>
      <c r="J59" s="630" t="s">
        <v>708</v>
      </c>
      <c r="K59" s="630"/>
    </row>
    <row r="60" spans="1:11">
      <c r="B60" s="630" t="s">
        <v>690</v>
      </c>
      <c r="C60" s="630" t="s">
        <v>188</v>
      </c>
      <c r="D60" s="630" t="s">
        <v>703</v>
      </c>
      <c r="E60" s="631">
        <v>45103</v>
      </c>
      <c r="F60" s="631">
        <v>45117</v>
      </c>
      <c r="G60" s="631">
        <v>45119</v>
      </c>
      <c r="H60" s="670">
        <v>33</v>
      </c>
      <c r="I60" s="630" t="s">
        <v>696</v>
      </c>
      <c r="J60" s="630" t="s">
        <v>702</v>
      </c>
      <c r="K60" s="630"/>
    </row>
    <row r="61" spans="1:11">
      <c r="B61" s="630" t="s">
        <v>712</v>
      </c>
      <c r="C61" s="630" t="s">
        <v>182</v>
      </c>
      <c r="D61" s="630" t="s">
        <v>716</v>
      </c>
      <c r="E61" s="631">
        <v>45110</v>
      </c>
      <c r="F61" s="631">
        <v>45120</v>
      </c>
      <c r="G61" s="631">
        <v>45120</v>
      </c>
      <c r="H61" s="670">
        <v>22</v>
      </c>
      <c r="I61" s="630" t="s">
        <v>709</v>
      </c>
      <c r="J61" s="630" t="s">
        <v>278</v>
      </c>
      <c r="K61" s="630"/>
    </row>
    <row r="62" spans="1:11">
      <c r="B62" s="630" t="s">
        <v>286</v>
      </c>
      <c r="C62" s="630" t="s">
        <v>185</v>
      </c>
      <c r="D62" s="630" t="s">
        <v>718</v>
      </c>
      <c r="E62" s="631">
        <v>45110</v>
      </c>
      <c r="F62" s="631">
        <v>45120</v>
      </c>
      <c r="G62" s="631">
        <v>45123</v>
      </c>
      <c r="H62" s="670">
        <v>76</v>
      </c>
      <c r="I62" s="630" t="s">
        <v>183</v>
      </c>
      <c r="J62" s="630" t="s">
        <v>278</v>
      </c>
      <c r="K62" s="630"/>
    </row>
    <row r="63" spans="1:11">
      <c r="B63" s="630" t="s">
        <v>712</v>
      </c>
      <c r="C63" s="630" t="s">
        <v>194</v>
      </c>
      <c r="D63" s="630" t="s">
        <v>717</v>
      </c>
      <c r="E63" s="631">
        <v>45110</v>
      </c>
      <c r="F63" s="631">
        <v>45123</v>
      </c>
      <c r="G63" s="631">
        <v>45127</v>
      </c>
      <c r="H63" s="670">
        <v>77</v>
      </c>
      <c r="I63" s="630" t="s">
        <v>709</v>
      </c>
      <c r="J63" s="630" t="s">
        <v>278</v>
      </c>
      <c r="K63" s="630"/>
    </row>
    <row r="64" spans="1:11">
      <c r="B64" s="630" t="s">
        <v>543</v>
      </c>
      <c r="C64" s="630" t="s">
        <v>188</v>
      </c>
      <c r="D64" s="630" t="s">
        <v>697</v>
      </c>
      <c r="E64" s="631">
        <v>45121</v>
      </c>
      <c r="F64" s="631">
        <v>45127</v>
      </c>
      <c r="G64" s="631">
        <v>45130</v>
      </c>
      <c r="H64" s="670">
        <v>55</v>
      </c>
      <c r="I64" s="630" t="s">
        <v>555</v>
      </c>
      <c r="J64" s="630" t="s">
        <v>278</v>
      </c>
      <c r="K64" s="630"/>
    </row>
    <row r="65" spans="2:11">
      <c r="B65" s="630" t="s">
        <v>286</v>
      </c>
      <c r="C65" s="630" t="s">
        <v>194</v>
      </c>
      <c r="D65" s="630" t="s">
        <v>721</v>
      </c>
      <c r="E65" s="631">
        <v>45116</v>
      </c>
      <c r="F65" s="631">
        <v>45131</v>
      </c>
      <c r="G65" s="631">
        <v>45134</v>
      </c>
      <c r="H65" s="670">
        <v>40</v>
      </c>
      <c r="I65" s="630" t="s">
        <v>180</v>
      </c>
      <c r="J65" s="630" t="s">
        <v>278</v>
      </c>
      <c r="K65" s="630"/>
    </row>
    <row r="66" spans="2:11">
      <c r="B66" s="630" t="s">
        <v>712</v>
      </c>
      <c r="C66" s="630" t="s">
        <v>194</v>
      </c>
      <c r="D66" s="630" t="s">
        <v>719</v>
      </c>
      <c r="E66" s="631">
        <v>45118</v>
      </c>
      <c r="F66" s="631">
        <v>45134</v>
      </c>
      <c r="G66" s="631">
        <v>45135</v>
      </c>
      <c r="H66" s="670">
        <v>14</v>
      </c>
      <c r="I66" s="630" t="s">
        <v>710</v>
      </c>
      <c r="J66" s="630" t="s">
        <v>278</v>
      </c>
      <c r="K66" s="630"/>
    </row>
    <row r="67" spans="2:11">
      <c r="B67" s="634" t="s">
        <v>712</v>
      </c>
      <c r="C67" s="634" t="s">
        <v>713</v>
      </c>
      <c r="D67" s="634" t="s">
        <v>720</v>
      </c>
      <c r="E67" s="635">
        <v>45121</v>
      </c>
      <c r="F67" s="637">
        <v>45135</v>
      </c>
      <c r="G67" s="637">
        <v>45137</v>
      </c>
      <c r="H67" s="666">
        <v>30</v>
      </c>
      <c r="I67" s="634" t="s">
        <v>723</v>
      </c>
      <c r="J67" s="634" t="s">
        <v>278</v>
      </c>
      <c r="K67" s="634"/>
    </row>
    <row r="68" spans="2:11">
      <c r="B68" s="658" t="s">
        <v>712</v>
      </c>
      <c r="C68" s="658" t="s">
        <v>713</v>
      </c>
      <c r="D68" s="658" t="s">
        <v>743</v>
      </c>
      <c r="E68" s="668">
        <v>45128</v>
      </c>
      <c r="F68" s="669">
        <v>45137</v>
      </c>
      <c r="G68" s="669">
        <v>45139</v>
      </c>
      <c r="H68" s="665">
        <v>54</v>
      </c>
      <c r="I68" s="658" t="s">
        <v>723</v>
      </c>
      <c r="J68" s="658" t="s">
        <v>287</v>
      </c>
      <c r="K68" s="658"/>
    </row>
    <row r="69" spans="2:11">
      <c r="B69" s="658" t="s">
        <v>543</v>
      </c>
      <c r="C69" s="658" t="s">
        <v>188</v>
      </c>
      <c r="D69" s="658" t="s">
        <v>216</v>
      </c>
      <c r="E69" s="668">
        <v>45126</v>
      </c>
      <c r="F69" s="669">
        <v>45136</v>
      </c>
      <c r="G69" s="669">
        <v>45140</v>
      </c>
      <c r="H69" s="665">
        <v>62</v>
      </c>
      <c r="I69" s="658" t="s">
        <v>546</v>
      </c>
      <c r="J69" s="658" t="s">
        <v>278</v>
      </c>
      <c r="K69" s="658"/>
    </row>
    <row r="70" spans="2:11">
      <c r="B70" s="658" t="s">
        <v>725</v>
      </c>
      <c r="C70" s="658" t="s">
        <v>715</v>
      </c>
      <c r="D70" s="658" t="s">
        <v>726</v>
      </c>
      <c r="E70" s="668">
        <v>45134</v>
      </c>
      <c r="F70" s="669">
        <v>45143</v>
      </c>
      <c r="G70" s="669">
        <v>45146</v>
      </c>
      <c r="H70" s="665">
        <v>55</v>
      </c>
      <c r="I70" s="658" t="s">
        <v>546</v>
      </c>
      <c r="J70" s="658" t="s">
        <v>278</v>
      </c>
      <c r="K70" s="658"/>
    </row>
    <row r="71" spans="2:11">
      <c r="B71" s="658" t="s">
        <v>725</v>
      </c>
      <c r="C71" s="658" t="s">
        <v>715</v>
      </c>
      <c r="D71" s="658" t="s">
        <v>541</v>
      </c>
      <c r="E71" s="668">
        <v>45135</v>
      </c>
      <c r="F71" s="669">
        <v>45147</v>
      </c>
      <c r="G71" s="669">
        <v>45151</v>
      </c>
      <c r="H71" s="665">
        <v>65</v>
      </c>
      <c r="I71" s="658" t="s">
        <v>596</v>
      </c>
      <c r="J71" s="658" t="s">
        <v>278</v>
      </c>
      <c r="K71" s="658"/>
    </row>
    <row r="72" spans="2:11">
      <c r="B72" s="658" t="s">
        <v>712</v>
      </c>
      <c r="C72" s="658" t="s">
        <v>714</v>
      </c>
      <c r="D72" s="658" t="s">
        <v>722</v>
      </c>
      <c r="E72" s="668">
        <v>45135</v>
      </c>
      <c r="F72" s="669">
        <v>45141</v>
      </c>
      <c r="G72" s="669">
        <v>45142</v>
      </c>
      <c r="H72" s="665">
        <v>52</v>
      </c>
      <c r="I72" s="658" t="s">
        <v>724</v>
      </c>
      <c r="J72" s="658" t="s">
        <v>278</v>
      </c>
      <c r="K72" s="658"/>
    </row>
    <row r="73" spans="2:11">
      <c r="B73" s="679"/>
      <c r="C73" s="679"/>
      <c r="D73" s="679"/>
      <c r="E73" s="680"/>
      <c r="F73" s="680"/>
      <c r="G73" s="680"/>
      <c r="H73" s="681"/>
      <c r="I73" s="679"/>
      <c r="J73" s="679"/>
      <c r="K73" s="679"/>
    </row>
    <row r="74" spans="2:11">
      <c r="B74" s="428"/>
      <c r="D74" s="428"/>
      <c r="E74" s="629" t="s">
        <v>202</v>
      </c>
      <c r="G74" s="429" t="s">
        <v>203</v>
      </c>
      <c r="I74" s="686" t="s">
        <v>204</v>
      </c>
    </row>
    <row r="77" spans="2:11">
      <c r="H77" s="427"/>
    </row>
    <row r="90" spans="12:12">
      <c r="L90" s="687"/>
    </row>
  </sheetData>
  <mergeCells count="8">
    <mergeCell ref="K35:K36"/>
    <mergeCell ref="J35:J36"/>
    <mergeCell ref="B35:B36"/>
    <mergeCell ref="D35:D36"/>
    <mergeCell ref="E35:E36"/>
    <mergeCell ref="F35:F36"/>
    <mergeCell ref="G35:G36"/>
    <mergeCell ref="I35:I36"/>
  </mergeCells>
  <phoneticPr fontId="10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90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AE381"/>
  <sheetViews>
    <sheetView zoomScale="85" zoomScaleNormal="85" workbookViewId="0">
      <pane ySplit="3" topLeftCell="A56" activePane="bottomLeft" state="frozen"/>
      <selection activeCell="E166" sqref="E166"/>
      <selection pane="bottomLeft" activeCell="L94" sqref="L94"/>
    </sheetView>
  </sheetViews>
  <sheetFormatPr defaultColWidth="9" defaultRowHeight="16.5" outlineLevelRow="1"/>
  <cols>
    <col min="1" max="1" width="15.875" style="672" bestFit="1" customWidth="1"/>
    <col min="2" max="2" width="4.5" style="672" hidden="1" customWidth="1"/>
    <col min="3" max="3" width="9" style="672" customWidth="1"/>
    <col min="4" max="4" width="4.5" style="672" hidden="1" customWidth="1"/>
    <col min="5" max="5" width="8.75" style="672" bestFit="1" customWidth="1"/>
    <col min="6" max="6" width="9" style="672" hidden="1" customWidth="1"/>
    <col min="7" max="9" width="9" style="672" customWidth="1"/>
    <col min="10" max="10" width="11" style="672" bestFit="1" customWidth="1"/>
    <col min="11" max="11" width="9" style="672" hidden="1" customWidth="1"/>
    <col min="12" max="12" width="11" style="672" bestFit="1" customWidth="1"/>
    <col min="13" max="14" width="9" style="672" customWidth="1"/>
    <col min="15" max="15" width="11.875" style="672" customWidth="1"/>
    <col min="16" max="16" width="16.875" style="672" hidden="1" customWidth="1"/>
    <col min="17" max="17" width="8.75" style="672" customWidth="1"/>
    <col min="18" max="18" width="9" style="671"/>
    <col min="19" max="19" width="9.875" style="671" bestFit="1" customWidth="1"/>
    <col min="20" max="22" width="10.875" style="671" bestFit="1" customWidth="1"/>
    <col min="23" max="23" width="9" style="671"/>
    <col min="24" max="24" width="10.875" style="671" bestFit="1" customWidth="1"/>
    <col min="25" max="26" width="9.375" style="671" bestFit="1" customWidth="1"/>
    <col min="27" max="27" width="9.875" style="671" bestFit="1" customWidth="1"/>
    <col min="28" max="28" width="9.375" style="671" bestFit="1" customWidth="1"/>
    <col min="29" max="16384" width="9" style="671"/>
  </cols>
  <sheetData>
    <row r="1" spans="1:31" ht="20.25">
      <c r="B1" s="1203" t="s">
        <v>747</v>
      </c>
      <c r="C1" s="1203"/>
      <c r="D1" s="1203"/>
      <c r="E1" s="1203"/>
      <c r="F1" s="1203"/>
      <c r="G1" s="1203"/>
      <c r="H1" s="1203"/>
      <c r="M1" s="1206" t="s">
        <v>749</v>
      </c>
      <c r="N1" s="1203"/>
      <c r="O1" s="1203"/>
    </row>
    <row r="2" spans="1:31">
      <c r="A2" s="1209" t="s">
        <v>759</v>
      </c>
      <c r="B2" s="1209" t="s">
        <v>753</v>
      </c>
      <c r="C2" s="1209"/>
      <c r="D2" s="1209" t="s">
        <v>185</v>
      </c>
      <c r="E2" s="1209"/>
      <c r="F2" s="1209" t="s">
        <v>748</v>
      </c>
      <c r="G2" s="1209"/>
      <c r="H2" s="922" t="s">
        <v>760</v>
      </c>
      <c r="I2" s="1204" t="s">
        <v>729</v>
      </c>
      <c r="J2" s="1204" t="s">
        <v>730</v>
      </c>
      <c r="K2" s="1201" t="s">
        <v>752</v>
      </c>
      <c r="L2" s="1201" t="s">
        <v>764</v>
      </c>
      <c r="M2" s="1208" t="s">
        <v>731</v>
      </c>
      <c r="N2" s="1208" t="s">
        <v>732</v>
      </c>
      <c r="O2" s="1208" t="s">
        <v>733</v>
      </c>
      <c r="P2" s="1204" t="s">
        <v>734</v>
      </c>
      <c r="Q2" s="693"/>
    </row>
    <row r="3" spans="1:31">
      <c r="A3" s="1209"/>
      <c r="B3" s="766" t="s">
        <v>735</v>
      </c>
      <c r="C3" s="766" t="s">
        <v>736</v>
      </c>
      <c r="D3" s="766" t="s">
        <v>735</v>
      </c>
      <c r="E3" s="766" t="s">
        <v>736</v>
      </c>
      <c r="F3" s="766" t="s">
        <v>735</v>
      </c>
      <c r="G3" s="766" t="s">
        <v>736</v>
      </c>
      <c r="H3" s="766" t="s">
        <v>761</v>
      </c>
      <c r="I3" s="1205"/>
      <c r="J3" s="1205"/>
      <c r="K3" s="1207"/>
      <c r="L3" s="1202"/>
      <c r="M3" s="1208"/>
      <c r="N3" s="1208"/>
      <c r="O3" s="1208"/>
      <c r="P3" s="1205"/>
      <c r="Q3" s="693"/>
    </row>
    <row r="4" spans="1:31" outlineLevel="1">
      <c r="A4" s="739">
        <v>46023</v>
      </c>
      <c r="B4" s="673"/>
      <c r="C4" s="782"/>
      <c r="D4" s="782"/>
      <c r="E4" s="782">
        <v>8247</v>
      </c>
      <c r="F4" s="782"/>
      <c r="G4" s="782"/>
      <c r="H4" s="782"/>
      <c r="I4" s="782">
        <v>5745</v>
      </c>
      <c r="J4" s="782"/>
      <c r="K4" s="782"/>
      <c r="L4" s="782"/>
      <c r="M4" s="761"/>
      <c r="N4" s="761"/>
      <c r="O4" s="678"/>
      <c r="P4" s="675"/>
    </row>
    <row r="5" spans="1:31" ht="17.25" outlineLevel="1" thickBot="1">
      <c r="A5" s="739">
        <v>46024</v>
      </c>
      <c r="B5" s="674"/>
      <c r="C5" s="782"/>
      <c r="D5" s="782"/>
      <c r="E5" s="782"/>
      <c r="F5" s="782"/>
      <c r="G5" s="782"/>
      <c r="H5" s="782"/>
      <c r="I5" s="782"/>
      <c r="J5" s="782"/>
      <c r="K5" s="782"/>
      <c r="L5" s="782"/>
      <c r="M5" s="761"/>
      <c r="N5" s="761"/>
      <c r="O5" s="678"/>
      <c r="P5" s="675"/>
    </row>
    <row r="6" spans="1:31" outlineLevel="1">
      <c r="A6" s="739">
        <v>46025</v>
      </c>
      <c r="B6" s="674"/>
      <c r="C6" s="782"/>
      <c r="D6" s="782"/>
      <c r="E6" s="782"/>
      <c r="F6" s="782"/>
      <c r="G6" s="782"/>
      <c r="H6" s="782"/>
      <c r="I6" s="782"/>
      <c r="J6" s="782"/>
      <c r="K6" s="782"/>
      <c r="L6" s="782"/>
      <c r="M6" s="761"/>
      <c r="N6" s="761"/>
      <c r="O6" s="678"/>
      <c r="P6" s="675"/>
      <c r="R6" s="1188" t="s">
        <v>624</v>
      </c>
      <c r="S6" s="1191" t="s">
        <v>286</v>
      </c>
      <c r="T6" s="1192"/>
      <c r="U6" s="1192"/>
      <c r="V6" s="1192"/>
      <c r="W6" s="1193"/>
      <c r="X6" s="1191" t="s">
        <v>751</v>
      </c>
      <c r="Y6" s="1193"/>
      <c r="Z6" s="1191" t="s">
        <v>730</v>
      </c>
      <c r="AA6" s="1193"/>
      <c r="AB6" s="1191" t="s">
        <v>745</v>
      </c>
      <c r="AC6" s="1193"/>
      <c r="AD6" s="1191" t="s">
        <v>539</v>
      </c>
      <c r="AE6" s="1193"/>
    </row>
    <row r="7" spans="1:31" outlineLevel="1">
      <c r="A7" s="739">
        <v>46026</v>
      </c>
      <c r="B7" s="674"/>
      <c r="C7" s="782"/>
      <c r="D7" s="782"/>
      <c r="E7" s="782"/>
      <c r="F7" s="782"/>
      <c r="G7" s="782"/>
      <c r="H7" s="782"/>
      <c r="I7" s="782"/>
      <c r="J7" s="782">
        <v>25200</v>
      </c>
      <c r="K7" s="782"/>
      <c r="L7" s="782"/>
      <c r="M7" s="762"/>
      <c r="N7" s="761"/>
      <c r="O7" s="678"/>
      <c r="P7" s="675"/>
      <c r="R7" s="1189"/>
      <c r="S7" s="1194" t="s">
        <v>746</v>
      </c>
      <c r="T7" s="1195"/>
      <c r="U7" s="1196"/>
      <c r="V7" s="1197" t="s">
        <v>750</v>
      </c>
      <c r="W7" s="1188" t="s">
        <v>744</v>
      </c>
      <c r="X7" s="1199" t="s">
        <v>746</v>
      </c>
      <c r="Y7" s="1188" t="s">
        <v>744</v>
      </c>
      <c r="Z7" s="1199" t="s">
        <v>746</v>
      </c>
      <c r="AA7" s="1188" t="s">
        <v>744</v>
      </c>
      <c r="AB7" s="1199" t="s">
        <v>746</v>
      </c>
      <c r="AC7" s="1188" t="s">
        <v>744</v>
      </c>
      <c r="AD7" s="1199" t="s">
        <v>746</v>
      </c>
      <c r="AE7" s="1188" t="s">
        <v>744</v>
      </c>
    </row>
    <row r="8" spans="1:31" outlineLevel="1">
      <c r="A8" s="739">
        <v>46027</v>
      </c>
      <c r="B8" s="674"/>
      <c r="C8" s="782">
        <v>8562</v>
      </c>
      <c r="D8" s="782"/>
      <c r="E8" s="782"/>
      <c r="F8" s="782"/>
      <c r="G8" s="782"/>
      <c r="H8" s="782"/>
      <c r="I8" s="782">
        <v>6129</v>
      </c>
      <c r="J8" s="782"/>
      <c r="K8" s="782"/>
      <c r="L8" s="782"/>
      <c r="M8" s="762"/>
      <c r="N8" s="761"/>
      <c r="O8" s="678"/>
      <c r="P8" s="675"/>
      <c r="R8" s="1190"/>
      <c r="S8" s="704" t="s">
        <v>735</v>
      </c>
      <c r="T8" s="705" t="s">
        <v>736</v>
      </c>
      <c r="U8" s="705" t="s">
        <v>737</v>
      </c>
      <c r="V8" s="1198"/>
      <c r="W8" s="1190"/>
      <c r="X8" s="1200"/>
      <c r="Y8" s="1190"/>
      <c r="Z8" s="1200"/>
      <c r="AA8" s="1190"/>
      <c r="AB8" s="1200"/>
      <c r="AC8" s="1190"/>
      <c r="AD8" s="1200"/>
      <c r="AE8" s="1190"/>
    </row>
    <row r="9" spans="1:31" outlineLevel="1">
      <c r="A9" s="739">
        <v>46028</v>
      </c>
      <c r="B9" s="674"/>
      <c r="C9" s="782"/>
      <c r="D9" s="782"/>
      <c r="E9" s="782"/>
      <c r="F9" s="782"/>
      <c r="G9" s="782"/>
      <c r="H9" s="782"/>
      <c r="I9" s="782"/>
      <c r="J9" s="782"/>
      <c r="K9" s="782"/>
      <c r="L9" s="782"/>
      <c r="M9" s="762"/>
      <c r="N9" s="761"/>
      <c r="O9" s="678"/>
      <c r="P9" s="675"/>
      <c r="R9" s="692" t="s">
        <v>36</v>
      </c>
      <c r="S9" s="711">
        <f>+B35</f>
        <v>0</v>
      </c>
      <c r="T9" s="711">
        <f>+C35+E35</f>
        <v>111453</v>
      </c>
      <c r="U9" s="712">
        <f t="shared" ref="U9:U20" si="0">S9+T9</f>
        <v>111453</v>
      </c>
      <c r="V9" s="713">
        <f>IFERROR(T9/U9,0)</f>
        <v>1</v>
      </c>
      <c r="W9" s="714"/>
      <c r="X9" s="711">
        <f>+I35</f>
        <v>68676</v>
      </c>
      <c r="Y9" s="714"/>
      <c r="Z9" s="711">
        <f>+J35</f>
        <v>78900</v>
      </c>
      <c r="AA9" s="714"/>
      <c r="AB9" s="711"/>
      <c r="AC9" s="714"/>
      <c r="AD9" s="711"/>
      <c r="AE9" s="714"/>
    </row>
    <row r="10" spans="1:31" outlineLevel="1">
      <c r="A10" s="739">
        <v>46029</v>
      </c>
      <c r="B10" s="674"/>
      <c r="C10" s="782"/>
      <c r="D10" s="782"/>
      <c r="E10" s="782"/>
      <c r="F10" s="782"/>
      <c r="G10" s="782"/>
      <c r="H10" s="782"/>
      <c r="I10" s="782">
        <v>7236</v>
      </c>
      <c r="J10" s="782"/>
      <c r="K10" s="782"/>
      <c r="L10" s="782"/>
      <c r="M10" s="762"/>
      <c r="N10" s="761"/>
      <c r="O10" s="678"/>
      <c r="P10" s="675"/>
      <c r="R10" s="692" t="s">
        <v>738</v>
      </c>
      <c r="S10" s="711"/>
      <c r="T10" s="712"/>
      <c r="U10" s="712">
        <f t="shared" si="0"/>
        <v>0</v>
      </c>
      <c r="V10" s="713">
        <f t="shared" ref="V10:V20" si="1">IFERROR(T10/U10,0)</f>
        <v>0</v>
      </c>
      <c r="W10" s="714"/>
      <c r="X10" s="711"/>
      <c r="Y10" s="714"/>
      <c r="Z10" s="711"/>
      <c r="AA10" s="714"/>
      <c r="AB10" s="711"/>
      <c r="AC10" s="714"/>
      <c r="AD10" s="711"/>
      <c r="AE10" s="714"/>
    </row>
    <row r="11" spans="1:31" outlineLevel="1">
      <c r="A11" s="739">
        <v>46030</v>
      </c>
      <c r="B11" s="674"/>
      <c r="C11" s="782"/>
      <c r="D11" s="782"/>
      <c r="E11" s="782"/>
      <c r="F11" s="782"/>
      <c r="G11" s="782"/>
      <c r="H11" s="782"/>
      <c r="I11" s="782"/>
      <c r="J11" s="782"/>
      <c r="K11" s="782"/>
      <c r="L11" s="782"/>
      <c r="M11" s="762"/>
      <c r="N11" s="761"/>
      <c r="O11" s="678"/>
      <c r="P11" s="691"/>
      <c r="R11" s="692" t="s">
        <v>508</v>
      </c>
      <c r="S11" s="711"/>
      <c r="T11" s="712"/>
      <c r="U11" s="712">
        <f t="shared" si="0"/>
        <v>0</v>
      </c>
      <c r="V11" s="713">
        <f t="shared" si="1"/>
        <v>0</v>
      </c>
      <c r="W11" s="714"/>
      <c r="X11" s="711"/>
      <c r="Y11" s="714"/>
      <c r="Z11" s="711"/>
      <c r="AA11" s="714"/>
      <c r="AB11" s="711"/>
      <c r="AC11" s="714"/>
      <c r="AD11" s="711"/>
      <c r="AE11" s="714"/>
    </row>
    <row r="12" spans="1:31" outlineLevel="1">
      <c r="A12" s="739">
        <v>46031</v>
      </c>
      <c r="B12" s="674"/>
      <c r="C12" s="782"/>
      <c r="D12" s="782"/>
      <c r="E12" s="782"/>
      <c r="F12" s="782"/>
      <c r="G12" s="782"/>
      <c r="H12" s="782"/>
      <c r="I12" s="782"/>
      <c r="J12" s="782"/>
      <c r="K12" s="782"/>
      <c r="L12" s="782"/>
      <c r="M12" s="762"/>
      <c r="N12" s="761"/>
      <c r="O12" s="678"/>
      <c r="P12" s="691"/>
      <c r="R12" s="692" t="s">
        <v>727</v>
      </c>
      <c r="S12" s="711"/>
      <c r="T12" s="712"/>
      <c r="U12" s="712">
        <f t="shared" si="0"/>
        <v>0</v>
      </c>
      <c r="V12" s="713">
        <f t="shared" si="1"/>
        <v>0</v>
      </c>
      <c r="W12" s="714"/>
      <c r="X12" s="711"/>
      <c r="Y12" s="714"/>
      <c r="Z12" s="711"/>
      <c r="AA12" s="714"/>
      <c r="AB12" s="711"/>
      <c r="AC12" s="714"/>
      <c r="AD12" s="711"/>
      <c r="AE12" s="714"/>
    </row>
    <row r="13" spans="1:31" outlineLevel="1">
      <c r="A13" s="739">
        <v>46032</v>
      </c>
      <c r="B13" s="674"/>
      <c r="C13" s="782">
        <v>8549</v>
      </c>
      <c r="D13" s="782"/>
      <c r="E13" s="782"/>
      <c r="F13" s="782"/>
      <c r="G13" s="782"/>
      <c r="H13" s="782"/>
      <c r="I13" s="782"/>
      <c r="J13" s="782"/>
      <c r="K13" s="782"/>
      <c r="L13" s="782"/>
      <c r="M13" s="761"/>
      <c r="N13" s="761"/>
      <c r="O13" s="678"/>
      <c r="P13" s="691"/>
      <c r="R13" s="692" t="s">
        <v>728</v>
      </c>
      <c r="S13" s="711"/>
      <c r="T13" s="712"/>
      <c r="U13" s="712">
        <f t="shared" si="0"/>
        <v>0</v>
      </c>
      <c r="V13" s="713">
        <f t="shared" si="1"/>
        <v>0</v>
      </c>
      <c r="W13" s="714"/>
      <c r="X13" s="711"/>
      <c r="Y13" s="714"/>
      <c r="Z13" s="711"/>
      <c r="AA13" s="714"/>
      <c r="AB13" s="711"/>
      <c r="AC13" s="714"/>
      <c r="AD13" s="711"/>
      <c r="AE13" s="714"/>
    </row>
    <row r="14" spans="1:31" outlineLevel="1">
      <c r="A14" s="739">
        <v>46033</v>
      </c>
      <c r="B14" s="674"/>
      <c r="C14" s="782"/>
      <c r="D14" s="782"/>
      <c r="E14" s="782"/>
      <c r="F14" s="782"/>
      <c r="G14" s="782"/>
      <c r="H14" s="782"/>
      <c r="I14" s="782"/>
      <c r="J14" s="782"/>
      <c r="K14" s="782"/>
      <c r="L14" s="782"/>
      <c r="M14" s="762"/>
      <c r="N14" s="761"/>
      <c r="O14" s="678"/>
      <c r="P14" s="675"/>
      <c r="R14" s="692" t="s">
        <v>175</v>
      </c>
      <c r="S14" s="711"/>
      <c r="T14" s="712"/>
      <c r="U14" s="712">
        <f t="shared" si="0"/>
        <v>0</v>
      </c>
      <c r="V14" s="713">
        <f t="shared" si="1"/>
        <v>0</v>
      </c>
      <c r="W14" s="714"/>
      <c r="X14" s="711"/>
      <c r="Y14" s="714"/>
      <c r="Z14" s="711"/>
      <c r="AA14" s="714"/>
      <c r="AB14" s="711"/>
      <c r="AC14" s="714"/>
      <c r="AD14" s="711"/>
      <c r="AE14" s="714"/>
    </row>
    <row r="15" spans="1:31" outlineLevel="1">
      <c r="A15" s="739">
        <v>46034</v>
      </c>
      <c r="B15" s="674"/>
      <c r="C15" s="782"/>
      <c r="D15" s="782"/>
      <c r="E15" s="782"/>
      <c r="F15" s="782"/>
      <c r="G15" s="782"/>
      <c r="H15" s="782"/>
      <c r="I15" s="782">
        <v>8218</v>
      </c>
      <c r="J15" s="782"/>
      <c r="K15" s="782"/>
      <c r="L15" s="782"/>
      <c r="M15" s="762"/>
      <c r="N15" s="761"/>
      <c r="O15" s="678"/>
      <c r="P15" s="675"/>
      <c r="R15" s="692" t="s">
        <v>537</v>
      </c>
      <c r="S15" s="711"/>
      <c r="T15" s="712"/>
      <c r="U15" s="712">
        <f t="shared" si="0"/>
        <v>0</v>
      </c>
      <c r="V15" s="713">
        <f t="shared" si="1"/>
        <v>0</v>
      </c>
      <c r="W15" s="714"/>
      <c r="X15" s="711"/>
      <c r="Y15" s="714"/>
      <c r="Z15" s="711"/>
      <c r="AA15" s="714"/>
      <c r="AB15" s="711"/>
      <c r="AC15" s="714"/>
      <c r="AD15" s="711"/>
      <c r="AE15" s="714"/>
    </row>
    <row r="16" spans="1:31" outlineLevel="1">
      <c r="A16" s="739">
        <v>46035</v>
      </c>
      <c r="B16" s="674"/>
      <c r="C16" s="782"/>
      <c r="D16" s="782"/>
      <c r="E16" s="782">
        <v>8565</v>
      </c>
      <c r="F16" s="782"/>
      <c r="G16" s="782"/>
      <c r="H16" s="782"/>
      <c r="I16" s="782"/>
      <c r="J16" s="782"/>
      <c r="K16" s="782"/>
      <c r="L16" s="782"/>
      <c r="M16" s="762"/>
      <c r="N16" s="761"/>
      <c r="O16" s="678"/>
      <c r="P16" s="675"/>
      <c r="R16" s="692" t="s">
        <v>739</v>
      </c>
      <c r="S16" s="711"/>
      <c r="T16" s="712"/>
      <c r="U16" s="712">
        <f t="shared" si="0"/>
        <v>0</v>
      </c>
      <c r="V16" s="713">
        <f t="shared" si="1"/>
        <v>0</v>
      </c>
      <c r="W16" s="714"/>
      <c r="X16" s="711"/>
      <c r="Y16" s="714"/>
      <c r="Z16" s="711"/>
      <c r="AA16" s="714"/>
      <c r="AB16" s="711"/>
      <c r="AC16" s="714"/>
      <c r="AD16" s="711"/>
      <c r="AE16" s="714"/>
    </row>
    <row r="17" spans="1:31" outlineLevel="1">
      <c r="A17" s="739">
        <v>46036</v>
      </c>
      <c r="B17" s="674"/>
      <c r="C17" s="782"/>
      <c r="D17" s="782"/>
      <c r="E17" s="782"/>
      <c r="F17" s="782"/>
      <c r="G17" s="782"/>
      <c r="H17" s="782"/>
      <c r="I17" s="782"/>
      <c r="J17" s="782"/>
      <c r="K17" s="782"/>
      <c r="L17" s="782"/>
      <c r="M17" s="762"/>
      <c r="N17" s="761"/>
      <c r="O17" s="678"/>
      <c r="P17" s="675"/>
      <c r="R17" s="692" t="s">
        <v>740</v>
      </c>
      <c r="S17" s="711"/>
      <c r="T17" s="712"/>
      <c r="U17" s="712">
        <f t="shared" si="0"/>
        <v>0</v>
      </c>
      <c r="V17" s="713">
        <f t="shared" si="1"/>
        <v>0</v>
      </c>
      <c r="W17" s="714"/>
      <c r="X17" s="711"/>
      <c r="Y17" s="714"/>
      <c r="Z17" s="711"/>
      <c r="AA17" s="714"/>
      <c r="AB17" s="711"/>
      <c r="AC17" s="714"/>
      <c r="AD17" s="711"/>
      <c r="AE17" s="714"/>
    </row>
    <row r="18" spans="1:31" outlineLevel="1">
      <c r="A18" s="739">
        <v>46037</v>
      </c>
      <c r="B18" s="674"/>
      <c r="C18" s="782"/>
      <c r="D18" s="782"/>
      <c r="E18" s="782"/>
      <c r="F18" s="782"/>
      <c r="G18" s="782"/>
      <c r="H18" s="782"/>
      <c r="I18" s="782"/>
      <c r="J18" s="782"/>
      <c r="K18" s="782"/>
      <c r="L18" s="782"/>
      <c r="M18" s="762"/>
      <c r="N18" s="761"/>
      <c r="O18" s="678"/>
      <c r="P18" s="675"/>
      <c r="R18" s="692" t="s">
        <v>741</v>
      </c>
      <c r="S18" s="711"/>
      <c r="T18" s="712"/>
      <c r="U18" s="712">
        <f t="shared" si="0"/>
        <v>0</v>
      </c>
      <c r="V18" s="713">
        <f t="shared" si="1"/>
        <v>0</v>
      </c>
      <c r="W18" s="715"/>
      <c r="X18" s="711"/>
      <c r="Y18" s="715"/>
      <c r="Z18" s="711"/>
      <c r="AA18" s="715"/>
      <c r="AB18" s="711"/>
      <c r="AC18" s="715"/>
      <c r="AD18" s="711"/>
      <c r="AE18" s="715"/>
    </row>
    <row r="19" spans="1:31" outlineLevel="1">
      <c r="A19" s="739">
        <v>46038</v>
      </c>
      <c r="B19" s="674"/>
      <c r="C19" s="782"/>
      <c r="D19" s="782"/>
      <c r="E19" s="782"/>
      <c r="F19" s="782"/>
      <c r="G19" s="782"/>
      <c r="H19" s="782"/>
      <c r="I19" s="782">
        <v>4910</v>
      </c>
      <c r="J19" s="782">
        <v>27500</v>
      </c>
      <c r="K19" s="782"/>
      <c r="L19" s="782"/>
      <c r="M19" s="762"/>
      <c r="N19" s="761"/>
      <c r="O19" s="678"/>
      <c r="P19" s="675"/>
      <c r="R19" s="692" t="s">
        <v>538</v>
      </c>
      <c r="S19" s="711"/>
      <c r="T19" s="712"/>
      <c r="U19" s="712">
        <f t="shared" si="0"/>
        <v>0</v>
      </c>
      <c r="V19" s="713">
        <f t="shared" si="1"/>
        <v>0</v>
      </c>
      <c r="W19" s="715"/>
      <c r="X19" s="711"/>
      <c r="Y19" s="715"/>
      <c r="Z19" s="711"/>
      <c r="AA19" s="715"/>
      <c r="AB19" s="711"/>
      <c r="AC19" s="715"/>
      <c r="AD19" s="711"/>
      <c r="AE19" s="715"/>
    </row>
    <row r="20" spans="1:31" ht="17.25" outlineLevel="1" thickBot="1">
      <c r="A20" s="739">
        <v>46039</v>
      </c>
      <c r="B20" s="674"/>
      <c r="C20" s="782">
        <v>8483</v>
      </c>
      <c r="D20" s="782"/>
      <c r="E20" s="782"/>
      <c r="F20" s="782"/>
      <c r="G20" s="782"/>
      <c r="H20" s="782"/>
      <c r="I20" s="782">
        <v>7012</v>
      </c>
      <c r="J20" s="782"/>
      <c r="K20" s="782"/>
      <c r="L20" s="782"/>
      <c r="M20" s="761"/>
      <c r="N20" s="761"/>
      <c r="O20" s="678"/>
      <c r="P20" s="675"/>
      <c r="R20" s="692" t="s">
        <v>742</v>
      </c>
      <c r="S20" s="716"/>
      <c r="T20" s="717"/>
      <c r="U20" s="717">
        <f t="shared" si="0"/>
        <v>0</v>
      </c>
      <c r="V20" s="713">
        <f t="shared" si="1"/>
        <v>0</v>
      </c>
      <c r="W20" s="718"/>
      <c r="X20" s="716"/>
      <c r="Y20" s="718"/>
      <c r="Z20" s="716"/>
      <c r="AA20" s="718"/>
      <c r="AB20" s="716"/>
      <c r="AC20" s="718"/>
      <c r="AD20" s="716"/>
      <c r="AE20" s="718"/>
    </row>
    <row r="21" spans="1:31" outlineLevel="1">
      <c r="A21" s="739">
        <v>46040</v>
      </c>
      <c r="B21" s="674"/>
      <c r="C21" s="782"/>
      <c r="D21" s="782"/>
      <c r="E21" s="782">
        <v>8508</v>
      </c>
      <c r="F21" s="782"/>
      <c r="G21" s="782"/>
      <c r="H21" s="782"/>
      <c r="I21" s="782"/>
      <c r="J21" s="782"/>
      <c r="K21" s="782"/>
      <c r="L21" s="782"/>
      <c r="M21" s="762"/>
      <c r="N21" s="761"/>
      <c r="O21" s="678"/>
      <c r="P21" s="675"/>
      <c r="R21" s="701" t="s">
        <v>737</v>
      </c>
      <c r="S21" s="719">
        <f>SUM(S9:S20)</f>
        <v>0</v>
      </c>
      <c r="T21" s="719">
        <f>SUM(T9:T20)</f>
        <v>111453</v>
      </c>
      <c r="U21" s="719">
        <f>SUM(S21:T21)</f>
        <v>111453</v>
      </c>
      <c r="V21" s="720">
        <f>IFERROR(T21/U21,0)</f>
        <v>1</v>
      </c>
      <c r="W21" s="721"/>
      <c r="X21" s="719">
        <f>SUM(X9:X20)</f>
        <v>68676</v>
      </c>
      <c r="Y21" s="721"/>
      <c r="Z21" s="719">
        <f>SUM(Z9:Z20)</f>
        <v>78900</v>
      </c>
      <c r="AA21" s="721"/>
      <c r="AB21" s="719">
        <f>SUM(AB9:AB20)</f>
        <v>0</v>
      </c>
      <c r="AC21" s="721"/>
      <c r="AD21" s="719">
        <f>SUM(AD9:AD20)</f>
        <v>0</v>
      </c>
      <c r="AE21" s="721"/>
    </row>
    <row r="22" spans="1:31" outlineLevel="1">
      <c r="A22" s="739">
        <v>46041</v>
      </c>
      <c r="B22" s="674"/>
      <c r="C22" s="782"/>
      <c r="D22" s="782"/>
      <c r="E22" s="782">
        <v>8723</v>
      </c>
      <c r="F22" s="782"/>
      <c r="G22" s="782"/>
      <c r="H22" s="782"/>
      <c r="I22" s="782"/>
      <c r="J22" s="782"/>
      <c r="K22" s="782"/>
      <c r="L22" s="782"/>
      <c r="M22" s="762"/>
      <c r="N22" s="761"/>
      <c r="O22" s="678"/>
      <c r="P22" s="675"/>
    </row>
    <row r="23" spans="1:31" outlineLevel="1">
      <c r="A23" s="739">
        <v>46042</v>
      </c>
      <c r="B23" s="674"/>
      <c r="C23" s="782"/>
      <c r="D23" s="782"/>
      <c r="E23" s="782">
        <v>8454</v>
      </c>
      <c r="F23" s="782"/>
      <c r="G23" s="782"/>
      <c r="H23" s="782"/>
      <c r="I23" s="782"/>
      <c r="J23" s="782"/>
      <c r="K23" s="782"/>
      <c r="L23" s="782"/>
      <c r="M23" s="762"/>
      <c r="N23" s="761"/>
      <c r="O23" s="678"/>
      <c r="P23" s="675"/>
    </row>
    <row r="24" spans="1:31" outlineLevel="1">
      <c r="A24" s="739">
        <v>46043</v>
      </c>
      <c r="B24" s="674"/>
      <c r="C24" s="674"/>
      <c r="D24" s="674"/>
      <c r="E24" s="674"/>
      <c r="F24" s="674"/>
      <c r="G24" s="674"/>
      <c r="H24" s="674"/>
      <c r="I24" s="782">
        <v>8315</v>
      </c>
      <c r="J24" s="782"/>
      <c r="K24" s="674"/>
      <c r="L24" s="674"/>
      <c r="M24" s="762"/>
      <c r="N24" s="761"/>
      <c r="O24" s="678"/>
      <c r="P24" s="675"/>
    </row>
    <row r="25" spans="1:31" outlineLevel="1">
      <c r="A25" s="739">
        <v>46044</v>
      </c>
      <c r="B25" s="674"/>
      <c r="C25" s="782">
        <v>4577</v>
      </c>
      <c r="D25" s="782"/>
      <c r="E25" s="782">
        <v>8275</v>
      </c>
      <c r="F25" s="674"/>
      <c r="G25" s="673"/>
      <c r="H25" s="673"/>
      <c r="I25" s="782">
        <v>7443</v>
      </c>
      <c r="J25" s="782"/>
      <c r="K25" s="674"/>
      <c r="L25" s="674"/>
      <c r="M25" s="762"/>
      <c r="N25" s="761"/>
      <c r="O25" s="678"/>
      <c r="P25" s="675"/>
    </row>
    <row r="26" spans="1:31" outlineLevel="1">
      <c r="A26" s="739">
        <v>46045</v>
      </c>
      <c r="B26" s="674"/>
      <c r="C26" s="782"/>
      <c r="D26" s="782"/>
      <c r="E26" s="782">
        <v>8665</v>
      </c>
      <c r="F26" s="674"/>
      <c r="G26" s="674"/>
      <c r="H26" s="674"/>
      <c r="I26" s="782">
        <v>6250</v>
      </c>
      <c r="J26" s="782"/>
      <c r="K26" s="674"/>
      <c r="L26" s="674"/>
      <c r="M26" s="762"/>
      <c r="N26" s="761"/>
      <c r="O26" s="678"/>
      <c r="P26" s="675"/>
    </row>
    <row r="27" spans="1:31" outlineLevel="1">
      <c r="A27" s="739">
        <v>46046</v>
      </c>
      <c r="B27" s="674"/>
      <c r="C27" s="674"/>
      <c r="D27" s="674"/>
      <c r="E27" s="674"/>
      <c r="F27" s="674"/>
      <c r="G27" s="674"/>
      <c r="H27" s="674"/>
      <c r="I27" s="674"/>
      <c r="J27" s="674"/>
      <c r="K27" s="674"/>
      <c r="L27" s="674"/>
      <c r="M27" s="761"/>
      <c r="N27" s="761"/>
      <c r="O27" s="678"/>
      <c r="P27" s="675"/>
    </row>
    <row r="28" spans="1:31" outlineLevel="1">
      <c r="A28" s="739">
        <v>46047</v>
      </c>
      <c r="B28" s="674"/>
      <c r="C28" s="674"/>
      <c r="D28" s="674"/>
      <c r="E28" s="674"/>
      <c r="F28" s="673"/>
      <c r="G28" s="673"/>
      <c r="H28" s="673"/>
      <c r="I28" s="674"/>
      <c r="J28" s="782">
        <v>26200</v>
      </c>
      <c r="K28" s="674"/>
      <c r="L28" s="674"/>
      <c r="M28" s="762"/>
      <c r="N28" s="761"/>
      <c r="O28" s="678"/>
      <c r="P28" s="675"/>
    </row>
    <row r="29" spans="1:31" outlineLevel="1">
      <c r="A29" s="739">
        <v>46048</v>
      </c>
      <c r="B29" s="674"/>
      <c r="C29" s="782"/>
      <c r="D29" s="782"/>
      <c r="E29" s="782"/>
      <c r="F29" s="673"/>
      <c r="G29" s="673"/>
      <c r="H29" s="673"/>
      <c r="I29" s="674"/>
      <c r="J29" s="674"/>
      <c r="K29" s="674"/>
      <c r="L29" s="674"/>
      <c r="M29" s="762"/>
      <c r="N29" s="761"/>
      <c r="O29" s="678"/>
      <c r="P29" s="675"/>
    </row>
    <row r="30" spans="1:31" outlineLevel="1">
      <c r="A30" s="739">
        <v>46049</v>
      </c>
      <c r="B30" s="694"/>
      <c r="C30" s="783">
        <v>4603</v>
      </c>
      <c r="D30" s="783"/>
      <c r="E30" s="782">
        <v>8603</v>
      </c>
      <c r="F30" s="758"/>
      <c r="G30" s="758"/>
      <c r="H30" s="758"/>
      <c r="I30" s="674"/>
      <c r="J30" s="694"/>
      <c r="K30" s="694"/>
      <c r="L30" s="694"/>
      <c r="M30" s="763"/>
      <c r="N30" s="761"/>
      <c r="O30" s="678"/>
      <c r="P30" s="675"/>
    </row>
    <row r="31" spans="1:31" outlineLevel="1">
      <c r="A31" s="739">
        <v>46050</v>
      </c>
      <c r="B31" s="694"/>
      <c r="C31" s="694"/>
      <c r="D31" s="694"/>
      <c r="E31" s="674"/>
      <c r="F31" s="759"/>
      <c r="G31" s="759"/>
      <c r="H31" s="759"/>
      <c r="I31" s="695"/>
      <c r="J31" s="695"/>
      <c r="K31" s="695"/>
      <c r="L31" s="695"/>
      <c r="M31" s="764"/>
      <c r="N31" s="761"/>
      <c r="O31" s="678"/>
      <c r="P31" s="675"/>
    </row>
    <row r="32" spans="1:31" outlineLevel="1">
      <c r="A32" s="739">
        <v>46051</v>
      </c>
      <c r="B32" s="695"/>
      <c r="C32" s="695"/>
      <c r="D32" s="695"/>
      <c r="E32" s="674"/>
      <c r="F32" s="760"/>
      <c r="G32" s="760"/>
      <c r="H32" s="760"/>
      <c r="I32" s="674"/>
      <c r="J32" s="676"/>
      <c r="K32" s="676"/>
      <c r="L32" s="676"/>
      <c r="M32" s="764"/>
      <c r="N32" s="761"/>
      <c r="O32" s="678"/>
      <c r="P32" s="675"/>
    </row>
    <row r="33" spans="1:31" outlineLevel="1">
      <c r="A33" s="739">
        <v>46052</v>
      </c>
      <c r="B33" s="695"/>
      <c r="C33" s="695"/>
      <c r="D33" s="695"/>
      <c r="E33" s="783">
        <v>8639</v>
      </c>
      <c r="F33" s="785"/>
      <c r="G33" s="785"/>
      <c r="H33" s="785"/>
      <c r="I33" s="785">
        <v>7418</v>
      </c>
      <c r="J33" s="785"/>
      <c r="K33" s="676"/>
      <c r="L33" s="676"/>
      <c r="M33" s="764"/>
      <c r="N33" s="761"/>
      <c r="O33" s="678"/>
      <c r="P33" s="675"/>
    </row>
    <row r="34" spans="1:31" ht="17.25" outlineLevel="1" thickBot="1">
      <c r="A34" s="739">
        <v>46053</v>
      </c>
      <c r="B34" s="695"/>
      <c r="C34" s="695"/>
      <c r="D34" s="695"/>
      <c r="E34" s="695"/>
      <c r="F34" s="676"/>
      <c r="G34" s="676"/>
      <c r="H34" s="676"/>
      <c r="I34" s="676"/>
      <c r="J34" s="676"/>
      <c r="K34" s="676"/>
      <c r="L34" s="676"/>
      <c r="M34" s="761"/>
      <c r="N34" s="761"/>
      <c r="O34" s="678"/>
      <c r="P34" s="677"/>
    </row>
    <row r="35" spans="1:31" ht="17.25" outlineLevel="1" thickBot="1">
      <c r="A35" s="753" t="s">
        <v>737</v>
      </c>
      <c r="B35" s="688">
        <f t="shared" ref="B35:K35" si="2">SUM(B4:B34)</f>
        <v>0</v>
      </c>
      <c r="C35" s="688">
        <f t="shared" si="2"/>
        <v>34774</v>
      </c>
      <c r="D35" s="688">
        <f t="shared" si="2"/>
        <v>0</v>
      </c>
      <c r="E35" s="688">
        <f t="shared" si="2"/>
        <v>76679</v>
      </c>
      <c r="F35" s="688">
        <f t="shared" si="2"/>
        <v>0</v>
      </c>
      <c r="G35" s="688">
        <f t="shared" si="2"/>
        <v>0</v>
      </c>
      <c r="H35" s="688"/>
      <c r="I35" s="689">
        <f t="shared" si="2"/>
        <v>68676</v>
      </c>
      <c r="J35" s="689">
        <f t="shared" si="2"/>
        <v>78900</v>
      </c>
      <c r="K35" s="689">
        <f t="shared" si="2"/>
        <v>0</v>
      </c>
      <c r="L35" s="689"/>
      <c r="M35" s="765">
        <f>SUM(M5:M34)</f>
        <v>0</v>
      </c>
      <c r="N35" s="765">
        <f>SUM(N4:N34)</f>
        <v>0</v>
      </c>
      <c r="O35" s="757">
        <f>M35+N35</f>
        <v>0</v>
      </c>
      <c r="P35" s="690"/>
    </row>
    <row r="36" spans="1:31" outlineLevel="1" collapsed="1">
      <c r="A36" s="739">
        <v>46054</v>
      </c>
      <c r="B36" s="674"/>
      <c r="C36" s="782"/>
      <c r="D36" s="782"/>
      <c r="E36" s="782"/>
      <c r="F36" s="782"/>
      <c r="G36" s="782"/>
      <c r="H36" s="782"/>
      <c r="I36" s="782"/>
      <c r="J36" s="782"/>
      <c r="K36" s="674"/>
      <c r="L36" s="674"/>
      <c r="M36" s="755"/>
      <c r="N36" s="755"/>
      <c r="O36" s="678"/>
      <c r="P36" s="675"/>
    </row>
    <row r="37" spans="1:31" ht="17.25" outlineLevel="1" thickBot="1">
      <c r="A37" s="739">
        <v>46055</v>
      </c>
      <c r="B37" s="674"/>
      <c r="C37" s="782">
        <v>4526</v>
      </c>
      <c r="D37" s="782"/>
      <c r="E37" s="782"/>
      <c r="F37" s="782"/>
      <c r="G37" s="782"/>
      <c r="H37" s="782"/>
      <c r="I37" s="782"/>
      <c r="J37" s="782">
        <v>25666</v>
      </c>
      <c r="K37" s="674"/>
      <c r="L37" s="674"/>
      <c r="M37" s="767"/>
      <c r="N37" s="767"/>
      <c r="O37" s="678"/>
      <c r="P37" s="675"/>
    </row>
    <row r="38" spans="1:31" outlineLevel="1">
      <c r="A38" s="739">
        <v>46056</v>
      </c>
      <c r="B38" s="674"/>
      <c r="C38" s="782"/>
      <c r="D38" s="782"/>
      <c r="E38" s="782">
        <v>8544</v>
      </c>
      <c r="F38" s="782"/>
      <c r="G38" s="782"/>
      <c r="H38" s="782"/>
      <c r="I38" s="782"/>
      <c r="J38" s="782"/>
      <c r="K38" s="674"/>
      <c r="L38" s="674"/>
      <c r="M38" s="767"/>
      <c r="N38" s="767"/>
      <c r="O38" s="678"/>
      <c r="P38" s="675"/>
      <c r="R38" s="1188" t="s">
        <v>624</v>
      </c>
      <c r="S38" s="1191" t="s">
        <v>286</v>
      </c>
      <c r="T38" s="1192"/>
      <c r="U38" s="1192"/>
      <c r="V38" s="1192"/>
      <c r="W38" s="1193"/>
      <c r="X38" s="1191" t="s">
        <v>751</v>
      </c>
      <c r="Y38" s="1193"/>
      <c r="Z38" s="1191" t="s">
        <v>730</v>
      </c>
      <c r="AA38" s="1193"/>
      <c r="AB38" s="1191" t="s">
        <v>745</v>
      </c>
      <c r="AC38" s="1193"/>
      <c r="AD38" s="1191" t="s">
        <v>539</v>
      </c>
      <c r="AE38" s="1193"/>
    </row>
    <row r="39" spans="1:31" ht="16.5" customHeight="1" outlineLevel="1">
      <c r="A39" s="739">
        <v>46057</v>
      </c>
      <c r="B39" s="674"/>
      <c r="C39" s="782"/>
      <c r="D39" s="782"/>
      <c r="E39" s="782">
        <v>8777</v>
      </c>
      <c r="F39" s="782"/>
      <c r="G39" s="782"/>
      <c r="H39" s="782"/>
      <c r="I39" s="782"/>
      <c r="J39" s="782"/>
      <c r="K39" s="674"/>
      <c r="L39" s="674"/>
      <c r="M39" s="768"/>
      <c r="N39" s="767"/>
      <c r="O39" s="678"/>
      <c r="P39" s="675"/>
      <c r="R39" s="1189"/>
      <c r="S39" s="1194" t="s">
        <v>746</v>
      </c>
      <c r="T39" s="1195"/>
      <c r="U39" s="1196"/>
      <c r="V39" s="1197" t="s">
        <v>750</v>
      </c>
      <c r="W39" s="1188" t="s">
        <v>744</v>
      </c>
      <c r="X39" s="1199" t="s">
        <v>746</v>
      </c>
      <c r="Y39" s="1188" t="s">
        <v>744</v>
      </c>
      <c r="Z39" s="1199" t="s">
        <v>746</v>
      </c>
      <c r="AA39" s="1188" t="s">
        <v>744</v>
      </c>
      <c r="AB39" s="1199" t="s">
        <v>746</v>
      </c>
      <c r="AC39" s="1188" t="s">
        <v>744</v>
      </c>
      <c r="AD39" s="1199" t="s">
        <v>746</v>
      </c>
      <c r="AE39" s="1188" t="s">
        <v>744</v>
      </c>
    </row>
    <row r="40" spans="1:31" outlineLevel="1">
      <c r="A40" s="739">
        <v>46058</v>
      </c>
      <c r="B40" s="674"/>
      <c r="C40" s="782"/>
      <c r="D40" s="782"/>
      <c r="E40" s="782"/>
      <c r="F40" s="782"/>
      <c r="G40" s="782"/>
      <c r="H40" s="782"/>
      <c r="I40" s="782"/>
      <c r="J40" s="782"/>
      <c r="K40" s="674"/>
      <c r="L40" s="674"/>
      <c r="M40" s="768"/>
      <c r="N40" s="767"/>
      <c r="O40" s="678"/>
      <c r="P40" s="675"/>
      <c r="R40" s="1190"/>
      <c r="S40" s="704" t="s">
        <v>735</v>
      </c>
      <c r="T40" s="705" t="s">
        <v>736</v>
      </c>
      <c r="U40" s="705" t="s">
        <v>737</v>
      </c>
      <c r="V40" s="1198"/>
      <c r="W40" s="1190"/>
      <c r="X40" s="1200"/>
      <c r="Y40" s="1190"/>
      <c r="Z40" s="1200"/>
      <c r="AA40" s="1190"/>
      <c r="AB40" s="1200"/>
      <c r="AC40" s="1190"/>
      <c r="AD40" s="1200"/>
      <c r="AE40" s="1190"/>
    </row>
    <row r="41" spans="1:31" outlineLevel="1">
      <c r="A41" s="739">
        <v>46059</v>
      </c>
      <c r="B41" s="674"/>
      <c r="C41" s="782"/>
      <c r="D41" s="782"/>
      <c r="E41" s="782"/>
      <c r="F41" s="782"/>
      <c r="G41" s="782"/>
      <c r="H41" s="782"/>
      <c r="I41" s="782"/>
      <c r="J41" s="782"/>
      <c r="K41" s="674"/>
      <c r="L41" s="674"/>
      <c r="M41" s="768"/>
      <c r="N41" s="767"/>
      <c r="O41" s="678"/>
      <c r="P41" s="675"/>
      <c r="R41" s="692" t="s">
        <v>36</v>
      </c>
      <c r="S41" s="711">
        <v>0</v>
      </c>
      <c r="T41" s="712">
        <v>111453</v>
      </c>
      <c r="U41" s="712">
        <v>111453</v>
      </c>
      <c r="V41" s="713">
        <v>1</v>
      </c>
      <c r="W41" s="714"/>
      <c r="X41" s="711">
        <v>68676</v>
      </c>
      <c r="Y41" s="714"/>
      <c r="Z41" s="711">
        <v>78900</v>
      </c>
      <c r="AA41" s="714"/>
      <c r="AB41" s="711"/>
      <c r="AC41" s="714"/>
      <c r="AD41" s="711"/>
      <c r="AE41" s="714"/>
    </row>
    <row r="42" spans="1:31" outlineLevel="1">
      <c r="A42" s="739">
        <v>46060</v>
      </c>
      <c r="B42" s="674"/>
      <c r="C42" s="782"/>
      <c r="D42" s="782"/>
      <c r="E42" s="782"/>
      <c r="F42" s="782"/>
      <c r="G42" s="782"/>
      <c r="H42" s="782"/>
      <c r="I42" s="782"/>
      <c r="J42" s="782"/>
      <c r="K42" s="674"/>
      <c r="L42" s="674"/>
      <c r="M42" s="768"/>
      <c r="N42" s="767"/>
      <c r="O42" s="678"/>
      <c r="P42" s="675"/>
      <c r="R42" s="692" t="s">
        <v>738</v>
      </c>
      <c r="S42" s="711"/>
      <c r="T42" s="712">
        <f>+C64+E64</f>
        <v>139595</v>
      </c>
      <c r="U42" s="712">
        <f t="shared" ref="U42:U52" si="3">S42+T42</f>
        <v>139595</v>
      </c>
      <c r="V42" s="713">
        <f t="shared" ref="V42:V52" si="4">IFERROR(T42/U42,0)</f>
        <v>1</v>
      </c>
      <c r="W42" s="714"/>
      <c r="X42" s="711">
        <f>+I64</f>
        <v>33926</v>
      </c>
      <c r="Y42" s="714"/>
      <c r="Z42" s="711">
        <f>+J64</f>
        <v>101366</v>
      </c>
      <c r="AA42" s="714"/>
      <c r="AB42" s="711"/>
      <c r="AC42" s="714"/>
      <c r="AD42" s="711"/>
      <c r="AE42" s="714"/>
    </row>
    <row r="43" spans="1:31" outlineLevel="1">
      <c r="A43" s="739">
        <v>46061</v>
      </c>
      <c r="B43" s="674"/>
      <c r="C43" s="782">
        <v>8941</v>
      </c>
      <c r="D43" s="782"/>
      <c r="E43" s="782"/>
      <c r="F43" s="782"/>
      <c r="G43" s="782"/>
      <c r="H43" s="782"/>
      <c r="I43" s="782"/>
      <c r="J43" s="782">
        <v>25500</v>
      </c>
      <c r="K43" s="674"/>
      <c r="L43" s="674"/>
      <c r="M43" s="768"/>
      <c r="N43" s="767"/>
      <c r="O43" s="678"/>
      <c r="P43" s="691"/>
      <c r="R43" s="692" t="s">
        <v>508</v>
      </c>
      <c r="S43" s="711"/>
      <c r="T43" s="712"/>
      <c r="U43" s="712">
        <f t="shared" si="3"/>
        <v>0</v>
      </c>
      <c r="V43" s="713">
        <f t="shared" si="4"/>
        <v>0</v>
      </c>
      <c r="W43" s="714"/>
      <c r="X43" s="711"/>
      <c r="Y43" s="714"/>
      <c r="Z43" s="711"/>
      <c r="AA43" s="714"/>
      <c r="AB43" s="711"/>
      <c r="AC43" s="714"/>
      <c r="AD43" s="711"/>
      <c r="AE43" s="714"/>
    </row>
    <row r="44" spans="1:31" outlineLevel="1">
      <c r="A44" s="739">
        <v>46062</v>
      </c>
      <c r="B44" s="674"/>
      <c r="C44" s="782"/>
      <c r="D44" s="782"/>
      <c r="E44" s="782">
        <v>4825</v>
      </c>
      <c r="F44" s="782"/>
      <c r="G44" s="782"/>
      <c r="H44" s="782"/>
      <c r="I44" s="782"/>
      <c r="J44" s="782"/>
      <c r="K44" s="674"/>
      <c r="L44" s="674"/>
      <c r="M44" s="768"/>
      <c r="N44" s="767"/>
      <c r="O44" s="678"/>
      <c r="P44" s="691"/>
      <c r="R44" s="692" t="s">
        <v>727</v>
      </c>
      <c r="S44" s="711"/>
      <c r="T44" s="712"/>
      <c r="U44" s="712">
        <f t="shared" si="3"/>
        <v>0</v>
      </c>
      <c r="V44" s="713">
        <f t="shared" si="4"/>
        <v>0</v>
      </c>
      <c r="W44" s="714"/>
      <c r="X44" s="711"/>
      <c r="Y44" s="714"/>
      <c r="Z44" s="711"/>
      <c r="AA44" s="714"/>
      <c r="AB44" s="711"/>
      <c r="AC44" s="714"/>
      <c r="AD44" s="711"/>
      <c r="AE44" s="714"/>
    </row>
    <row r="45" spans="1:31" outlineLevel="1">
      <c r="A45" s="739">
        <v>46063</v>
      </c>
      <c r="B45" s="674"/>
      <c r="C45" s="782"/>
      <c r="D45" s="782"/>
      <c r="E45" s="782">
        <v>8927</v>
      </c>
      <c r="F45" s="782"/>
      <c r="G45" s="782"/>
      <c r="H45" s="782"/>
      <c r="I45" s="782"/>
      <c r="J45" s="782"/>
      <c r="K45" s="674"/>
      <c r="L45" s="674"/>
      <c r="M45" s="767"/>
      <c r="N45" s="767"/>
      <c r="O45" s="678"/>
      <c r="P45" s="691"/>
      <c r="R45" s="692" t="s">
        <v>728</v>
      </c>
      <c r="S45" s="711"/>
      <c r="T45" s="712"/>
      <c r="U45" s="712">
        <f t="shared" si="3"/>
        <v>0</v>
      </c>
      <c r="V45" s="713">
        <f t="shared" si="4"/>
        <v>0</v>
      </c>
      <c r="W45" s="714"/>
      <c r="X45" s="711"/>
      <c r="Y45" s="714"/>
      <c r="Z45" s="711"/>
      <c r="AA45" s="714"/>
      <c r="AB45" s="711"/>
      <c r="AC45" s="714"/>
      <c r="AD45" s="711"/>
      <c r="AE45" s="714"/>
    </row>
    <row r="46" spans="1:31" outlineLevel="1">
      <c r="A46" s="739">
        <v>46064</v>
      </c>
      <c r="B46" s="674"/>
      <c r="C46" s="782"/>
      <c r="D46" s="782"/>
      <c r="E46" s="782">
        <v>8535</v>
      </c>
      <c r="F46" s="782"/>
      <c r="G46" s="782"/>
      <c r="H46" s="782"/>
      <c r="I46" s="782"/>
      <c r="J46" s="782"/>
      <c r="K46" s="674"/>
      <c r="L46" s="674"/>
      <c r="M46" s="768"/>
      <c r="N46" s="767"/>
      <c r="O46" s="678"/>
      <c r="P46" s="675"/>
      <c r="R46" s="692" t="s">
        <v>175</v>
      </c>
      <c r="S46" s="711"/>
      <c r="T46" s="712"/>
      <c r="U46" s="712">
        <f t="shared" si="3"/>
        <v>0</v>
      </c>
      <c r="V46" s="713">
        <f t="shared" si="4"/>
        <v>0</v>
      </c>
      <c r="W46" s="714"/>
      <c r="X46" s="711"/>
      <c r="Y46" s="714"/>
      <c r="Z46" s="711"/>
      <c r="AA46" s="714"/>
      <c r="AB46" s="711"/>
      <c r="AC46" s="714"/>
      <c r="AD46" s="711"/>
      <c r="AE46" s="714"/>
    </row>
    <row r="47" spans="1:31" outlineLevel="1">
      <c r="A47" s="739">
        <v>46065</v>
      </c>
      <c r="B47" s="674"/>
      <c r="C47" s="782"/>
      <c r="D47" s="782"/>
      <c r="E47" s="782">
        <v>8242</v>
      </c>
      <c r="F47" s="782"/>
      <c r="G47" s="782"/>
      <c r="H47" s="782"/>
      <c r="I47" s="782"/>
      <c r="J47" s="782"/>
      <c r="K47" s="674"/>
      <c r="L47" s="674"/>
      <c r="M47" s="768"/>
      <c r="N47" s="767"/>
      <c r="O47" s="678"/>
      <c r="P47" s="675"/>
      <c r="R47" s="692" t="s">
        <v>537</v>
      </c>
      <c r="S47" s="711"/>
      <c r="T47" s="712"/>
      <c r="U47" s="712">
        <f t="shared" si="3"/>
        <v>0</v>
      </c>
      <c r="V47" s="713">
        <f t="shared" si="4"/>
        <v>0</v>
      </c>
      <c r="W47" s="714"/>
      <c r="X47" s="711"/>
      <c r="Y47" s="714"/>
      <c r="Z47" s="711"/>
      <c r="AA47" s="714"/>
      <c r="AB47" s="711"/>
      <c r="AC47" s="714"/>
      <c r="AD47" s="711"/>
      <c r="AE47" s="714"/>
    </row>
    <row r="48" spans="1:31" outlineLevel="1">
      <c r="A48" s="739">
        <v>46066</v>
      </c>
      <c r="B48" s="674"/>
      <c r="C48" s="782">
        <v>8780</v>
      </c>
      <c r="D48" s="782"/>
      <c r="E48" s="782"/>
      <c r="F48" s="782"/>
      <c r="G48" s="782"/>
      <c r="H48" s="782"/>
      <c r="I48" s="782"/>
      <c r="J48" s="782"/>
      <c r="K48" s="674"/>
      <c r="L48" s="674"/>
      <c r="M48" s="768"/>
      <c r="N48" s="767"/>
      <c r="O48" s="678"/>
      <c r="P48" s="675"/>
      <c r="R48" s="692" t="s">
        <v>739</v>
      </c>
      <c r="S48" s="711"/>
      <c r="T48" s="712"/>
      <c r="U48" s="712">
        <f t="shared" si="3"/>
        <v>0</v>
      </c>
      <c r="V48" s="713">
        <f t="shared" si="4"/>
        <v>0</v>
      </c>
      <c r="W48" s="714"/>
      <c r="X48" s="711"/>
      <c r="Y48" s="714"/>
      <c r="Z48" s="711"/>
      <c r="AA48" s="714"/>
      <c r="AB48" s="711"/>
      <c r="AC48" s="714"/>
      <c r="AD48" s="711"/>
      <c r="AE48" s="714"/>
    </row>
    <row r="49" spans="1:31" outlineLevel="1">
      <c r="A49" s="739">
        <v>46067</v>
      </c>
      <c r="B49" s="674"/>
      <c r="C49" s="782"/>
      <c r="D49" s="782"/>
      <c r="E49" s="782">
        <v>8541</v>
      </c>
      <c r="F49" s="782"/>
      <c r="G49" s="782"/>
      <c r="H49" s="782"/>
      <c r="I49" s="782">
        <v>7533</v>
      </c>
      <c r="J49" s="782"/>
      <c r="K49" s="674"/>
      <c r="L49" s="674"/>
      <c r="M49" s="768"/>
      <c r="N49" s="767"/>
      <c r="O49" s="678"/>
      <c r="P49" s="675"/>
      <c r="R49" s="692" t="s">
        <v>740</v>
      </c>
      <c r="S49" s="711"/>
      <c r="T49" s="712"/>
      <c r="U49" s="712">
        <f t="shared" si="3"/>
        <v>0</v>
      </c>
      <c r="V49" s="713">
        <f t="shared" si="4"/>
        <v>0</v>
      </c>
      <c r="W49" s="714"/>
      <c r="X49" s="711"/>
      <c r="Y49" s="714"/>
      <c r="Z49" s="711"/>
      <c r="AA49" s="714"/>
      <c r="AB49" s="711"/>
      <c r="AC49" s="714"/>
      <c r="AD49" s="711"/>
      <c r="AE49" s="714"/>
    </row>
    <row r="50" spans="1:31" outlineLevel="1">
      <c r="A50" s="739">
        <v>46068</v>
      </c>
      <c r="B50" s="674"/>
      <c r="C50" s="782"/>
      <c r="D50" s="782"/>
      <c r="E50" s="782">
        <v>8740</v>
      </c>
      <c r="F50" s="782"/>
      <c r="G50" s="782"/>
      <c r="H50" s="782"/>
      <c r="I50" s="782">
        <v>8050</v>
      </c>
      <c r="J50" s="782"/>
      <c r="K50" s="674"/>
      <c r="L50" s="674"/>
      <c r="M50" s="768"/>
      <c r="N50" s="767"/>
      <c r="O50" s="678"/>
      <c r="P50" s="675"/>
      <c r="R50" s="692" t="s">
        <v>741</v>
      </c>
      <c r="S50" s="711"/>
      <c r="T50" s="712"/>
      <c r="U50" s="712">
        <f t="shared" si="3"/>
        <v>0</v>
      </c>
      <c r="V50" s="713">
        <f t="shared" si="4"/>
        <v>0</v>
      </c>
      <c r="W50" s="715"/>
      <c r="X50" s="711"/>
      <c r="Y50" s="715"/>
      <c r="Z50" s="711"/>
      <c r="AA50" s="715"/>
      <c r="AB50" s="711"/>
      <c r="AC50" s="715"/>
      <c r="AD50" s="711"/>
      <c r="AE50" s="715"/>
    </row>
    <row r="51" spans="1:31" outlineLevel="1">
      <c r="A51" s="739">
        <v>46069</v>
      </c>
      <c r="B51" s="674"/>
      <c r="C51" s="782"/>
      <c r="D51" s="782"/>
      <c r="E51" s="782"/>
      <c r="F51" s="782"/>
      <c r="G51" s="782"/>
      <c r="H51" s="782"/>
      <c r="I51" s="782"/>
      <c r="J51" s="782"/>
      <c r="K51" s="674"/>
      <c r="L51" s="674"/>
      <c r="M51" s="768"/>
      <c r="N51" s="767"/>
      <c r="O51" s="678"/>
      <c r="P51" s="675"/>
      <c r="R51" s="692" t="s">
        <v>538</v>
      </c>
      <c r="S51" s="711"/>
      <c r="T51" s="712"/>
      <c r="U51" s="712">
        <f t="shared" si="3"/>
        <v>0</v>
      </c>
      <c r="V51" s="713">
        <f t="shared" si="4"/>
        <v>0</v>
      </c>
      <c r="W51" s="715"/>
      <c r="X51" s="711"/>
      <c r="Y51" s="715"/>
      <c r="Z51" s="711"/>
      <c r="AA51" s="715"/>
      <c r="AB51" s="711"/>
      <c r="AC51" s="715"/>
      <c r="AD51" s="711"/>
      <c r="AE51" s="715"/>
    </row>
    <row r="52" spans="1:31" ht="17.25" outlineLevel="1" thickBot="1">
      <c r="A52" s="739">
        <v>46070</v>
      </c>
      <c r="B52" s="674"/>
      <c r="C52" s="782"/>
      <c r="D52" s="782"/>
      <c r="E52" s="782"/>
      <c r="F52" s="782"/>
      <c r="G52" s="782"/>
      <c r="H52" s="782"/>
      <c r="I52" s="782"/>
      <c r="J52" s="782"/>
      <c r="K52" s="674"/>
      <c r="L52" s="674"/>
      <c r="M52" s="768"/>
      <c r="N52" s="767"/>
      <c r="O52" s="678"/>
      <c r="P52" s="675"/>
      <c r="R52" s="692" t="s">
        <v>742</v>
      </c>
      <c r="S52" s="716"/>
      <c r="T52" s="717"/>
      <c r="U52" s="717">
        <f t="shared" si="3"/>
        <v>0</v>
      </c>
      <c r="V52" s="713">
        <f t="shared" si="4"/>
        <v>0</v>
      </c>
      <c r="W52" s="718"/>
      <c r="X52" s="716"/>
      <c r="Y52" s="718"/>
      <c r="Z52" s="716"/>
      <c r="AA52" s="718"/>
      <c r="AB52" s="716"/>
      <c r="AC52" s="718"/>
      <c r="AD52" s="716"/>
      <c r="AE52" s="718"/>
    </row>
    <row r="53" spans="1:31" outlineLevel="1">
      <c r="A53" s="739">
        <v>46071</v>
      </c>
      <c r="B53" s="674"/>
      <c r="C53" s="782"/>
      <c r="D53" s="782"/>
      <c r="E53" s="782"/>
      <c r="F53" s="782"/>
      <c r="G53" s="782"/>
      <c r="H53" s="782"/>
      <c r="I53" s="782"/>
      <c r="J53" s="782">
        <v>25000</v>
      </c>
      <c r="K53" s="674"/>
      <c r="L53" s="674"/>
      <c r="M53" s="767"/>
      <c r="N53" s="767"/>
      <c r="O53" s="678"/>
      <c r="P53" s="675"/>
      <c r="R53" s="701" t="s">
        <v>737</v>
      </c>
      <c r="S53" s="719">
        <f>SUM(S41:S52)</f>
        <v>0</v>
      </c>
      <c r="T53" s="719">
        <f>SUM(T41:T52)</f>
        <v>251048</v>
      </c>
      <c r="U53" s="719">
        <f>SUM(S53:T53)</f>
        <v>251048</v>
      </c>
      <c r="V53" s="720">
        <f>IFERROR(T53/U53,0)</f>
        <v>1</v>
      </c>
      <c r="W53" s="721"/>
      <c r="X53" s="719">
        <f>SUM(X41:X52)</f>
        <v>102602</v>
      </c>
      <c r="Y53" s="721"/>
      <c r="Z53" s="719">
        <f>SUM(Z41:Z52)</f>
        <v>180266</v>
      </c>
      <c r="AA53" s="721"/>
      <c r="AB53" s="719">
        <f>SUM(AB41:AB52)</f>
        <v>0</v>
      </c>
      <c r="AC53" s="721"/>
      <c r="AD53" s="719">
        <f>SUM(AD41:AD52)</f>
        <v>0</v>
      </c>
      <c r="AE53" s="721"/>
    </row>
    <row r="54" spans="1:31" outlineLevel="1">
      <c r="A54" s="739">
        <v>46072</v>
      </c>
      <c r="B54" s="674"/>
      <c r="C54" s="782"/>
      <c r="D54" s="782"/>
      <c r="E54" s="782">
        <v>8473</v>
      </c>
      <c r="F54" s="782"/>
      <c r="G54" s="782"/>
      <c r="H54" s="782"/>
      <c r="I54" s="782">
        <f>6154+4847</f>
        <v>11001</v>
      </c>
      <c r="J54" s="782"/>
      <c r="K54" s="674"/>
      <c r="L54" s="674"/>
      <c r="M54" s="768"/>
      <c r="N54" s="767"/>
      <c r="O54" s="678"/>
      <c r="P54" s="675"/>
    </row>
    <row r="55" spans="1:31" outlineLevel="1">
      <c r="A55" s="739">
        <v>46073</v>
      </c>
      <c r="B55" s="674"/>
      <c r="C55" s="782"/>
      <c r="D55" s="782"/>
      <c r="E55" s="782">
        <v>8491</v>
      </c>
      <c r="F55" s="782"/>
      <c r="G55" s="782"/>
      <c r="H55" s="782"/>
      <c r="I55" s="782"/>
      <c r="J55" s="782"/>
      <c r="K55" s="674"/>
      <c r="L55" s="674"/>
      <c r="M55" s="768"/>
      <c r="N55" s="767"/>
      <c r="O55" s="678"/>
      <c r="P55" s="675"/>
    </row>
    <row r="56" spans="1:31" outlineLevel="1">
      <c r="A56" s="739">
        <v>46074</v>
      </c>
      <c r="B56" s="674"/>
      <c r="C56" s="782"/>
      <c r="D56" s="782"/>
      <c r="E56" s="782">
        <v>8711</v>
      </c>
      <c r="F56" s="782"/>
      <c r="G56" s="782"/>
      <c r="H56" s="782"/>
      <c r="I56" s="782"/>
      <c r="J56" s="782"/>
      <c r="K56" s="674"/>
      <c r="L56" s="674"/>
      <c r="M56" s="768"/>
      <c r="N56" s="767"/>
      <c r="O56" s="678"/>
      <c r="P56" s="675"/>
    </row>
    <row r="57" spans="1:31" outlineLevel="1">
      <c r="A57" s="739">
        <v>46075</v>
      </c>
      <c r="B57" s="674"/>
      <c r="C57" s="782">
        <v>8931</v>
      </c>
      <c r="D57" s="782"/>
      <c r="E57" s="782"/>
      <c r="F57" s="782"/>
      <c r="G57" s="782"/>
      <c r="H57" s="782"/>
      <c r="I57" s="782"/>
      <c r="J57" s="782"/>
      <c r="K57" s="674"/>
      <c r="L57" s="674"/>
      <c r="M57" s="768"/>
      <c r="N57" s="767"/>
      <c r="O57" s="678"/>
      <c r="P57" s="675"/>
    </row>
    <row r="58" spans="1:31" outlineLevel="1">
      <c r="A58" s="739">
        <v>46076</v>
      </c>
      <c r="B58" s="674"/>
      <c r="C58" s="782"/>
      <c r="D58" s="782"/>
      <c r="E58" s="782"/>
      <c r="F58" s="782"/>
      <c r="G58" s="782"/>
      <c r="H58" s="782"/>
      <c r="I58" s="782"/>
      <c r="J58" s="782"/>
      <c r="K58" s="674"/>
      <c r="L58" s="674"/>
      <c r="M58" s="768"/>
      <c r="N58" s="767"/>
      <c r="O58" s="678"/>
      <c r="P58" s="675"/>
    </row>
    <row r="59" spans="1:31" outlineLevel="1">
      <c r="A59" s="739">
        <v>46077</v>
      </c>
      <c r="B59" s="674"/>
      <c r="C59" s="782"/>
      <c r="D59" s="782"/>
      <c r="E59" s="782"/>
      <c r="F59" s="782"/>
      <c r="G59" s="782"/>
      <c r="H59" s="782"/>
      <c r="I59" s="782"/>
      <c r="J59" s="782"/>
      <c r="K59" s="674"/>
      <c r="L59" s="674"/>
      <c r="M59" s="767"/>
      <c r="N59" s="767"/>
      <c r="O59" s="678"/>
      <c r="P59" s="675"/>
    </row>
    <row r="60" spans="1:31" outlineLevel="1">
      <c r="A60" s="739">
        <v>46078</v>
      </c>
      <c r="B60" s="674"/>
      <c r="C60" s="782"/>
      <c r="D60" s="782"/>
      <c r="E60" s="782"/>
      <c r="F60" s="782"/>
      <c r="G60" s="782"/>
      <c r="H60" s="782"/>
      <c r="I60" s="782"/>
      <c r="J60" s="782">
        <v>25200</v>
      </c>
      <c r="K60" s="674"/>
      <c r="L60" s="674"/>
      <c r="M60" s="768"/>
      <c r="N60" s="767"/>
      <c r="O60" s="678"/>
      <c r="P60" s="675"/>
    </row>
    <row r="61" spans="1:31" outlineLevel="1">
      <c r="A61" s="739">
        <v>46079</v>
      </c>
      <c r="B61" s="674"/>
      <c r="C61" s="782">
        <v>8787</v>
      </c>
      <c r="D61" s="782"/>
      <c r="E61" s="782"/>
      <c r="F61" s="782"/>
      <c r="G61" s="782"/>
      <c r="H61" s="782"/>
      <c r="I61" s="782">
        <v>7342</v>
      </c>
      <c r="J61" s="782"/>
      <c r="K61" s="674"/>
      <c r="L61" s="674"/>
      <c r="M61" s="768"/>
      <c r="N61" s="767"/>
      <c r="O61" s="678"/>
      <c r="P61" s="675"/>
    </row>
    <row r="62" spans="1:31" outlineLevel="1">
      <c r="A62" s="739">
        <v>46080</v>
      </c>
      <c r="B62" s="694"/>
      <c r="C62" s="783"/>
      <c r="D62" s="783"/>
      <c r="E62" s="782">
        <v>8824</v>
      </c>
      <c r="F62" s="783"/>
      <c r="G62" s="783"/>
      <c r="H62" s="783"/>
      <c r="I62" s="782"/>
      <c r="J62" s="783"/>
      <c r="K62" s="694"/>
      <c r="L62" s="694"/>
      <c r="M62" s="769"/>
      <c r="N62" s="767"/>
      <c r="O62" s="678"/>
      <c r="P62" s="675"/>
    </row>
    <row r="63" spans="1:31" ht="17.25" outlineLevel="1" thickBot="1">
      <c r="A63" s="739">
        <v>46081</v>
      </c>
      <c r="B63" s="694"/>
      <c r="C63" s="783"/>
      <c r="D63" s="783"/>
      <c r="E63" s="782"/>
      <c r="F63" s="784"/>
      <c r="G63" s="784"/>
      <c r="H63" s="784"/>
      <c r="I63" s="784"/>
      <c r="J63" s="784"/>
      <c r="K63" s="695"/>
      <c r="L63" s="695"/>
      <c r="M63" s="770"/>
      <c r="N63" s="767"/>
      <c r="O63" s="678"/>
      <c r="P63" s="675"/>
    </row>
    <row r="64" spans="1:31" ht="17.25" outlineLevel="1" thickBot="1">
      <c r="A64" s="753" t="s">
        <v>737</v>
      </c>
      <c r="B64" s="688">
        <f t="shared" ref="B64:K64" si="5">SUM(B36:B63)</f>
        <v>0</v>
      </c>
      <c r="C64" s="1094">
        <f t="shared" si="5"/>
        <v>39965</v>
      </c>
      <c r="D64" s="1094">
        <f t="shared" si="5"/>
        <v>0</v>
      </c>
      <c r="E64" s="1094">
        <f t="shared" si="5"/>
        <v>99630</v>
      </c>
      <c r="F64" s="1094">
        <f t="shared" si="5"/>
        <v>0</v>
      </c>
      <c r="G64" s="1094">
        <f t="shared" si="5"/>
        <v>0</v>
      </c>
      <c r="H64" s="1094">
        <f t="shared" si="5"/>
        <v>0</v>
      </c>
      <c r="I64" s="1095">
        <f t="shared" si="5"/>
        <v>33926</v>
      </c>
      <c r="J64" s="1095">
        <f t="shared" si="5"/>
        <v>101366</v>
      </c>
      <c r="K64" s="689">
        <f t="shared" si="5"/>
        <v>0</v>
      </c>
      <c r="L64" s="689"/>
      <c r="M64" s="772">
        <f>SUM(M37:M63)</f>
        <v>0</v>
      </c>
      <c r="N64" s="772">
        <f>SUM(N36:N63)</f>
        <v>0</v>
      </c>
      <c r="O64" s="772">
        <f>M64+N64</f>
        <v>0</v>
      </c>
      <c r="P64" s="690"/>
    </row>
    <row r="65" spans="1:31" outlineLevel="1">
      <c r="A65" s="739">
        <v>46082</v>
      </c>
      <c r="B65" s="674"/>
      <c r="C65" s="782"/>
      <c r="D65" s="782"/>
      <c r="E65" s="782"/>
      <c r="F65" s="782"/>
      <c r="G65" s="782"/>
      <c r="H65" s="782"/>
      <c r="I65" s="782"/>
      <c r="J65" s="782"/>
      <c r="K65" s="674"/>
      <c r="L65" s="674"/>
      <c r="M65" s="774"/>
      <c r="N65" s="774"/>
      <c r="O65" s="678"/>
      <c r="P65" s="675"/>
    </row>
    <row r="66" spans="1:31" ht="17.25" outlineLevel="1" thickBot="1">
      <c r="A66" s="739">
        <v>45718</v>
      </c>
      <c r="B66" s="674"/>
      <c r="C66" s="782"/>
      <c r="D66" s="782"/>
      <c r="E66" s="782"/>
      <c r="F66" s="782"/>
      <c r="G66" s="782"/>
      <c r="H66" s="782"/>
      <c r="I66" s="782"/>
      <c r="J66" s="782"/>
      <c r="K66" s="674"/>
      <c r="L66" s="674"/>
      <c r="M66" s="774"/>
      <c r="N66" s="774"/>
      <c r="O66" s="678"/>
      <c r="P66" s="675"/>
    </row>
    <row r="67" spans="1:31" outlineLevel="1">
      <c r="A67" s="739">
        <v>45719</v>
      </c>
      <c r="B67" s="674"/>
      <c r="C67" s="782"/>
      <c r="D67" s="782"/>
      <c r="E67" s="782"/>
      <c r="F67" s="782"/>
      <c r="G67" s="782"/>
      <c r="H67" s="782"/>
      <c r="I67" s="782"/>
      <c r="J67" s="782"/>
      <c r="K67" s="674"/>
      <c r="L67" s="674"/>
      <c r="M67" s="774"/>
      <c r="N67" s="774"/>
      <c r="O67" s="678"/>
      <c r="P67" s="675"/>
      <c r="R67" s="1188" t="s">
        <v>624</v>
      </c>
      <c r="S67" s="1191" t="s">
        <v>286</v>
      </c>
      <c r="T67" s="1192"/>
      <c r="U67" s="1192"/>
      <c r="V67" s="1192"/>
      <c r="W67" s="1193"/>
      <c r="X67" s="1191" t="s">
        <v>751</v>
      </c>
      <c r="Y67" s="1193"/>
      <c r="Z67" s="1191" t="s">
        <v>730</v>
      </c>
      <c r="AA67" s="1193"/>
      <c r="AB67" s="1191" t="s">
        <v>745</v>
      </c>
      <c r="AC67" s="1193"/>
      <c r="AD67" s="1191" t="s">
        <v>539</v>
      </c>
      <c r="AE67" s="1193"/>
    </row>
    <row r="68" spans="1:31" ht="16.5" customHeight="1" outlineLevel="1">
      <c r="A68" s="739">
        <v>45720</v>
      </c>
      <c r="B68" s="674"/>
      <c r="C68" s="782"/>
      <c r="D68" s="782"/>
      <c r="E68" s="782"/>
      <c r="F68" s="782"/>
      <c r="G68" s="782"/>
      <c r="H68" s="782"/>
      <c r="I68" s="782"/>
      <c r="J68" s="782">
        <v>27215</v>
      </c>
      <c r="K68" s="674"/>
      <c r="L68" s="674"/>
      <c r="M68" s="768"/>
      <c r="N68" s="774"/>
      <c r="O68" s="678"/>
      <c r="P68" s="675"/>
      <c r="R68" s="1189"/>
      <c r="S68" s="1194" t="s">
        <v>746</v>
      </c>
      <c r="T68" s="1195"/>
      <c r="U68" s="1196"/>
      <c r="V68" s="1197" t="s">
        <v>750</v>
      </c>
      <c r="W68" s="1188" t="s">
        <v>744</v>
      </c>
      <c r="X68" s="1199" t="s">
        <v>746</v>
      </c>
      <c r="Y68" s="1188" t="s">
        <v>744</v>
      </c>
      <c r="Z68" s="1199" t="s">
        <v>746</v>
      </c>
      <c r="AA68" s="1188" t="s">
        <v>744</v>
      </c>
      <c r="AB68" s="1199" t="s">
        <v>746</v>
      </c>
      <c r="AC68" s="1188" t="s">
        <v>744</v>
      </c>
      <c r="AD68" s="1199" t="s">
        <v>746</v>
      </c>
      <c r="AE68" s="1188" t="s">
        <v>744</v>
      </c>
    </row>
    <row r="69" spans="1:31" outlineLevel="1">
      <c r="A69" s="739">
        <v>45721</v>
      </c>
      <c r="B69" s="673"/>
      <c r="C69" s="782">
        <v>8882</v>
      </c>
      <c r="D69" s="782"/>
      <c r="E69" s="782">
        <v>8814</v>
      </c>
      <c r="F69" s="782"/>
      <c r="G69" s="782"/>
      <c r="H69" s="782"/>
      <c r="I69" s="782"/>
      <c r="J69" s="782"/>
      <c r="K69" s="674"/>
      <c r="L69" s="674"/>
      <c r="M69" s="768"/>
      <c r="N69" s="774"/>
      <c r="O69" s="678"/>
      <c r="P69" s="675"/>
      <c r="R69" s="1190"/>
      <c r="S69" s="704" t="s">
        <v>735</v>
      </c>
      <c r="T69" s="705" t="s">
        <v>736</v>
      </c>
      <c r="U69" s="705" t="s">
        <v>737</v>
      </c>
      <c r="V69" s="1198"/>
      <c r="W69" s="1190"/>
      <c r="X69" s="1200"/>
      <c r="Y69" s="1190"/>
      <c r="Z69" s="1200"/>
      <c r="AA69" s="1190"/>
      <c r="AB69" s="1200"/>
      <c r="AC69" s="1190"/>
      <c r="AD69" s="1200"/>
      <c r="AE69" s="1190"/>
    </row>
    <row r="70" spans="1:31" outlineLevel="1">
      <c r="A70" s="739">
        <v>45722</v>
      </c>
      <c r="B70" s="673"/>
      <c r="C70" s="782"/>
      <c r="D70" s="782"/>
      <c r="E70" s="782"/>
      <c r="F70" s="782"/>
      <c r="G70" s="782"/>
      <c r="H70" s="782"/>
      <c r="I70" s="782"/>
      <c r="J70" s="782"/>
      <c r="K70" s="674"/>
      <c r="L70" s="674"/>
      <c r="M70" s="768"/>
      <c r="N70" s="799"/>
      <c r="O70" s="678"/>
      <c r="P70" s="675"/>
      <c r="R70" s="692" t="s">
        <v>36</v>
      </c>
      <c r="S70" s="711"/>
      <c r="T70" s="712">
        <v>111453</v>
      </c>
      <c r="U70" s="712">
        <f t="shared" ref="U70:U81" si="6">S70+T70</f>
        <v>111453</v>
      </c>
      <c r="V70" s="713">
        <f>IFERROR(T70/U70,0)</f>
        <v>1</v>
      </c>
      <c r="W70" s="714"/>
      <c r="X70" s="711">
        <v>68676</v>
      </c>
      <c r="Y70" s="714"/>
      <c r="Z70" s="711">
        <v>78900</v>
      </c>
      <c r="AA70" s="714"/>
      <c r="AB70" s="711"/>
      <c r="AC70" s="714"/>
      <c r="AD70" s="711"/>
      <c r="AE70" s="714"/>
    </row>
    <row r="71" spans="1:31" outlineLevel="1">
      <c r="A71" s="739">
        <v>45723</v>
      </c>
      <c r="B71" s="673"/>
      <c r="C71" s="782"/>
      <c r="D71" s="782"/>
      <c r="E71" s="782">
        <v>8904</v>
      </c>
      <c r="F71" s="782"/>
      <c r="G71" s="782"/>
      <c r="H71" s="782"/>
      <c r="I71" s="782">
        <f>5950+5618</f>
        <v>11568</v>
      </c>
      <c r="J71" s="782"/>
      <c r="K71" s="674"/>
      <c r="L71" s="674"/>
      <c r="M71" s="768"/>
      <c r="N71" s="799"/>
      <c r="O71" s="678"/>
      <c r="P71" s="675"/>
      <c r="R71" s="692" t="s">
        <v>738</v>
      </c>
      <c r="S71" s="711"/>
      <c r="T71" s="712">
        <v>139595</v>
      </c>
      <c r="U71" s="712">
        <f t="shared" si="6"/>
        <v>139595</v>
      </c>
      <c r="V71" s="713">
        <f t="shared" ref="V71:V81" si="7">IFERROR(T71/U71,0)</f>
        <v>1</v>
      </c>
      <c r="W71" s="714"/>
      <c r="X71" s="711">
        <v>33926</v>
      </c>
      <c r="Y71" s="714"/>
      <c r="Z71" s="711">
        <v>101366</v>
      </c>
      <c r="AA71" s="714"/>
      <c r="AB71" s="711"/>
      <c r="AC71" s="714"/>
      <c r="AD71" s="711"/>
      <c r="AE71" s="714"/>
    </row>
    <row r="72" spans="1:31" outlineLevel="1">
      <c r="A72" s="739">
        <v>45724</v>
      </c>
      <c r="B72" s="674"/>
      <c r="C72" s="782"/>
      <c r="D72" s="782"/>
      <c r="E72" s="782"/>
      <c r="F72" s="782"/>
      <c r="G72" s="782"/>
      <c r="H72" s="782"/>
      <c r="I72" s="782"/>
      <c r="J72" s="782"/>
      <c r="K72" s="674"/>
      <c r="L72" s="674"/>
      <c r="M72" s="768"/>
      <c r="N72" s="799"/>
      <c r="O72" s="678"/>
      <c r="P72" s="691"/>
      <c r="R72" s="692" t="s">
        <v>508</v>
      </c>
      <c r="S72" s="711"/>
      <c r="T72" s="712"/>
      <c r="U72" s="712">
        <f t="shared" si="6"/>
        <v>0</v>
      </c>
      <c r="V72" s="713">
        <f t="shared" si="7"/>
        <v>0</v>
      </c>
      <c r="W72" s="714"/>
      <c r="X72" s="711"/>
      <c r="Y72" s="714"/>
      <c r="Z72" s="711"/>
      <c r="AA72" s="714"/>
      <c r="AB72" s="711"/>
      <c r="AC72" s="714"/>
      <c r="AD72" s="711"/>
      <c r="AE72" s="714"/>
    </row>
    <row r="73" spans="1:31" outlineLevel="1">
      <c r="A73" s="739">
        <v>45725</v>
      </c>
      <c r="B73" s="674"/>
      <c r="C73" s="782"/>
      <c r="D73" s="782"/>
      <c r="E73" s="782"/>
      <c r="F73" s="782"/>
      <c r="G73" s="782"/>
      <c r="H73" s="782"/>
      <c r="I73" s="782"/>
      <c r="J73" s="782"/>
      <c r="K73" s="674"/>
      <c r="L73" s="674"/>
      <c r="M73" s="768"/>
      <c r="N73" s="799"/>
      <c r="O73" s="678"/>
      <c r="P73" s="691"/>
      <c r="R73" s="692" t="s">
        <v>727</v>
      </c>
      <c r="S73" s="711"/>
      <c r="T73" s="712"/>
      <c r="U73" s="712">
        <f t="shared" si="6"/>
        <v>0</v>
      </c>
      <c r="V73" s="713">
        <f t="shared" si="7"/>
        <v>0</v>
      </c>
      <c r="W73" s="714"/>
      <c r="X73" s="711"/>
      <c r="Y73" s="714"/>
      <c r="Z73" s="711"/>
      <c r="AA73" s="714"/>
      <c r="AB73" s="711"/>
      <c r="AC73" s="714"/>
      <c r="AD73" s="711"/>
      <c r="AE73" s="714"/>
    </row>
    <row r="74" spans="1:31" outlineLevel="1">
      <c r="A74" s="739">
        <v>45726</v>
      </c>
      <c r="B74" s="674"/>
      <c r="C74" s="782"/>
      <c r="D74" s="782"/>
      <c r="E74" s="782"/>
      <c r="F74" s="782"/>
      <c r="G74" s="782"/>
      <c r="H74" s="782"/>
      <c r="I74" s="782"/>
      <c r="J74" s="782">
        <v>20000</v>
      </c>
      <c r="K74" s="674"/>
      <c r="L74" s="674"/>
      <c r="M74" s="768"/>
      <c r="N74" s="799"/>
      <c r="O74" s="678"/>
      <c r="P74" s="691"/>
      <c r="R74" s="692" t="s">
        <v>728</v>
      </c>
      <c r="S74" s="711"/>
      <c r="T74" s="712"/>
      <c r="U74" s="712">
        <f t="shared" si="6"/>
        <v>0</v>
      </c>
      <c r="V74" s="713">
        <f t="shared" si="7"/>
        <v>0</v>
      </c>
      <c r="W74" s="714"/>
      <c r="X74" s="711"/>
      <c r="Y74" s="714"/>
      <c r="Z74" s="711"/>
      <c r="AA74" s="714"/>
      <c r="AB74" s="711"/>
      <c r="AC74" s="714"/>
      <c r="AD74" s="711"/>
      <c r="AE74" s="714"/>
    </row>
    <row r="75" spans="1:31" outlineLevel="1">
      <c r="A75" s="739">
        <v>45727</v>
      </c>
      <c r="B75" s="674"/>
      <c r="C75" s="782">
        <v>6105</v>
      </c>
      <c r="D75" s="782"/>
      <c r="E75" s="782"/>
      <c r="F75" s="782"/>
      <c r="G75" s="782"/>
      <c r="H75" s="782"/>
      <c r="I75" s="782"/>
      <c r="J75" s="782"/>
      <c r="K75" s="674"/>
      <c r="L75" s="674"/>
      <c r="M75" s="768"/>
      <c r="N75" s="799"/>
      <c r="O75" s="678"/>
      <c r="P75" s="675"/>
      <c r="R75" s="692" t="s">
        <v>175</v>
      </c>
      <c r="S75" s="711"/>
      <c r="T75" s="712"/>
      <c r="U75" s="712">
        <f t="shared" si="6"/>
        <v>0</v>
      </c>
      <c r="V75" s="713">
        <f t="shared" si="7"/>
        <v>0</v>
      </c>
      <c r="W75" s="714"/>
      <c r="X75" s="711"/>
      <c r="Y75" s="714"/>
      <c r="Z75" s="711"/>
      <c r="AA75" s="714"/>
      <c r="AB75" s="711"/>
      <c r="AC75" s="714"/>
      <c r="AD75" s="711"/>
      <c r="AE75" s="714"/>
    </row>
    <row r="76" spans="1:31" outlineLevel="1">
      <c r="A76" s="739">
        <v>45728</v>
      </c>
      <c r="B76" s="674"/>
      <c r="C76" s="782"/>
      <c r="D76" s="782"/>
      <c r="E76" s="782">
        <v>6509</v>
      </c>
      <c r="F76" s="782"/>
      <c r="G76" s="782"/>
      <c r="H76" s="782"/>
      <c r="I76" s="782"/>
      <c r="J76" s="782"/>
      <c r="K76" s="674"/>
      <c r="L76" s="674"/>
      <c r="M76" s="768"/>
      <c r="N76" s="799"/>
      <c r="O76" s="678"/>
      <c r="P76" s="675"/>
      <c r="R76" s="692" t="s">
        <v>537</v>
      </c>
      <c r="S76" s="711"/>
      <c r="T76" s="712"/>
      <c r="U76" s="712">
        <f t="shared" si="6"/>
        <v>0</v>
      </c>
      <c r="V76" s="713">
        <f t="shared" si="7"/>
        <v>0</v>
      </c>
      <c r="W76" s="714"/>
      <c r="X76" s="711"/>
      <c r="Y76" s="714"/>
      <c r="Z76" s="711"/>
      <c r="AA76" s="714"/>
      <c r="AB76" s="711"/>
      <c r="AC76" s="714"/>
      <c r="AD76" s="711"/>
      <c r="AE76" s="714"/>
    </row>
    <row r="77" spans="1:31" outlineLevel="1">
      <c r="A77" s="739">
        <v>45729</v>
      </c>
      <c r="B77" s="674"/>
      <c r="C77" s="782"/>
      <c r="D77" s="782"/>
      <c r="E77" s="782"/>
      <c r="F77" s="782"/>
      <c r="G77" s="782"/>
      <c r="H77" s="782"/>
      <c r="I77" s="782"/>
      <c r="J77" s="782"/>
      <c r="K77" s="674"/>
      <c r="L77" s="674"/>
      <c r="M77" s="768"/>
      <c r="N77" s="799"/>
      <c r="O77" s="678"/>
      <c r="P77" s="675"/>
      <c r="R77" s="692" t="s">
        <v>739</v>
      </c>
      <c r="S77" s="711"/>
      <c r="T77" s="712"/>
      <c r="U77" s="712">
        <f t="shared" si="6"/>
        <v>0</v>
      </c>
      <c r="V77" s="713">
        <f t="shared" si="7"/>
        <v>0</v>
      </c>
      <c r="W77" s="714"/>
      <c r="X77" s="711"/>
      <c r="Y77" s="714"/>
      <c r="Z77" s="711"/>
      <c r="AA77" s="714"/>
      <c r="AB77" s="711"/>
      <c r="AC77" s="714"/>
      <c r="AD77" s="711"/>
      <c r="AE77" s="714"/>
    </row>
    <row r="78" spans="1:31" outlineLevel="1">
      <c r="A78" s="739">
        <v>45730</v>
      </c>
      <c r="B78" s="674"/>
      <c r="C78" s="782"/>
      <c r="D78" s="782"/>
      <c r="E78" s="782"/>
      <c r="F78" s="782"/>
      <c r="G78" s="782"/>
      <c r="H78" s="782"/>
      <c r="I78" s="782"/>
      <c r="J78" s="782"/>
      <c r="K78" s="674"/>
      <c r="L78" s="674"/>
      <c r="M78" s="768"/>
      <c r="N78" s="799"/>
      <c r="O78" s="678"/>
      <c r="P78" s="675"/>
      <c r="R78" s="692" t="s">
        <v>740</v>
      </c>
      <c r="S78" s="711"/>
      <c r="T78" s="712"/>
      <c r="U78" s="712">
        <f t="shared" si="6"/>
        <v>0</v>
      </c>
      <c r="V78" s="713">
        <f t="shared" si="7"/>
        <v>0</v>
      </c>
      <c r="W78" s="714"/>
      <c r="X78" s="711"/>
      <c r="Y78" s="714"/>
      <c r="Z78" s="711"/>
      <c r="AA78" s="714"/>
      <c r="AB78" s="711"/>
      <c r="AC78" s="714"/>
      <c r="AD78" s="711"/>
      <c r="AE78" s="714"/>
    </row>
    <row r="79" spans="1:31" outlineLevel="1">
      <c r="A79" s="739">
        <v>45731</v>
      </c>
      <c r="B79" s="674"/>
      <c r="C79" s="782"/>
      <c r="D79" s="782"/>
      <c r="E79" s="782"/>
      <c r="F79" s="782"/>
      <c r="G79" s="782"/>
      <c r="H79" s="782"/>
      <c r="I79" s="782"/>
      <c r="J79" s="782"/>
      <c r="K79" s="674"/>
      <c r="L79" s="674"/>
      <c r="M79" s="768"/>
      <c r="N79" s="799"/>
      <c r="O79" s="678"/>
      <c r="P79" s="675"/>
      <c r="R79" s="692" t="s">
        <v>741</v>
      </c>
      <c r="S79" s="711"/>
      <c r="T79" s="712"/>
      <c r="U79" s="712">
        <f t="shared" si="6"/>
        <v>0</v>
      </c>
      <c r="V79" s="713">
        <f t="shared" si="7"/>
        <v>0</v>
      </c>
      <c r="W79" s="715"/>
      <c r="X79" s="711"/>
      <c r="Y79" s="715"/>
      <c r="Z79" s="711"/>
      <c r="AA79" s="715"/>
      <c r="AB79" s="711"/>
      <c r="AC79" s="715"/>
      <c r="AD79" s="711"/>
      <c r="AE79" s="715"/>
    </row>
    <row r="80" spans="1:31" outlineLevel="1">
      <c r="A80" s="739">
        <v>45732</v>
      </c>
      <c r="B80" s="674"/>
      <c r="C80" s="782">
        <v>14017</v>
      </c>
      <c r="D80" s="782"/>
      <c r="E80" s="782"/>
      <c r="F80" s="782"/>
      <c r="G80" s="782"/>
      <c r="H80" s="782"/>
      <c r="I80" s="782">
        <v>6426</v>
      </c>
      <c r="J80" s="782">
        <v>25700</v>
      </c>
      <c r="K80" s="674"/>
      <c r="L80" s="674"/>
      <c r="M80" s="768"/>
      <c r="N80" s="799"/>
      <c r="O80" s="678"/>
      <c r="P80" s="675"/>
      <c r="R80" s="692" t="s">
        <v>538</v>
      </c>
      <c r="S80" s="711"/>
      <c r="T80" s="712"/>
      <c r="U80" s="712">
        <f t="shared" si="6"/>
        <v>0</v>
      </c>
      <c r="V80" s="713">
        <f t="shared" si="7"/>
        <v>0</v>
      </c>
      <c r="W80" s="715"/>
      <c r="X80" s="711"/>
      <c r="Y80" s="715"/>
      <c r="Z80" s="711"/>
      <c r="AA80" s="715"/>
      <c r="AB80" s="711"/>
      <c r="AC80" s="715"/>
      <c r="AD80" s="711"/>
      <c r="AE80" s="715"/>
    </row>
    <row r="81" spans="1:31" ht="17.25" outlineLevel="1" thickBot="1">
      <c r="A81" s="739">
        <v>45733</v>
      </c>
      <c r="B81" s="674"/>
      <c r="C81" s="673"/>
      <c r="D81" s="674"/>
      <c r="E81" s="674"/>
      <c r="F81" s="674"/>
      <c r="G81" s="674"/>
      <c r="H81" s="674"/>
      <c r="I81" s="673"/>
      <c r="J81" s="674"/>
      <c r="K81" s="674"/>
      <c r="L81" s="674"/>
      <c r="M81" s="768"/>
      <c r="N81" s="799"/>
      <c r="O81" s="678"/>
      <c r="P81" s="675"/>
      <c r="R81" s="692" t="s">
        <v>742</v>
      </c>
      <c r="S81" s="716"/>
      <c r="T81" s="717"/>
      <c r="U81" s="717">
        <f t="shared" si="6"/>
        <v>0</v>
      </c>
      <c r="V81" s="713">
        <f t="shared" si="7"/>
        <v>0</v>
      </c>
      <c r="W81" s="718"/>
      <c r="X81" s="716"/>
      <c r="Y81" s="718"/>
      <c r="Z81" s="716"/>
      <c r="AA81" s="718"/>
      <c r="AB81" s="716"/>
      <c r="AC81" s="718"/>
      <c r="AD81" s="716"/>
      <c r="AE81" s="718"/>
    </row>
    <row r="82" spans="1:31" outlineLevel="1">
      <c r="A82" s="739">
        <v>45734</v>
      </c>
      <c r="B82" s="674"/>
      <c r="C82" s="674"/>
      <c r="D82" s="674"/>
      <c r="E82" s="674"/>
      <c r="F82" s="674"/>
      <c r="G82" s="674"/>
      <c r="H82" s="674"/>
      <c r="I82" s="673"/>
      <c r="J82" s="674"/>
      <c r="K82" s="674"/>
      <c r="L82" s="674"/>
      <c r="M82" s="768"/>
      <c r="N82" s="799"/>
      <c r="O82" s="678"/>
      <c r="P82" s="675"/>
      <c r="R82" s="701" t="s">
        <v>737</v>
      </c>
      <c r="S82" s="719">
        <f>SUM(S70:S81)</f>
        <v>0</v>
      </c>
      <c r="T82" s="719">
        <f>SUM(T70:T81)</f>
        <v>251048</v>
      </c>
      <c r="U82" s="719">
        <f>SUM(S82:T82)</f>
        <v>251048</v>
      </c>
      <c r="V82" s="720">
        <f>IFERROR(T82/U82,0)</f>
        <v>1</v>
      </c>
      <c r="W82" s="721"/>
      <c r="X82" s="719">
        <f>SUM(X70:X81)</f>
        <v>102602</v>
      </c>
      <c r="Y82" s="721"/>
      <c r="Z82" s="719">
        <f>SUM(Z70:Z81)</f>
        <v>180266</v>
      </c>
      <c r="AA82" s="721"/>
      <c r="AB82" s="719">
        <f>SUM(AB70:AB81)</f>
        <v>0</v>
      </c>
      <c r="AC82" s="721"/>
      <c r="AD82" s="719">
        <f>SUM(AD70:AD81)</f>
        <v>0</v>
      </c>
      <c r="AE82" s="721"/>
    </row>
    <row r="83" spans="1:31" outlineLevel="1">
      <c r="A83" s="739">
        <v>45735</v>
      </c>
      <c r="B83" s="674"/>
      <c r="C83" s="674"/>
      <c r="D83" s="674"/>
      <c r="E83" s="674"/>
      <c r="F83" s="674"/>
      <c r="G83" s="674"/>
      <c r="H83" s="674"/>
      <c r="I83" s="673"/>
      <c r="J83" s="674"/>
      <c r="K83" s="674"/>
      <c r="L83" s="674"/>
      <c r="M83" s="768"/>
      <c r="N83" s="799"/>
      <c r="O83" s="678"/>
      <c r="P83" s="675"/>
    </row>
    <row r="84" spans="1:31" outlineLevel="1">
      <c r="A84" s="739">
        <v>45736</v>
      </c>
      <c r="B84" s="674"/>
      <c r="C84" s="674">
        <v>14000</v>
      </c>
      <c r="D84" s="674"/>
      <c r="E84" s="674"/>
      <c r="F84" s="674"/>
      <c r="G84" s="674"/>
      <c r="H84" s="674"/>
      <c r="I84" s="673"/>
      <c r="J84" s="674"/>
      <c r="K84" s="674"/>
      <c r="L84" s="674"/>
      <c r="M84" s="768"/>
      <c r="N84" s="799"/>
      <c r="O84" s="678"/>
      <c r="P84" s="675"/>
    </row>
    <row r="85" spans="1:31" outlineLevel="1">
      <c r="A85" s="739">
        <v>45737</v>
      </c>
      <c r="B85" s="674"/>
      <c r="C85" s="674"/>
      <c r="D85" s="674"/>
      <c r="E85" s="673"/>
      <c r="F85" s="674"/>
      <c r="G85" s="674"/>
      <c r="H85" s="674"/>
      <c r="I85" s="673"/>
      <c r="J85" s="674"/>
      <c r="K85" s="674"/>
      <c r="L85" s="674"/>
      <c r="M85" s="768"/>
      <c r="N85" s="799"/>
      <c r="O85" s="678"/>
      <c r="P85" s="675"/>
    </row>
    <row r="86" spans="1:31" outlineLevel="1">
      <c r="A86" s="739">
        <v>45738</v>
      </c>
      <c r="B86" s="674"/>
      <c r="C86" s="674"/>
      <c r="D86" s="674"/>
      <c r="E86" s="674"/>
      <c r="F86" s="674"/>
      <c r="G86" s="674"/>
      <c r="H86" s="674"/>
      <c r="I86" s="673"/>
      <c r="J86" s="674"/>
      <c r="K86" s="674"/>
      <c r="L86" s="674"/>
      <c r="M86" s="768"/>
      <c r="N86" s="799"/>
      <c r="O86" s="678"/>
      <c r="P86" s="675"/>
    </row>
    <row r="87" spans="1:31" outlineLevel="1">
      <c r="A87" s="739">
        <v>45739</v>
      </c>
      <c r="B87" s="674"/>
      <c r="C87" s="673"/>
      <c r="D87" s="674"/>
      <c r="E87" s="674"/>
      <c r="F87" s="674"/>
      <c r="G87" s="674"/>
      <c r="H87" s="674"/>
      <c r="I87" s="674"/>
      <c r="J87" s="674"/>
      <c r="K87" s="674"/>
      <c r="L87" s="674"/>
      <c r="M87" s="768"/>
      <c r="N87" s="799"/>
      <c r="O87" s="678"/>
      <c r="P87" s="675"/>
    </row>
    <row r="88" spans="1:31" outlineLevel="1">
      <c r="A88" s="739">
        <v>45740</v>
      </c>
      <c r="B88" s="674"/>
      <c r="C88" s="674"/>
      <c r="D88" s="674"/>
      <c r="E88" s="674"/>
      <c r="F88" s="674"/>
      <c r="G88" s="674"/>
      <c r="H88" s="674"/>
      <c r="I88" s="674"/>
      <c r="J88" s="674"/>
      <c r="K88" s="674"/>
      <c r="L88" s="674"/>
      <c r="M88" s="768"/>
      <c r="N88" s="799"/>
      <c r="O88" s="678"/>
      <c r="P88" s="675"/>
    </row>
    <row r="89" spans="1:31" outlineLevel="1">
      <c r="A89" s="739">
        <v>45741</v>
      </c>
      <c r="B89" s="674"/>
      <c r="C89" s="674">
        <v>14000</v>
      </c>
      <c r="D89" s="674"/>
      <c r="E89" s="673"/>
      <c r="F89" s="674"/>
      <c r="G89" s="674"/>
      <c r="H89" s="674"/>
      <c r="I89" s="673"/>
      <c r="J89" s="674"/>
      <c r="K89" s="674"/>
      <c r="L89" s="674"/>
      <c r="M89" s="768"/>
      <c r="N89" s="799"/>
      <c r="O89" s="678"/>
      <c r="P89" s="675"/>
    </row>
    <row r="90" spans="1:31" outlineLevel="1">
      <c r="A90" s="739">
        <v>45742</v>
      </c>
      <c r="B90" s="674"/>
      <c r="C90" s="674"/>
      <c r="D90" s="674"/>
      <c r="E90" s="674"/>
      <c r="F90" s="674"/>
      <c r="G90" s="674"/>
      <c r="H90" s="674"/>
      <c r="I90" s="674"/>
      <c r="J90" s="674"/>
      <c r="K90" s="674"/>
      <c r="L90" s="674"/>
      <c r="M90" s="768"/>
      <c r="N90" s="799"/>
      <c r="O90" s="678"/>
      <c r="P90" s="675"/>
    </row>
    <row r="91" spans="1:31" outlineLevel="1">
      <c r="A91" s="739">
        <v>45743</v>
      </c>
      <c r="B91" s="694"/>
      <c r="C91" s="758"/>
      <c r="D91" s="694"/>
      <c r="E91" s="674"/>
      <c r="F91" s="694"/>
      <c r="G91" s="694"/>
      <c r="H91" s="694"/>
      <c r="I91" s="673"/>
      <c r="J91" s="694">
        <v>25000</v>
      </c>
      <c r="K91" s="694"/>
      <c r="L91" s="694"/>
      <c r="M91" s="769"/>
      <c r="N91" s="799"/>
      <c r="O91" s="678"/>
      <c r="P91" s="675"/>
    </row>
    <row r="92" spans="1:31" outlineLevel="1">
      <c r="A92" s="739">
        <v>45744</v>
      </c>
      <c r="B92" s="694"/>
      <c r="C92" s="694"/>
      <c r="D92" s="694"/>
      <c r="E92" s="673"/>
      <c r="F92" s="695"/>
      <c r="G92" s="695"/>
      <c r="H92" s="695"/>
      <c r="I92" s="759"/>
      <c r="J92" s="695"/>
      <c r="K92" s="695"/>
      <c r="L92" s="695"/>
      <c r="M92" s="770"/>
      <c r="N92" s="799"/>
      <c r="O92" s="678"/>
      <c r="P92" s="675"/>
    </row>
    <row r="93" spans="1:31" outlineLevel="1">
      <c r="A93" s="739">
        <v>45745</v>
      </c>
      <c r="B93" s="695"/>
      <c r="C93" s="695"/>
      <c r="D93" s="695"/>
      <c r="E93" s="674"/>
      <c r="F93" s="676"/>
      <c r="G93" s="676"/>
      <c r="H93" s="676"/>
      <c r="I93" s="673"/>
      <c r="J93" s="676"/>
      <c r="K93" s="676"/>
      <c r="L93" s="676"/>
      <c r="M93" s="771"/>
      <c r="N93" s="799"/>
      <c r="O93" s="678"/>
      <c r="P93" s="675"/>
    </row>
    <row r="94" spans="1:31" outlineLevel="1">
      <c r="A94" s="739">
        <v>45746</v>
      </c>
      <c r="B94" s="695"/>
      <c r="C94" s="695">
        <v>14000</v>
      </c>
      <c r="D94" s="695"/>
      <c r="E94" s="694"/>
      <c r="F94" s="676"/>
      <c r="G94" s="676"/>
      <c r="H94" s="676"/>
      <c r="I94" s="676"/>
      <c r="J94" s="676"/>
      <c r="K94" s="676"/>
      <c r="L94" s="676"/>
      <c r="M94" s="771"/>
      <c r="N94" s="799"/>
      <c r="O94" s="678"/>
      <c r="P94" s="675"/>
    </row>
    <row r="95" spans="1:31" ht="17.25" outlineLevel="1" thickBot="1">
      <c r="A95" s="739">
        <v>45747</v>
      </c>
      <c r="B95" s="695"/>
      <c r="C95" s="695"/>
      <c r="D95" s="695"/>
      <c r="E95" s="695"/>
      <c r="F95" s="676"/>
      <c r="G95" s="676"/>
      <c r="H95" s="676"/>
      <c r="I95" s="676"/>
      <c r="J95" s="760"/>
      <c r="K95" s="676"/>
      <c r="L95" s="676"/>
      <c r="M95" s="799"/>
      <c r="N95" s="799"/>
      <c r="O95" s="678"/>
      <c r="P95" s="677"/>
    </row>
    <row r="96" spans="1:31" ht="17.25" outlineLevel="1" thickBot="1">
      <c r="A96" s="753" t="s">
        <v>737</v>
      </c>
      <c r="B96" s="688">
        <f t="shared" ref="B96:K96" si="8">SUM(B65:B95)</f>
        <v>0</v>
      </c>
      <c r="C96" s="688">
        <f t="shared" si="8"/>
        <v>71004</v>
      </c>
      <c r="D96" s="688">
        <f t="shared" si="8"/>
        <v>0</v>
      </c>
      <c r="E96" s="688">
        <f t="shared" si="8"/>
        <v>24227</v>
      </c>
      <c r="F96" s="688">
        <f t="shared" si="8"/>
        <v>0</v>
      </c>
      <c r="G96" s="688">
        <f t="shared" si="8"/>
        <v>0</v>
      </c>
      <c r="H96" s="688">
        <f t="shared" si="8"/>
        <v>0</v>
      </c>
      <c r="I96" s="689">
        <f t="shared" si="8"/>
        <v>17994</v>
      </c>
      <c r="J96" s="689">
        <f t="shared" si="8"/>
        <v>97915</v>
      </c>
      <c r="K96" s="689">
        <f t="shared" si="8"/>
        <v>0</v>
      </c>
      <c r="L96" s="689"/>
      <c r="M96" s="800">
        <f>SUM(M66:M95)</f>
        <v>0</v>
      </c>
      <c r="N96" s="800">
        <f>SUM(N65:N95)</f>
        <v>0</v>
      </c>
      <c r="O96" s="757">
        <f>M96+N96</f>
        <v>0</v>
      </c>
      <c r="P96" s="690"/>
    </row>
    <row r="97" spans="1:31" outlineLevel="1" collapsed="1">
      <c r="A97" s="739">
        <v>46113</v>
      </c>
      <c r="B97" s="673"/>
      <c r="C97" s="782"/>
      <c r="D97" s="782"/>
      <c r="E97" s="782"/>
      <c r="F97" s="782"/>
      <c r="G97" s="782"/>
      <c r="H97" s="782"/>
      <c r="I97" s="782"/>
      <c r="J97" s="782"/>
      <c r="K97" s="673"/>
      <c r="L97" s="673"/>
      <c r="M97" s="799"/>
      <c r="N97" s="799"/>
      <c r="O97" s="678"/>
      <c r="P97" s="675"/>
    </row>
    <row r="98" spans="1:31" ht="17.25" outlineLevel="1" thickBot="1">
      <c r="A98" s="739">
        <v>46114</v>
      </c>
      <c r="B98" s="673"/>
      <c r="C98" s="782"/>
      <c r="D98" s="782"/>
      <c r="E98" s="782"/>
      <c r="F98" s="782"/>
      <c r="G98" s="782"/>
      <c r="H98" s="782"/>
      <c r="I98" s="782"/>
      <c r="J98" s="782"/>
      <c r="K98" s="673"/>
      <c r="L98" s="673"/>
      <c r="M98" s="801"/>
      <c r="N98" s="799"/>
      <c r="O98" s="678"/>
      <c r="P98" s="675"/>
    </row>
    <row r="99" spans="1:31" outlineLevel="1">
      <c r="A99" s="739">
        <v>46115</v>
      </c>
      <c r="B99" s="673"/>
      <c r="C99" s="782"/>
      <c r="D99" s="782"/>
      <c r="E99" s="782"/>
      <c r="F99" s="782"/>
      <c r="G99" s="782"/>
      <c r="H99" s="782"/>
      <c r="I99" s="782"/>
      <c r="J99" s="782"/>
      <c r="K99" s="673"/>
      <c r="L99" s="673"/>
      <c r="M99" s="778"/>
      <c r="N99" s="799"/>
      <c r="O99" s="678"/>
      <c r="P99" s="675"/>
      <c r="R99" s="1188" t="s">
        <v>624</v>
      </c>
      <c r="S99" s="1191" t="s">
        <v>286</v>
      </c>
      <c r="T99" s="1192"/>
      <c r="U99" s="1192"/>
      <c r="V99" s="1192"/>
      <c r="W99" s="1193"/>
      <c r="X99" s="1191" t="s">
        <v>751</v>
      </c>
      <c r="Y99" s="1193"/>
      <c r="Z99" s="1191" t="s">
        <v>730</v>
      </c>
      <c r="AA99" s="1193"/>
      <c r="AB99" s="1191" t="s">
        <v>745</v>
      </c>
      <c r="AC99" s="1193"/>
      <c r="AD99" s="1191" t="s">
        <v>539</v>
      </c>
      <c r="AE99" s="1193"/>
    </row>
    <row r="100" spans="1:31" ht="16.5" customHeight="1" outlineLevel="1">
      <c r="A100" s="739">
        <v>46116</v>
      </c>
      <c r="B100" s="673"/>
      <c r="C100" s="782"/>
      <c r="D100" s="782"/>
      <c r="E100" s="782"/>
      <c r="F100" s="782"/>
      <c r="G100" s="782"/>
      <c r="H100" s="782"/>
      <c r="I100" s="782"/>
      <c r="J100" s="782"/>
      <c r="K100" s="673"/>
      <c r="L100" s="673"/>
      <c r="M100" s="779"/>
      <c r="N100" s="799"/>
      <c r="O100" s="678"/>
      <c r="P100" s="675"/>
      <c r="R100" s="1189"/>
      <c r="S100" s="1194" t="s">
        <v>746</v>
      </c>
      <c r="T100" s="1195"/>
      <c r="U100" s="1196"/>
      <c r="V100" s="1197" t="s">
        <v>750</v>
      </c>
      <c r="W100" s="1188" t="s">
        <v>744</v>
      </c>
      <c r="X100" s="1199" t="s">
        <v>746</v>
      </c>
      <c r="Y100" s="1188" t="s">
        <v>744</v>
      </c>
      <c r="Z100" s="1199" t="s">
        <v>746</v>
      </c>
      <c r="AA100" s="1188" t="s">
        <v>744</v>
      </c>
      <c r="AB100" s="1199" t="s">
        <v>746</v>
      </c>
      <c r="AC100" s="1188" t="s">
        <v>744</v>
      </c>
      <c r="AD100" s="1199" t="s">
        <v>746</v>
      </c>
      <c r="AE100" s="1188" t="s">
        <v>744</v>
      </c>
    </row>
    <row r="101" spans="1:31" outlineLevel="1">
      <c r="A101" s="739">
        <v>46117</v>
      </c>
      <c r="B101" s="673"/>
      <c r="C101" s="782"/>
      <c r="D101" s="782"/>
      <c r="E101" s="782"/>
      <c r="F101" s="782"/>
      <c r="G101" s="782"/>
      <c r="H101" s="782"/>
      <c r="I101" s="782"/>
      <c r="J101" s="782"/>
      <c r="K101" s="673"/>
      <c r="L101" s="673"/>
      <c r="M101" s="779"/>
      <c r="N101" s="799"/>
      <c r="O101" s="678"/>
      <c r="P101" s="675"/>
      <c r="R101" s="1190"/>
      <c r="S101" s="704" t="s">
        <v>735</v>
      </c>
      <c r="T101" s="705" t="s">
        <v>736</v>
      </c>
      <c r="U101" s="705" t="s">
        <v>737</v>
      </c>
      <c r="V101" s="1198"/>
      <c r="W101" s="1190"/>
      <c r="X101" s="1200"/>
      <c r="Y101" s="1190"/>
      <c r="Z101" s="1200"/>
      <c r="AA101" s="1190"/>
      <c r="AB101" s="1200"/>
      <c r="AC101" s="1190"/>
      <c r="AD101" s="1200"/>
      <c r="AE101" s="1190"/>
    </row>
    <row r="102" spans="1:31" outlineLevel="1">
      <c r="A102" s="739">
        <v>46118</v>
      </c>
      <c r="B102" s="673"/>
      <c r="C102" s="782"/>
      <c r="D102" s="782"/>
      <c r="E102" s="782"/>
      <c r="F102" s="782"/>
      <c r="G102" s="782"/>
      <c r="H102" s="782"/>
      <c r="I102" s="782"/>
      <c r="J102" s="782"/>
      <c r="K102" s="673"/>
      <c r="L102" s="673"/>
      <c r="M102" s="779"/>
      <c r="N102" s="799"/>
      <c r="O102" s="678"/>
      <c r="P102" s="675"/>
      <c r="R102" s="692" t="s">
        <v>36</v>
      </c>
      <c r="S102" s="711"/>
      <c r="T102" s="712"/>
      <c r="U102" s="712"/>
      <c r="V102" s="713">
        <f>IFERROR(T102/U102,0)</f>
        <v>0</v>
      </c>
      <c r="W102" s="714"/>
      <c r="X102" s="711"/>
      <c r="Y102" s="714"/>
      <c r="Z102" s="711"/>
      <c r="AA102" s="714"/>
      <c r="AB102" s="711"/>
      <c r="AC102" s="714"/>
      <c r="AD102" s="711"/>
      <c r="AE102" s="714"/>
    </row>
    <row r="103" spans="1:31" outlineLevel="1">
      <c r="A103" s="739">
        <v>46119</v>
      </c>
      <c r="B103" s="673"/>
      <c r="C103" s="782"/>
      <c r="D103" s="782"/>
      <c r="E103" s="782"/>
      <c r="F103" s="782"/>
      <c r="G103" s="782"/>
      <c r="H103" s="782"/>
      <c r="I103" s="782"/>
      <c r="J103" s="782"/>
      <c r="K103" s="673"/>
      <c r="L103" s="673"/>
      <c r="M103" s="802"/>
      <c r="N103" s="799"/>
      <c r="O103" s="678"/>
      <c r="P103" s="675"/>
      <c r="R103" s="692" t="s">
        <v>738</v>
      </c>
      <c r="S103" s="711"/>
      <c r="T103" s="712"/>
      <c r="U103" s="712">
        <f t="shared" ref="U103:U113" si="9">S103+T103</f>
        <v>0</v>
      </c>
      <c r="V103" s="713">
        <f t="shared" ref="V103:V113" si="10">IFERROR(T103/U103,0)</f>
        <v>0</v>
      </c>
      <c r="W103" s="714"/>
      <c r="X103" s="711"/>
      <c r="Y103" s="714"/>
      <c r="Z103" s="711"/>
      <c r="AA103" s="714"/>
      <c r="AB103" s="711"/>
      <c r="AC103" s="714"/>
      <c r="AD103" s="711"/>
      <c r="AE103" s="714"/>
    </row>
    <row r="104" spans="1:31" outlineLevel="1">
      <c r="A104" s="739">
        <v>46120</v>
      </c>
      <c r="B104" s="673"/>
      <c r="C104" s="782"/>
      <c r="D104" s="782"/>
      <c r="E104" s="782"/>
      <c r="F104" s="782"/>
      <c r="G104" s="782"/>
      <c r="H104" s="782"/>
      <c r="I104" s="782"/>
      <c r="J104" s="782"/>
      <c r="K104" s="673"/>
      <c r="L104" s="673"/>
      <c r="M104" s="802"/>
      <c r="N104" s="799"/>
      <c r="O104" s="678"/>
      <c r="P104" s="691"/>
      <c r="R104" s="692" t="s">
        <v>508</v>
      </c>
      <c r="S104" s="711"/>
      <c r="T104" s="712"/>
      <c r="U104" s="712">
        <f t="shared" si="9"/>
        <v>0</v>
      </c>
      <c r="V104" s="713">
        <f t="shared" si="10"/>
        <v>0</v>
      </c>
      <c r="W104" s="714"/>
      <c r="X104" s="711"/>
      <c r="Y104" s="714"/>
      <c r="Z104" s="711"/>
      <c r="AA104" s="714"/>
      <c r="AB104" s="711"/>
      <c r="AC104" s="714"/>
      <c r="AD104" s="711"/>
      <c r="AE104" s="714"/>
    </row>
    <row r="105" spans="1:31" outlineLevel="1">
      <c r="A105" s="739">
        <v>46121</v>
      </c>
      <c r="B105" s="673"/>
      <c r="C105" s="782"/>
      <c r="D105" s="782"/>
      <c r="E105" s="782"/>
      <c r="F105" s="782"/>
      <c r="G105" s="782"/>
      <c r="H105" s="782"/>
      <c r="I105" s="782"/>
      <c r="J105" s="782"/>
      <c r="K105" s="673"/>
      <c r="L105" s="673"/>
      <c r="M105" s="779"/>
      <c r="N105" s="799"/>
      <c r="O105" s="678"/>
      <c r="P105" s="691"/>
      <c r="R105" s="692" t="s">
        <v>727</v>
      </c>
      <c r="S105" s="711"/>
      <c r="T105" s="712"/>
      <c r="U105" s="712">
        <f t="shared" si="9"/>
        <v>0</v>
      </c>
      <c r="V105" s="713">
        <f t="shared" si="10"/>
        <v>0</v>
      </c>
      <c r="W105" s="714"/>
      <c r="X105" s="711"/>
      <c r="Y105" s="714"/>
      <c r="Z105" s="711"/>
      <c r="AA105" s="714"/>
      <c r="AB105" s="711"/>
      <c r="AC105" s="714"/>
      <c r="AD105" s="711"/>
      <c r="AE105" s="714"/>
    </row>
    <row r="106" spans="1:31" outlineLevel="1">
      <c r="A106" s="739">
        <v>46122</v>
      </c>
      <c r="B106" s="673"/>
      <c r="C106" s="782"/>
      <c r="D106" s="782"/>
      <c r="E106" s="782"/>
      <c r="F106" s="782"/>
      <c r="G106" s="782"/>
      <c r="H106" s="782"/>
      <c r="I106" s="782"/>
      <c r="J106" s="782"/>
      <c r="K106" s="673"/>
      <c r="L106" s="673"/>
      <c r="M106" s="779"/>
      <c r="N106" s="799"/>
      <c r="O106" s="678"/>
      <c r="P106" s="691"/>
      <c r="R106" s="692" t="s">
        <v>728</v>
      </c>
      <c r="S106" s="711"/>
      <c r="T106" s="712"/>
      <c r="U106" s="712">
        <f t="shared" si="9"/>
        <v>0</v>
      </c>
      <c r="V106" s="713">
        <f t="shared" si="10"/>
        <v>0</v>
      </c>
      <c r="W106" s="714"/>
      <c r="X106" s="711"/>
      <c r="Y106" s="714"/>
      <c r="Z106" s="711"/>
      <c r="AA106" s="714"/>
      <c r="AB106" s="711"/>
      <c r="AC106" s="714"/>
      <c r="AD106" s="711"/>
      <c r="AE106" s="714"/>
    </row>
    <row r="107" spans="1:31" outlineLevel="1">
      <c r="A107" s="739">
        <v>46123</v>
      </c>
      <c r="B107" s="673"/>
      <c r="C107" s="782"/>
      <c r="D107" s="782"/>
      <c r="E107" s="782"/>
      <c r="F107" s="782"/>
      <c r="G107" s="782"/>
      <c r="H107" s="782"/>
      <c r="I107" s="782"/>
      <c r="J107" s="782"/>
      <c r="K107" s="673"/>
      <c r="L107" s="673"/>
      <c r="M107" s="802"/>
      <c r="N107" s="799"/>
      <c r="O107" s="678"/>
      <c r="P107" s="675"/>
      <c r="R107" s="692" t="s">
        <v>175</v>
      </c>
      <c r="S107" s="711"/>
      <c r="T107" s="712"/>
      <c r="U107" s="712">
        <f t="shared" si="9"/>
        <v>0</v>
      </c>
      <c r="V107" s="713">
        <f t="shared" si="10"/>
        <v>0</v>
      </c>
      <c r="W107" s="714"/>
      <c r="X107" s="711"/>
      <c r="Y107" s="714"/>
      <c r="Z107" s="711"/>
      <c r="AA107" s="714"/>
      <c r="AB107" s="711"/>
      <c r="AC107" s="714"/>
      <c r="AD107" s="711"/>
      <c r="AE107" s="714"/>
    </row>
    <row r="108" spans="1:31" outlineLevel="1">
      <c r="A108" s="739">
        <v>46124</v>
      </c>
      <c r="B108" s="673"/>
      <c r="C108" s="782"/>
      <c r="D108" s="782"/>
      <c r="E108" s="782"/>
      <c r="F108" s="782"/>
      <c r="G108" s="782"/>
      <c r="H108" s="782"/>
      <c r="I108" s="782"/>
      <c r="J108" s="782"/>
      <c r="K108" s="673"/>
      <c r="L108" s="673"/>
      <c r="M108" s="802"/>
      <c r="N108" s="799"/>
      <c r="O108" s="678"/>
      <c r="P108" s="675"/>
      <c r="R108" s="692" t="s">
        <v>537</v>
      </c>
      <c r="S108" s="711"/>
      <c r="T108" s="712"/>
      <c r="U108" s="712">
        <f t="shared" si="9"/>
        <v>0</v>
      </c>
      <c r="V108" s="713">
        <f t="shared" si="10"/>
        <v>0</v>
      </c>
      <c r="W108" s="714"/>
      <c r="X108" s="711"/>
      <c r="Y108" s="714"/>
      <c r="Z108" s="711"/>
      <c r="AA108" s="714"/>
      <c r="AB108" s="711"/>
      <c r="AC108" s="714"/>
      <c r="AD108" s="711"/>
      <c r="AE108" s="714"/>
    </row>
    <row r="109" spans="1:31" outlineLevel="1">
      <c r="A109" s="739">
        <v>46125</v>
      </c>
      <c r="B109" s="673"/>
      <c r="C109" s="782"/>
      <c r="D109" s="782"/>
      <c r="E109" s="782"/>
      <c r="F109" s="782"/>
      <c r="G109" s="782"/>
      <c r="H109" s="782"/>
      <c r="I109" s="782"/>
      <c r="J109" s="782"/>
      <c r="K109" s="673"/>
      <c r="L109" s="673"/>
      <c r="M109" s="802"/>
      <c r="N109" s="799"/>
      <c r="O109" s="678"/>
      <c r="P109" s="675"/>
      <c r="R109" s="692" t="s">
        <v>739</v>
      </c>
      <c r="S109" s="711"/>
      <c r="T109" s="712"/>
      <c r="U109" s="712">
        <f t="shared" si="9"/>
        <v>0</v>
      </c>
      <c r="V109" s="713">
        <f t="shared" si="10"/>
        <v>0</v>
      </c>
      <c r="W109" s="714"/>
      <c r="X109" s="711"/>
      <c r="Y109" s="714"/>
      <c r="Z109" s="711"/>
      <c r="AA109" s="714"/>
      <c r="AB109" s="711"/>
      <c r="AC109" s="714"/>
      <c r="AD109" s="711"/>
      <c r="AE109" s="714"/>
    </row>
    <row r="110" spans="1:31" outlineLevel="1">
      <c r="A110" s="739">
        <v>46126</v>
      </c>
      <c r="B110" s="673"/>
      <c r="C110" s="782"/>
      <c r="D110" s="782"/>
      <c r="E110" s="782"/>
      <c r="F110" s="782"/>
      <c r="G110" s="782"/>
      <c r="H110" s="782"/>
      <c r="I110" s="782"/>
      <c r="J110" s="782"/>
      <c r="K110" s="673"/>
      <c r="L110" s="673"/>
      <c r="M110" s="802"/>
      <c r="N110" s="799"/>
      <c r="O110" s="678"/>
      <c r="P110" s="675"/>
      <c r="R110" s="692" t="s">
        <v>740</v>
      </c>
      <c r="S110" s="711"/>
      <c r="T110" s="712"/>
      <c r="U110" s="712">
        <f t="shared" si="9"/>
        <v>0</v>
      </c>
      <c r="V110" s="713">
        <f t="shared" si="10"/>
        <v>0</v>
      </c>
      <c r="W110" s="714"/>
      <c r="X110" s="711"/>
      <c r="Y110" s="714"/>
      <c r="Z110" s="711"/>
      <c r="AA110" s="714"/>
      <c r="AB110" s="711"/>
      <c r="AC110" s="714"/>
      <c r="AD110" s="711"/>
      <c r="AE110" s="714"/>
    </row>
    <row r="111" spans="1:31" outlineLevel="1">
      <c r="A111" s="739">
        <v>46127</v>
      </c>
      <c r="B111" s="673"/>
      <c r="C111" s="782"/>
      <c r="D111" s="782"/>
      <c r="E111" s="782"/>
      <c r="F111" s="782"/>
      <c r="G111" s="782"/>
      <c r="H111" s="782"/>
      <c r="I111" s="782"/>
      <c r="J111" s="782"/>
      <c r="K111" s="673"/>
      <c r="L111" s="673"/>
      <c r="M111" s="802"/>
      <c r="N111" s="799"/>
      <c r="O111" s="678"/>
      <c r="P111" s="675"/>
      <c r="R111" s="692" t="s">
        <v>741</v>
      </c>
      <c r="S111" s="711"/>
      <c r="T111" s="712"/>
      <c r="U111" s="712">
        <f t="shared" si="9"/>
        <v>0</v>
      </c>
      <c r="V111" s="713">
        <f t="shared" si="10"/>
        <v>0</v>
      </c>
      <c r="W111" s="715"/>
      <c r="X111" s="711"/>
      <c r="Y111" s="715"/>
      <c r="Z111" s="711"/>
      <c r="AA111" s="715"/>
      <c r="AB111" s="711"/>
      <c r="AC111" s="715"/>
      <c r="AD111" s="711"/>
      <c r="AE111" s="715"/>
    </row>
    <row r="112" spans="1:31" outlineLevel="1">
      <c r="A112" s="739">
        <v>46128</v>
      </c>
      <c r="B112" s="674"/>
      <c r="C112" s="782"/>
      <c r="D112" s="782"/>
      <c r="E112" s="782"/>
      <c r="F112" s="782"/>
      <c r="G112" s="782"/>
      <c r="H112" s="782"/>
      <c r="I112" s="782"/>
      <c r="J112" s="782"/>
      <c r="K112" s="674"/>
      <c r="L112" s="674"/>
      <c r="M112" s="802"/>
      <c r="N112" s="799"/>
      <c r="O112" s="678"/>
      <c r="P112" s="675"/>
      <c r="R112" s="692" t="s">
        <v>538</v>
      </c>
      <c r="S112" s="711"/>
      <c r="T112" s="712"/>
      <c r="U112" s="712">
        <f t="shared" si="9"/>
        <v>0</v>
      </c>
      <c r="V112" s="713">
        <f t="shared" si="10"/>
        <v>0</v>
      </c>
      <c r="W112" s="715"/>
      <c r="X112" s="711"/>
      <c r="Y112" s="715"/>
      <c r="Z112" s="711"/>
      <c r="AA112" s="715"/>
      <c r="AB112" s="711"/>
      <c r="AC112" s="715"/>
      <c r="AD112" s="711"/>
      <c r="AE112" s="715"/>
    </row>
    <row r="113" spans="1:31" ht="17.25" outlineLevel="1" thickBot="1">
      <c r="A113" s="739">
        <v>46129</v>
      </c>
      <c r="B113" s="674"/>
      <c r="C113" s="782"/>
      <c r="D113" s="782"/>
      <c r="E113" s="782"/>
      <c r="F113" s="782"/>
      <c r="G113" s="782"/>
      <c r="H113" s="782"/>
      <c r="I113" s="782"/>
      <c r="J113" s="782"/>
      <c r="K113" s="674"/>
      <c r="L113" s="674"/>
      <c r="M113" s="802"/>
      <c r="N113" s="799"/>
      <c r="O113" s="678"/>
      <c r="P113" s="675"/>
      <c r="R113" s="692" t="s">
        <v>742</v>
      </c>
      <c r="S113" s="716"/>
      <c r="T113" s="717"/>
      <c r="U113" s="717">
        <f t="shared" si="9"/>
        <v>0</v>
      </c>
      <c r="V113" s="713">
        <f t="shared" si="10"/>
        <v>0</v>
      </c>
      <c r="W113" s="718"/>
      <c r="X113" s="716"/>
      <c r="Y113" s="718"/>
      <c r="Z113" s="716"/>
      <c r="AA113" s="718"/>
      <c r="AB113" s="716"/>
      <c r="AC113" s="718"/>
      <c r="AD113" s="716"/>
      <c r="AE113" s="718"/>
    </row>
    <row r="114" spans="1:31" outlineLevel="1">
      <c r="A114" s="739">
        <v>46130</v>
      </c>
      <c r="B114" s="674"/>
      <c r="C114" s="782"/>
      <c r="D114" s="782"/>
      <c r="E114" s="782"/>
      <c r="F114" s="782"/>
      <c r="G114" s="782"/>
      <c r="H114" s="782"/>
      <c r="I114" s="782"/>
      <c r="J114" s="782"/>
      <c r="K114" s="674"/>
      <c r="L114" s="674"/>
      <c r="M114" s="802"/>
      <c r="N114" s="799"/>
      <c r="O114" s="678"/>
      <c r="P114" s="675"/>
      <c r="R114" s="701" t="s">
        <v>737</v>
      </c>
      <c r="S114" s="719">
        <f>SUM(S102:S113)</f>
        <v>0</v>
      </c>
      <c r="T114" s="719">
        <f>SUM(T102:T113)</f>
        <v>0</v>
      </c>
      <c r="U114" s="719">
        <f>SUM(S114:T114)</f>
        <v>0</v>
      </c>
      <c r="V114" s="720">
        <f>IFERROR(T114/U114,0)</f>
        <v>0</v>
      </c>
      <c r="W114" s="721"/>
      <c r="X114" s="719">
        <f>SUM(X102:X113)</f>
        <v>0</v>
      </c>
      <c r="Y114" s="721"/>
      <c r="Z114" s="719">
        <f>SUM(Z102:Z113)</f>
        <v>0</v>
      </c>
      <c r="AA114" s="721"/>
      <c r="AB114" s="719">
        <f>SUM(AB102:AB113)</f>
        <v>0</v>
      </c>
      <c r="AC114" s="721"/>
      <c r="AD114" s="719">
        <f>SUM(AD102:AD113)</f>
        <v>0</v>
      </c>
      <c r="AE114" s="721"/>
    </row>
    <row r="115" spans="1:31" outlineLevel="1">
      <c r="A115" s="739">
        <v>46131</v>
      </c>
      <c r="B115" s="674"/>
      <c r="C115" s="782"/>
      <c r="D115" s="782"/>
      <c r="E115" s="782"/>
      <c r="F115" s="782"/>
      <c r="G115" s="782"/>
      <c r="H115" s="782"/>
      <c r="I115" s="782"/>
      <c r="J115" s="782"/>
      <c r="K115" s="674"/>
      <c r="L115" s="674"/>
      <c r="M115" s="802"/>
      <c r="N115" s="799"/>
      <c r="O115" s="678"/>
      <c r="P115" s="675"/>
    </row>
    <row r="116" spans="1:31" outlineLevel="1">
      <c r="A116" s="739">
        <v>46132</v>
      </c>
      <c r="B116" s="674"/>
      <c r="C116" s="782"/>
      <c r="D116" s="782"/>
      <c r="E116" s="782"/>
      <c r="F116" s="782"/>
      <c r="G116" s="782"/>
      <c r="H116" s="782"/>
      <c r="I116" s="782"/>
      <c r="J116" s="782"/>
      <c r="K116" s="674"/>
      <c r="L116" s="674"/>
      <c r="M116" s="775"/>
      <c r="N116" s="799"/>
      <c r="O116" s="678"/>
      <c r="P116" s="675"/>
    </row>
    <row r="117" spans="1:31" outlineLevel="1">
      <c r="A117" s="739">
        <v>46133</v>
      </c>
      <c r="B117" s="674"/>
      <c r="C117" s="782"/>
      <c r="D117" s="782"/>
      <c r="E117" s="782"/>
      <c r="F117" s="782"/>
      <c r="G117" s="782"/>
      <c r="H117" s="782"/>
      <c r="I117" s="782"/>
      <c r="J117" s="782"/>
      <c r="K117" s="674"/>
      <c r="L117" s="674"/>
      <c r="M117" s="775"/>
      <c r="N117" s="799"/>
      <c r="O117" s="678"/>
      <c r="P117" s="675"/>
    </row>
    <row r="118" spans="1:31" outlineLevel="1">
      <c r="A118" s="739">
        <v>46134</v>
      </c>
      <c r="B118" s="674"/>
      <c r="C118" s="782"/>
      <c r="D118" s="782"/>
      <c r="E118" s="782"/>
      <c r="F118" s="782"/>
      <c r="G118" s="782"/>
      <c r="H118" s="782"/>
      <c r="I118" s="782"/>
      <c r="J118" s="782"/>
      <c r="K118" s="674"/>
      <c r="L118" s="674"/>
      <c r="M118" s="775"/>
      <c r="N118" s="799"/>
      <c r="O118" s="678"/>
      <c r="P118" s="675"/>
    </row>
    <row r="119" spans="1:31" outlineLevel="1">
      <c r="A119" s="739">
        <v>46135</v>
      </c>
      <c r="B119" s="674"/>
      <c r="C119" s="782"/>
      <c r="D119" s="782"/>
      <c r="E119" s="782"/>
      <c r="F119" s="782"/>
      <c r="G119" s="782"/>
      <c r="H119" s="782"/>
      <c r="I119" s="782"/>
      <c r="J119" s="782"/>
      <c r="K119" s="674"/>
      <c r="L119" s="674"/>
      <c r="M119" s="775"/>
      <c r="N119" s="799"/>
      <c r="O119" s="678"/>
      <c r="P119" s="675"/>
    </row>
    <row r="120" spans="1:31" outlineLevel="1">
      <c r="A120" s="739">
        <v>46136</v>
      </c>
      <c r="B120" s="674"/>
      <c r="C120" s="782"/>
      <c r="D120" s="782"/>
      <c r="E120" s="782"/>
      <c r="F120" s="782"/>
      <c r="G120" s="782"/>
      <c r="H120" s="782"/>
      <c r="I120" s="782"/>
      <c r="J120" s="782"/>
      <c r="K120" s="674"/>
      <c r="L120" s="674"/>
      <c r="M120" s="801"/>
      <c r="N120" s="799"/>
      <c r="O120" s="678"/>
      <c r="P120" s="675"/>
    </row>
    <row r="121" spans="1:31" outlineLevel="1">
      <c r="A121" s="739">
        <v>46137</v>
      </c>
      <c r="B121" s="674"/>
      <c r="C121" s="782"/>
      <c r="D121" s="782"/>
      <c r="E121" s="782"/>
      <c r="F121" s="782"/>
      <c r="G121" s="782"/>
      <c r="H121" s="782"/>
      <c r="I121" s="782"/>
      <c r="J121" s="782"/>
      <c r="K121" s="674"/>
      <c r="L121" s="674"/>
      <c r="M121" s="775"/>
      <c r="N121" s="799"/>
      <c r="O121" s="678"/>
      <c r="P121" s="675"/>
    </row>
    <row r="122" spans="1:31" outlineLevel="1">
      <c r="A122" s="739">
        <v>46138</v>
      </c>
      <c r="B122" s="674"/>
      <c r="C122" s="782"/>
      <c r="D122" s="782"/>
      <c r="E122" s="782"/>
      <c r="F122" s="782"/>
      <c r="G122" s="782"/>
      <c r="H122" s="782"/>
      <c r="I122" s="782"/>
      <c r="J122" s="782"/>
      <c r="K122" s="674"/>
      <c r="L122" s="674"/>
      <c r="M122" s="775"/>
      <c r="N122" s="799"/>
      <c r="O122" s="678"/>
      <c r="P122" s="675"/>
    </row>
    <row r="123" spans="1:31" outlineLevel="1">
      <c r="A123" s="739">
        <v>46139</v>
      </c>
      <c r="B123" s="694"/>
      <c r="C123" s="783"/>
      <c r="D123" s="783"/>
      <c r="E123" s="782"/>
      <c r="F123" s="783"/>
      <c r="G123" s="783"/>
      <c r="H123" s="783"/>
      <c r="I123" s="782"/>
      <c r="J123" s="783"/>
      <c r="K123" s="694"/>
      <c r="L123" s="694"/>
      <c r="M123" s="776"/>
      <c r="N123" s="799"/>
      <c r="O123" s="678"/>
      <c r="P123" s="675"/>
    </row>
    <row r="124" spans="1:31" outlineLevel="1">
      <c r="A124" s="739">
        <v>46140</v>
      </c>
      <c r="B124" s="694"/>
      <c r="C124" s="783"/>
      <c r="D124" s="783"/>
      <c r="E124" s="782"/>
      <c r="F124" s="784"/>
      <c r="G124" s="784"/>
      <c r="H124" s="784"/>
      <c r="I124" s="784"/>
      <c r="J124" s="784"/>
      <c r="K124" s="695"/>
      <c r="L124" s="695"/>
      <c r="M124" s="777"/>
      <c r="N124" s="799"/>
      <c r="O124" s="678"/>
      <c r="P124" s="675"/>
    </row>
    <row r="125" spans="1:31" outlineLevel="1">
      <c r="A125" s="739">
        <v>46141</v>
      </c>
      <c r="B125" s="695"/>
      <c r="C125" s="784"/>
      <c r="D125" s="784"/>
      <c r="E125" s="782"/>
      <c r="F125" s="785"/>
      <c r="G125" s="785"/>
      <c r="H125" s="785"/>
      <c r="I125" s="782"/>
      <c r="J125" s="785"/>
      <c r="K125" s="676"/>
      <c r="L125" s="676"/>
      <c r="M125" s="801"/>
      <c r="N125" s="799"/>
      <c r="O125" s="678"/>
      <c r="P125" s="675"/>
    </row>
    <row r="126" spans="1:31" outlineLevel="1">
      <c r="A126" s="739">
        <v>46142</v>
      </c>
      <c r="B126" s="695"/>
      <c r="C126" s="784"/>
      <c r="D126" s="784"/>
      <c r="E126" s="783"/>
      <c r="F126" s="785"/>
      <c r="G126" s="785"/>
      <c r="H126" s="785"/>
      <c r="I126" s="785"/>
      <c r="J126" s="785"/>
      <c r="K126" s="676"/>
      <c r="L126" s="676"/>
      <c r="M126" s="756"/>
      <c r="N126" s="799"/>
      <c r="O126" s="678"/>
      <c r="P126" s="675"/>
    </row>
    <row r="127" spans="1:31" ht="17.25" outlineLevel="1" thickBot="1">
      <c r="A127" s="739"/>
      <c r="B127" s="695"/>
      <c r="C127" s="784"/>
      <c r="D127" s="784"/>
      <c r="E127" s="784"/>
      <c r="F127" s="785"/>
      <c r="G127" s="785"/>
      <c r="H127" s="785"/>
      <c r="I127" s="785"/>
      <c r="J127" s="785"/>
      <c r="K127" s="676"/>
      <c r="L127" s="676"/>
      <c r="M127" s="755"/>
      <c r="N127" s="799"/>
      <c r="O127" s="678"/>
      <c r="P127" s="677"/>
    </row>
    <row r="128" spans="1:31" ht="17.25" outlineLevel="1" thickBot="1">
      <c r="A128" s="753" t="s">
        <v>737</v>
      </c>
      <c r="B128" s="688">
        <f t="shared" ref="B128:K128" si="11">SUM(B97:B127)</f>
        <v>0</v>
      </c>
      <c r="C128" s="688">
        <f t="shared" si="11"/>
        <v>0</v>
      </c>
      <c r="D128" s="688">
        <f t="shared" si="11"/>
        <v>0</v>
      </c>
      <c r="E128" s="688">
        <f t="shared" si="11"/>
        <v>0</v>
      </c>
      <c r="F128" s="688">
        <f t="shared" si="11"/>
        <v>0</v>
      </c>
      <c r="G128" s="688">
        <f t="shared" si="11"/>
        <v>0</v>
      </c>
      <c r="H128" s="688">
        <f t="shared" si="11"/>
        <v>0</v>
      </c>
      <c r="I128" s="689">
        <f t="shared" si="11"/>
        <v>0</v>
      </c>
      <c r="J128" s="689">
        <f t="shared" si="11"/>
        <v>0</v>
      </c>
      <c r="K128" s="689">
        <f t="shared" si="11"/>
        <v>0</v>
      </c>
      <c r="L128" s="689"/>
      <c r="M128" s="800">
        <f>SUM(M98:M127)</f>
        <v>0</v>
      </c>
      <c r="N128" s="800">
        <f>SUM(N97:N127)</f>
        <v>0</v>
      </c>
      <c r="O128" s="800">
        <f>M128+N128</f>
        <v>0</v>
      </c>
      <c r="P128" s="690"/>
    </row>
    <row r="129" spans="1:31" outlineLevel="1">
      <c r="A129" s="739">
        <v>46143</v>
      </c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778"/>
      <c r="N129" s="778"/>
      <c r="O129" s="678"/>
      <c r="P129" s="675"/>
    </row>
    <row r="130" spans="1:31" ht="17.25" outlineLevel="1" thickBot="1">
      <c r="A130" s="739">
        <v>46144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778"/>
      <c r="N130" s="778"/>
      <c r="O130" s="678"/>
      <c r="P130" s="675"/>
    </row>
    <row r="131" spans="1:31" outlineLevel="1">
      <c r="A131" s="739">
        <v>46145</v>
      </c>
      <c r="B131" s="673"/>
      <c r="C131" s="673"/>
      <c r="D131" s="673"/>
      <c r="E131" s="673"/>
      <c r="F131" s="673"/>
      <c r="G131" s="673"/>
      <c r="H131" s="673"/>
      <c r="I131" s="673"/>
      <c r="J131" s="673"/>
      <c r="K131" s="673"/>
      <c r="L131" s="673"/>
      <c r="M131" s="778"/>
      <c r="N131" s="778"/>
      <c r="O131" s="678"/>
      <c r="P131" s="675"/>
      <c r="R131" s="1188" t="s">
        <v>624</v>
      </c>
      <c r="S131" s="1191" t="s">
        <v>286</v>
      </c>
      <c r="T131" s="1192"/>
      <c r="U131" s="1192"/>
      <c r="V131" s="1192"/>
      <c r="W131" s="1193"/>
      <c r="X131" s="1191" t="s">
        <v>751</v>
      </c>
      <c r="Y131" s="1193"/>
      <c r="Z131" s="1191" t="s">
        <v>730</v>
      </c>
      <c r="AA131" s="1193"/>
      <c r="AB131" s="1191" t="s">
        <v>745</v>
      </c>
      <c r="AC131" s="1193"/>
      <c r="AD131" s="1191" t="s">
        <v>539</v>
      </c>
      <c r="AE131" s="1193"/>
    </row>
    <row r="132" spans="1:31" ht="16.5" customHeight="1" outlineLevel="1">
      <c r="A132" s="739">
        <v>46146</v>
      </c>
      <c r="B132" s="673"/>
      <c r="C132" s="673"/>
      <c r="D132" s="673"/>
      <c r="E132" s="673"/>
      <c r="F132" s="673"/>
      <c r="G132" s="673"/>
      <c r="H132" s="673"/>
      <c r="I132" s="673"/>
      <c r="J132" s="673"/>
      <c r="K132" s="673"/>
      <c r="L132" s="673"/>
      <c r="M132" s="779"/>
      <c r="N132" s="778"/>
      <c r="O132" s="678"/>
      <c r="P132" s="675"/>
      <c r="R132" s="1189"/>
      <c r="S132" s="1194" t="s">
        <v>746</v>
      </c>
      <c r="T132" s="1195"/>
      <c r="U132" s="1196"/>
      <c r="V132" s="1197" t="s">
        <v>750</v>
      </c>
      <c r="W132" s="1188" t="s">
        <v>744</v>
      </c>
      <c r="X132" s="1199" t="s">
        <v>746</v>
      </c>
      <c r="Y132" s="1188" t="s">
        <v>744</v>
      </c>
      <c r="Z132" s="1199" t="s">
        <v>746</v>
      </c>
      <c r="AA132" s="1188" t="s">
        <v>744</v>
      </c>
      <c r="AB132" s="1199" t="s">
        <v>746</v>
      </c>
      <c r="AC132" s="1188" t="s">
        <v>744</v>
      </c>
      <c r="AD132" s="1199" t="s">
        <v>746</v>
      </c>
      <c r="AE132" s="1188" t="s">
        <v>744</v>
      </c>
    </row>
    <row r="133" spans="1:31" outlineLevel="1">
      <c r="A133" s="739">
        <v>46147</v>
      </c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779"/>
      <c r="N133" s="778"/>
      <c r="O133" s="678"/>
      <c r="P133" s="675"/>
      <c r="R133" s="1190"/>
      <c r="S133" s="704" t="s">
        <v>735</v>
      </c>
      <c r="T133" s="705" t="s">
        <v>736</v>
      </c>
      <c r="U133" s="705" t="s">
        <v>737</v>
      </c>
      <c r="V133" s="1198"/>
      <c r="W133" s="1190"/>
      <c r="X133" s="1200"/>
      <c r="Y133" s="1190"/>
      <c r="Z133" s="1200"/>
      <c r="AA133" s="1190"/>
      <c r="AB133" s="1200"/>
      <c r="AC133" s="1190"/>
      <c r="AD133" s="1200"/>
      <c r="AE133" s="1190"/>
    </row>
    <row r="134" spans="1:31" outlineLevel="1">
      <c r="A134" s="739">
        <v>46148</v>
      </c>
      <c r="B134" s="673"/>
      <c r="C134" s="673"/>
      <c r="D134" s="673"/>
      <c r="E134" s="673"/>
      <c r="F134" s="673"/>
      <c r="G134" s="673"/>
      <c r="H134" s="673"/>
      <c r="I134" s="782"/>
      <c r="J134" s="782"/>
      <c r="K134" s="782"/>
      <c r="L134" s="782"/>
      <c r="M134" s="779"/>
      <c r="N134" s="778"/>
      <c r="O134" s="678"/>
      <c r="P134" s="675"/>
      <c r="R134" s="692" t="s">
        <v>36</v>
      </c>
      <c r="S134" s="711"/>
      <c r="T134" s="712"/>
      <c r="U134" s="712"/>
      <c r="V134" s="713">
        <f>IFERROR(T134/U134,0)</f>
        <v>0</v>
      </c>
      <c r="W134" s="714"/>
      <c r="X134" s="711"/>
      <c r="Y134" s="714"/>
      <c r="Z134" s="711"/>
      <c r="AA134" s="714"/>
      <c r="AB134" s="711"/>
      <c r="AC134" s="714"/>
      <c r="AD134" s="711"/>
      <c r="AE134" s="714"/>
    </row>
    <row r="135" spans="1:31" outlineLevel="1">
      <c r="A135" s="739">
        <v>46149</v>
      </c>
      <c r="B135" s="673"/>
      <c r="C135" s="673"/>
      <c r="D135" s="673"/>
      <c r="E135" s="673"/>
      <c r="F135" s="673"/>
      <c r="G135" s="673"/>
      <c r="H135" s="673"/>
      <c r="I135" s="782"/>
      <c r="J135" s="782"/>
      <c r="K135" s="782"/>
      <c r="L135" s="782"/>
      <c r="M135" s="779"/>
      <c r="N135" s="778"/>
      <c r="O135" s="678"/>
      <c r="P135" s="675"/>
      <c r="R135" s="692" t="s">
        <v>738</v>
      </c>
      <c r="S135" s="711"/>
      <c r="T135" s="712"/>
      <c r="U135" s="712">
        <f t="shared" ref="U135:U145" si="12">S135+T135</f>
        <v>0</v>
      </c>
      <c r="V135" s="713">
        <f t="shared" ref="V135:V145" si="13">IFERROR(T135/U135,0)</f>
        <v>0</v>
      </c>
      <c r="W135" s="714"/>
      <c r="X135" s="711"/>
      <c r="Y135" s="714"/>
      <c r="Z135" s="711"/>
      <c r="AA135" s="714"/>
      <c r="AB135" s="711"/>
      <c r="AC135" s="714"/>
      <c r="AD135" s="711"/>
      <c r="AE135" s="714"/>
    </row>
    <row r="136" spans="1:31" outlineLevel="1">
      <c r="A136" s="739">
        <v>46150</v>
      </c>
      <c r="B136" s="673"/>
      <c r="C136" s="673"/>
      <c r="D136" s="673"/>
      <c r="E136" s="673"/>
      <c r="F136" s="673"/>
      <c r="G136" s="673"/>
      <c r="H136" s="673"/>
      <c r="I136" s="782"/>
      <c r="J136" s="782"/>
      <c r="K136" s="782"/>
      <c r="L136" s="782"/>
      <c r="M136" s="779"/>
      <c r="N136" s="778"/>
      <c r="O136" s="678"/>
      <c r="P136" s="691"/>
      <c r="R136" s="692" t="s">
        <v>508</v>
      </c>
      <c r="S136" s="711"/>
      <c r="T136" s="712"/>
      <c r="U136" s="712">
        <f t="shared" si="12"/>
        <v>0</v>
      </c>
      <c r="V136" s="713">
        <f t="shared" si="13"/>
        <v>0</v>
      </c>
      <c r="W136" s="714"/>
      <c r="X136" s="711"/>
      <c r="Y136" s="714"/>
      <c r="Z136" s="711"/>
      <c r="AA136" s="714"/>
      <c r="AB136" s="711"/>
      <c r="AC136" s="714"/>
      <c r="AD136" s="711"/>
      <c r="AE136" s="714"/>
    </row>
    <row r="137" spans="1:31" outlineLevel="1">
      <c r="A137" s="739">
        <v>46151</v>
      </c>
      <c r="B137" s="673"/>
      <c r="C137" s="673"/>
      <c r="D137" s="673"/>
      <c r="E137" s="673"/>
      <c r="F137" s="673"/>
      <c r="G137" s="673"/>
      <c r="H137" s="673"/>
      <c r="I137" s="782"/>
      <c r="J137" s="782"/>
      <c r="K137" s="782"/>
      <c r="L137" s="782"/>
      <c r="M137" s="779"/>
      <c r="N137" s="778"/>
      <c r="O137" s="678"/>
      <c r="P137" s="691"/>
      <c r="R137" s="692" t="s">
        <v>727</v>
      </c>
      <c r="S137" s="711"/>
      <c r="T137" s="712"/>
      <c r="U137" s="712">
        <f t="shared" si="12"/>
        <v>0</v>
      </c>
      <c r="V137" s="713">
        <f t="shared" si="13"/>
        <v>0</v>
      </c>
      <c r="W137" s="714"/>
      <c r="X137" s="711"/>
      <c r="Y137" s="714"/>
      <c r="Z137" s="711"/>
      <c r="AA137" s="714"/>
      <c r="AB137" s="711"/>
      <c r="AC137" s="714"/>
      <c r="AD137" s="711"/>
      <c r="AE137" s="714"/>
    </row>
    <row r="138" spans="1:31" outlineLevel="1">
      <c r="A138" s="739">
        <v>46152</v>
      </c>
      <c r="B138" s="673"/>
      <c r="C138" s="673"/>
      <c r="D138" s="673"/>
      <c r="E138" s="782"/>
      <c r="F138" s="673"/>
      <c r="G138" s="673"/>
      <c r="H138" s="673"/>
      <c r="I138" s="782"/>
      <c r="J138" s="782"/>
      <c r="K138" s="782"/>
      <c r="L138" s="782"/>
      <c r="M138" s="779"/>
      <c r="N138" s="778"/>
      <c r="O138" s="678"/>
      <c r="P138" s="691"/>
      <c r="R138" s="692" t="s">
        <v>728</v>
      </c>
      <c r="S138" s="711"/>
      <c r="T138" s="712"/>
      <c r="U138" s="712">
        <f t="shared" si="12"/>
        <v>0</v>
      </c>
      <c r="V138" s="713">
        <f t="shared" si="13"/>
        <v>0</v>
      </c>
      <c r="W138" s="714"/>
      <c r="X138" s="711"/>
      <c r="Y138" s="714"/>
      <c r="Z138" s="711"/>
      <c r="AA138" s="714"/>
      <c r="AB138" s="711"/>
      <c r="AC138" s="714"/>
      <c r="AD138" s="711"/>
      <c r="AE138" s="714"/>
    </row>
    <row r="139" spans="1:31" outlineLevel="1">
      <c r="A139" s="739">
        <v>46153</v>
      </c>
      <c r="B139" s="673"/>
      <c r="C139" s="673"/>
      <c r="D139" s="673"/>
      <c r="E139" s="782"/>
      <c r="F139" s="673"/>
      <c r="G139" s="673"/>
      <c r="H139" s="673"/>
      <c r="I139" s="782"/>
      <c r="J139" s="782"/>
      <c r="K139" s="782"/>
      <c r="L139" s="782"/>
      <c r="M139" s="779"/>
      <c r="N139" s="778"/>
      <c r="O139" s="678"/>
      <c r="P139" s="675"/>
      <c r="R139" s="692" t="s">
        <v>175</v>
      </c>
      <c r="S139" s="711"/>
      <c r="T139" s="712"/>
      <c r="U139" s="712">
        <f t="shared" si="12"/>
        <v>0</v>
      </c>
      <c r="V139" s="713">
        <f t="shared" si="13"/>
        <v>0</v>
      </c>
      <c r="W139" s="714"/>
      <c r="X139" s="711"/>
      <c r="Y139" s="714"/>
      <c r="Z139" s="711"/>
      <c r="AA139" s="714"/>
      <c r="AB139" s="711"/>
      <c r="AC139" s="714"/>
      <c r="AD139" s="711"/>
      <c r="AE139" s="714"/>
    </row>
    <row r="140" spans="1:31" outlineLevel="1">
      <c r="A140" s="739">
        <v>46154</v>
      </c>
      <c r="B140" s="673"/>
      <c r="C140" s="674"/>
      <c r="D140" s="674"/>
      <c r="E140" s="782"/>
      <c r="F140" s="673"/>
      <c r="G140" s="673"/>
      <c r="H140" s="673"/>
      <c r="I140" s="782"/>
      <c r="J140" s="782"/>
      <c r="K140" s="782"/>
      <c r="L140" s="782"/>
      <c r="M140" s="779"/>
      <c r="N140" s="778"/>
      <c r="O140" s="678"/>
      <c r="P140" s="675"/>
      <c r="R140" s="692" t="s">
        <v>537</v>
      </c>
      <c r="S140" s="711"/>
      <c r="T140" s="712"/>
      <c r="U140" s="712">
        <f t="shared" si="12"/>
        <v>0</v>
      </c>
      <c r="V140" s="713">
        <f t="shared" si="13"/>
        <v>0</v>
      </c>
      <c r="W140" s="714"/>
      <c r="X140" s="711"/>
      <c r="Y140" s="714"/>
      <c r="Z140" s="711"/>
      <c r="AA140" s="714"/>
      <c r="AB140" s="711"/>
      <c r="AC140" s="714"/>
      <c r="AD140" s="711"/>
      <c r="AE140" s="714"/>
    </row>
    <row r="141" spans="1:31" outlineLevel="1">
      <c r="A141" s="739">
        <v>46155</v>
      </c>
      <c r="B141" s="673"/>
      <c r="C141" s="782"/>
      <c r="D141" s="674"/>
      <c r="E141" s="782"/>
      <c r="F141" s="673"/>
      <c r="G141" s="673"/>
      <c r="H141" s="673"/>
      <c r="I141" s="782"/>
      <c r="J141" s="782"/>
      <c r="K141" s="782"/>
      <c r="L141" s="782"/>
      <c r="M141" s="779"/>
      <c r="N141" s="778"/>
      <c r="O141" s="678"/>
      <c r="P141" s="675"/>
      <c r="R141" s="692" t="s">
        <v>739</v>
      </c>
      <c r="S141" s="711"/>
      <c r="T141" s="712"/>
      <c r="U141" s="712">
        <f t="shared" si="12"/>
        <v>0</v>
      </c>
      <c r="V141" s="713">
        <f t="shared" si="13"/>
        <v>0</v>
      </c>
      <c r="W141" s="714"/>
      <c r="X141" s="711"/>
      <c r="Y141" s="714"/>
      <c r="Z141" s="711"/>
      <c r="AA141" s="714"/>
      <c r="AB141" s="711"/>
      <c r="AC141" s="714"/>
      <c r="AD141" s="711"/>
      <c r="AE141" s="714"/>
    </row>
    <row r="142" spans="1:31" outlineLevel="1">
      <c r="A142" s="739">
        <v>46156</v>
      </c>
      <c r="B142" s="673"/>
      <c r="C142" s="782"/>
      <c r="D142" s="674"/>
      <c r="E142" s="782"/>
      <c r="F142" s="673"/>
      <c r="G142" s="673"/>
      <c r="H142" s="673"/>
      <c r="I142" s="782"/>
      <c r="J142" s="782"/>
      <c r="K142" s="782"/>
      <c r="L142" s="782"/>
      <c r="M142" s="779"/>
      <c r="N142" s="778"/>
      <c r="O142" s="678"/>
      <c r="P142" s="675"/>
      <c r="R142" s="692" t="s">
        <v>740</v>
      </c>
      <c r="S142" s="711"/>
      <c r="T142" s="712"/>
      <c r="U142" s="712">
        <f t="shared" si="12"/>
        <v>0</v>
      </c>
      <c r="V142" s="713">
        <f t="shared" si="13"/>
        <v>0</v>
      </c>
      <c r="W142" s="714"/>
      <c r="X142" s="711"/>
      <c r="Y142" s="714"/>
      <c r="Z142" s="711"/>
      <c r="AA142" s="714"/>
      <c r="AB142" s="711"/>
      <c r="AC142" s="714"/>
      <c r="AD142" s="711"/>
      <c r="AE142" s="714"/>
    </row>
    <row r="143" spans="1:31" outlineLevel="1">
      <c r="A143" s="739">
        <v>46157</v>
      </c>
      <c r="B143" s="673"/>
      <c r="C143" s="782"/>
      <c r="D143" s="674"/>
      <c r="E143" s="782"/>
      <c r="F143" s="673"/>
      <c r="G143" s="673"/>
      <c r="H143" s="673"/>
      <c r="I143" s="782"/>
      <c r="J143" s="782"/>
      <c r="K143" s="782"/>
      <c r="L143" s="782"/>
      <c r="M143" s="779"/>
      <c r="N143" s="778"/>
      <c r="O143" s="678"/>
      <c r="P143" s="675"/>
      <c r="R143" s="692" t="s">
        <v>741</v>
      </c>
      <c r="S143" s="711"/>
      <c r="T143" s="712"/>
      <c r="U143" s="712">
        <f t="shared" si="12"/>
        <v>0</v>
      </c>
      <c r="V143" s="713">
        <f t="shared" si="13"/>
        <v>0</v>
      </c>
      <c r="W143" s="715"/>
      <c r="X143" s="711"/>
      <c r="Y143" s="715"/>
      <c r="Z143" s="711"/>
      <c r="AA143" s="715"/>
      <c r="AB143" s="711"/>
      <c r="AC143" s="715"/>
      <c r="AD143" s="711"/>
      <c r="AE143" s="715"/>
    </row>
    <row r="144" spans="1:31" outlineLevel="1">
      <c r="A144" s="739">
        <v>46158</v>
      </c>
      <c r="B144" s="674"/>
      <c r="C144" s="782"/>
      <c r="D144" s="674"/>
      <c r="E144" s="782"/>
      <c r="F144" s="674"/>
      <c r="G144" s="674"/>
      <c r="H144" s="674"/>
      <c r="I144" s="782"/>
      <c r="J144" s="782"/>
      <c r="K144" s="782"/>
      <c r="L144" s="782"/>
      <c r="M144" s="775"/>
      <c r="N144" s="778"/>
      <c r="O144" s="678"/>
      <c r="P144" s="675"/>
      <c r="R144" s="692" t="s">
        <v>538</v>
      </c>
      <c r="S144" s="711"/>
      <c r="T144" s="712"/>
      <c r="U144" s="712">
        <f t="shared" si="12"/>
        <v>0</v>
      </c>
      <c r="V144" s="713">
        <f t="shared" si="13"/>
        <v>0</v>
      </c>
      <c r="W144" s="715"/>
      <c r="X144" s="711"/>
      <c r="Y144" s="715"/>
      <c r="Z144" s="711"/>
      <c r="AA144" s="715"/>
      <c r="AB144" s="711"/>
      <c r="AC144" s="715"/>
      <c r="AD144" s="711"/>
      <c r="AE144" s="715"/>
    </row>
    <row r="145" spans="1:31" ht="17.25" outlineLevel="1" thickBot="1">
      <c r="A145" s="739">
        <v>46159</v>
      </c>
      <c r="B145" s="674"/>
      <c r="C145" s="782"/>
      <c r="D145" s="674"/>
      <c r="E145" s="782"/>
      <c r="F145" s="674"/>
      <c r="G145" s="674"/>
      <c r="H145" s="674"/>
      <c r="I145" s="782"/>
      <c r="J145" s="782"/>
      <c r="K145" s="782"/>
      <c r="L145" s="782"/>
      <c r="M145" s="775"/>
      <c r="N145" s="778"/>
      <c r="O145" s="678"/>
      <c r="P145" s="675"/>
      <c r="R145" s="692" t="s">
        <v>742</v>
      </c>
      <c r="S145" s="716"/>
      <c r="T145" s="717"/>
      <c r="U145" s="717">
        <f t="shared" si="12"/>
        <v>0</v>
      </c>
      <c r="V145" s="713">
        <f t="shared" si="13"/>
        <v>0</v>
      </c>
      <c r="W145" s="718"/>
      <c r="X145" s="716"/>
      <c r="Y145" s="718"/>
      <c r="Z145" s="716"/>
      <c r="AA145" s="718"/>
      <c r="AB145" s="716"/>
      <c r="AC145" s="718"/>
      <c r="AD145" s="716"/>
      <c r="AE145" s="718"/>
    </row>
    <row r="146" spans="1:31" outlineLevel="1">
      <c r="A146" s="739">
        <v>46160</v>
      </c>
      <c r="B146" s="674"/>
      <c r="C146" s="782"/>
      <c r="D146" s="674"/>
      <c r="E146" s="782"/>
      <c r="F146" s="674"/>
      <c r="G146" s="674"/>
      <c r="H146" s="674"/>
      <c r="I146" s="782"/>
      <c r="J146" s="782"/>
      <c r="K146" s="782"/>
      <c r="L146" s="782"/>
      <c r="M146" s="775"/>
      <c r="N146" s="778"/>
      <c r="O146" s="678"/>
      <c r="P146" s="675"/>
      <c r="R146" s="701" t="s">
        <v>737</v>
      </c>
      <c r="S146" s="719">
        <f>SUM(S134:S145)</f>
        <v>0</v>
      </c>
      <c r="T146" s="719">
        <f>SUM(T134:T145)</f>
        <v>0</v>
      </c>
      <c r="U146" s="719">
        <f>SUM(S146:T146)</f>
        <v>0</v>
      </c>
      <c r="V146" s="720">
        <f>IFERROR(T146/U146,0)</f>
        <v>0</v>
      </c>
      <c r="W146" s="721"/>
      <c r="X146" s="719">
        <f>SUM(X134:X145)</f>
        <v>0</v>
      </c>
      <c r="Y146" s="721"/>
      <c r="Z146" s="719">
        <f>SUM(Z134:Z145)</f>
        <v>0</v>
      </c>
      <c r="AA146" s="721"/>
      <c r="AB146" s="719">
        <f>SUM(AB134:AB145)</f>
        <v>0</v>
      </c>
      <c r="AC146" s="721"/>
      <c r="AD146" s="719">
        <f>SUM(AD134:AD145)</f>
        <v>0</v>
      </c>
      <c r="AE146" s="721"/>
    </row>
    <row r="147" spans="1:31" outlineLevel="1">
      <c r="A147" s="739">
        <v>46161</v>
      </c>
      <c r="B147" s="674"/>
      <c r="C147" s="782"/>
      <c r="D147" s="674"/>
      <c r="E147" s="782"/>
      <c r="F147" s="674"/>
      <c r="G147" s="674"/>
      <c r="H147" s="674"/>
      <c r="I147" s="782"/>
      <c r="J147" s="782"/>
      <c r="K147" s="782"/>
      <c r="L147" s="782"/>
      <c r="M147" s="775"/>
      <c r="N147" s="778"/>
      <c r="O147" s="678"/>
      <c r="P147" s="675"/>
    </row>
    <row r="148" spans="1:31" outlineLevel="1">
      <c r="A148" s="739">
        <v>46162</v>
      </c>
      <c r="B148" s="674"/>
      <c r="C148" s="782"/>
      <c r="D148" s="674"/>
      <c r="E148" s="782"/>
      <c r="F148" s="674"/>
      <c r="G148" s="674"/>
      <c r="H148" s="674"/>
      <c r="I148" s="782"/>
      <c r="J148" s="782"/>
      <c r="K148" s="782"/>
      <c r="L148" s="782"/>
      <c r="M148" s="775"/>
      <c r="N148" s="778"/>
      <c r="O148" s="678"/>
      <c r="P148" s="675"/>
    </row>
    <row r="149" spans="1:31" outlineLevel="1">
      <c r="A149" s="739">
        <v>46163</v>
      </c>
      <c r="B149" s="674"/>
      <c r="C149" s="782"/>
      <c r="D149" s="674"/>
      <c r="E149" s="782"/>
      <c r="F149" s="674"/>
      <c r="G149" s="674"/>
      <c r="H149" s="674"/>
      <c r="I149" s="782"/>
      <c r="J149" s="782"/>
      <c r="K149" s="782"/>
      <c r="L149" s="782"/>
      <c r="M149" s="775"/>
      <c r="N149" s="778"/>
      <c r="O149" s="678"/>
      <c r="P149" s="675"/>
    </row>
    <row r="150" spans="1:31" outlineLevel="1">
      <c r="A150" s="739">
        <v>46164</v>
      </c>
      <c r="B150" s="674"/>
      <c r="C150" s="782"/>
      <c r="D150" s="674"/>
      <c r="E150" s="782"/>
      <c r="F150" s="674"/>
      <c r="G150" s="674"/>
      <c r="H150" s="674"/>
      <c r="I150" s="782"/>
      <c r="J150" s="782"/>
      <c r="K150" s="782"/>
      <c r="L150" s="782"/>
      <c r="M150" s="775"/>
      <c r="N150" s="778"/>
      <c r="O150" s="678"/>
      <c r="P150" s="675"/>
    </row>
    <row r="151" spans="1:31" outlineLevel="1">
      <c r="A151" s="739">
        <v>46165</v>
      </c>
      <c r="B151" s="674"/>
      <c r="C151" s="782"/>
      <c r="D151" s="674"/>
      <c r="E151" s="782"/>
      <c r="F151" s="674"/>
      <c r="G151" s="674"/>
      <c r="H151" s="674"/>
      <c r="I151" s="782"/>
      <c r="J151" s="782"/>
      <c r="K151" s="782"/>
      <c r="L151" s="782"/>
      <c r="M151" s="775"/>
      <c r="N151" s="778"/>
      <c r="O151" s="678"/>
      <c r="P151" s="675"/>
    </row>
    <row r="152" spans="1:31" outlineLevel="1">
      <c r="A152" s="739">
        <v>46166</v>
      </c>
      <c r="B152" s="674"/>
      <c r="C152" s="782"/>
      <c r="D152" s="674"/>
      <c r="E152" s="782"/>
      <c r="F152" s="674"/>
      <c r="G152" s="674"/>
      <c r="H152" s="674"/>
      <c r="I152" s="782"/>
      <c r="J152" s="782"/>
      <c r="K152" s="782"/>
      <c r="L152" s="782"/>
      <c r="M152" s="775"/>
      <c r="N152" s="755"/>
      <c r="O152" s="678"/>
      <c r="P152" s="675"/>
    </row>
    <row r="153" spans="1:31" outlineLevel="1">
      <c r="A153" s="739">
        <v>46167</v>
      </c>
      <c r="B153" s="674"/>
      <c r="C153" s="782"/>
      <c r="D153" s="674"/>
      <c r="E153" s="782"/>
      <c r="F153" s="674"/>
      <c r="G153" s="674"/>
      <c r="H153" s="674"/>
      <c r="I153" s="782"/>
      <c r="J153" s="782"/>
      <c r="K153" s="782"/>
      <c r="L153" s="782"/>
      <c r="M153" s="775"/>
      <c r="N153" s="755"/>
      <c r="O153" s="678"/>
      <c r="P153" s="675"/>
    </row>
    <row r="154" spans="1:31" outlineLevel="1">
      <c r="A154" s="739">
        <v>46168</v>
      </c>
      <c r="B154" s="674"/>
      <c r="C154" s="782"/>
      <c r="D154" s="674"/>
      <c r="E154" s="782"/>
      <c r="F154" s="674"/>
      <c r="G154" s="674"/>
      <c r="H154" s="674"/>
      <c r="I154" s="674"/>
      <c r="J154" s="674"/>
      <c r="K154" s="674"/>
      <c r="L154" s="674"/>
      <c r="M154" s="775"/>
      <c r="N154" s="755"/>
      <c r="O154" s="678"/>
      <c r="P154" s="675"/>
    </row>
    <row r="155" spans="1:31" outlineLevel="1">
      <c r="A155" s="739">
        <v>46169</v>
      </c>
      <c r="B155" s="694"/>
      <c r="C155" s="783"/>
      <c r="D155" s="694"/>
      <c r="E155" s="782"/>
      <c r="F155" s="694"/>
      <c r="G155" s="694"/>
      <c r="H155" s="694"/>
      <c r="I155" s="674"/>
      <c r="J155" s="783"/>
      <c r="K155" s="694"/>
      <c r="L155" s="694"/>
      <c r="M155" s="776"/>
      <c r="N155" s="755"/>
      <c r="O155" s="678"/>
      <c r="P155" s="675"/>
    </row>
    <row r="156" spans="1:31" outlineLevel="1">
      <c r="A156" s="739">
        <v>46170</v>
      </c>
      <c r="B156" s="694"/>
      <c r="C156" s="694"/>
      <c r="D156" s="694"/>
      <c r="E156" s="674"/>
      <c r="F156" s="695"/>
      <c r="G156" s="695"/>
      <c r="H156" s="695"/>
      <c r="I156" s="695"/>
      <c r="J156" s="784"/>
      <c r="K156" s="695"/>
      <c r="L156" s="695"/>
      <c r="M156" s="777"/>
      <c r="N156" s="755"/>
      <c r="O156" s="678"/>
      <c r="P156" s="675"/>
    </row>
    <row r="157" spans="1:31" outlineLevel="1">
      <c r="A157" s="739">
        <v>46171</v>
      </c>
      <c r="B157" s="695"/>
      <c r="C157" s="695"/>
      <c r="D157" s="695"/>
      <c r="E157" s="674"/>
      <c r="F157" s="676"/>
      <c r="G157" s="676"/>
      <c r="H157" s="676"/>
      <c r="I157" s="674"/>
      <c r="J157" s="785"/>
      <c r="K157" s="676"/>
      <c r="L157" s="676"/>
      <c r="M157" s="756"/>
      <c r="N157" s="755"/>
      <c r="O157" s="678"/>
      <c r="P157" s="675"/>
    </row>
    <row r="158" spans="1:31" outlineLevel="1">
      <c r="A158" s="739">
        <v>46172</v>
      </c>
      <c r="C158" s="695"/>
      <c r="D158" s="695"/>
      <c r="E158" s="694"/>
      <c r="F158" s="676"/>
      <c r="G158" s="676"/>
      <c r="H158" s="676"/>
      <c r="I158" s="676"/>
      <c r="J158" s="785"/>
      <c r="K158" s="676"/>
      <c r="L158" s="676"/>
      <c r="M158" s="756"/>
      <c r="N158" s="755"/>
      <c r="O158" s="678"/>
      <c r="P158" s="675"/>
    </row>
    <row r="159" spans="1:31" ht="17.25" outlineLevel="1" thickBot="1">
      <c r="A159" s="739">
        <v>46173</v>
      </c>
      <c r="B159" s="695"/>
      <c r="C159" s="695"/>
      <c r="D159" s="695"/>
      <c r="E159" s="695"/>
      <c r="F159" s="676"/>
      <c r="G159" s="676"/>
      <c r="H159" s="676"/>
      <c r="I159" s="676"/>
      <c r="J159" s="676"/>
      <c r="K159" s="676"/>
      <c r="L159" s="676"/>
      <c r="M159" s="755"/>
      <c r="N159" s="755"/>
      <c r="O159" s="678"/>
      <c r="P159" s="677"/>
    </row>
    <row r="160" spans="1:31" ht="17.25" outlineLevel="1" thickBot="1">
      <c r="A160" s="753" t="s">
        <v>737</v>
      </c>
      <c r="B160" s="688">
        <f t="shared" ref="B160:L160" si="14">SUM(B129:B159)</f>
        <v>0</v>
      </c>
      <c r="C160" s="688">
        <f t="shared" si="14"/>
        <v>0</v>
      </c>
      <c r="D160" s="688">
        <f t="shared" si="14"/>
        <v>0</v>
      </c>
      <c r="E160" s="688">
        <f t="shared" si="14"/>
        <v>0</v>
      </c>
      <c r="F160" s="688">
        <f t="shared" si="14"/>
        <v>0</v>
      </c>
      <c r="G160" s="688">
        <f t="shared" si="14"/>
        <v>0</v>
      </c>
      <c r="H160" s="688">
        <f t="shared" si="14"/>
        <v>0</v>
      </c>
      <c r="I160" s="689">
        <f t="shared" si="14"/>
        <v>0</v>
      </c>
      <c r="J160" s="689">
        <f t="shared" si="14"/>
        <v>0</v>
      </c>
      <c r="K160" s="689">
        <f t="shared" si="14"/>
        <v>0</v>
      </c>
      <c r="L160" s="689">
        <f t="shared" si="14"/>
        <v>0</v>
      </c>
      <c r="M160" s="757">
        <f>SUM(M130:M159)</f>
        <v>0</v>
      </c>
      <c r="N160" s="757">
        <f>SUM(N129:N159)</f>
        <v>0</v>
      </c>
      <c r="O160" s="757">
        <f>M160+N160</f>
        <v>0</v>
      </c>
      <c r="P160" s="690"/>
    </row>
    <row r="161" spans="1:31" outlineLevel="1">
      <c r="A161" s="739">
        <v>46174</v>
      </c>
      <c r="B161" s="673"/>
      <c r="C161" s="673"/>
      <c r="D161" s="673"/>
      <c r="E161" s="673"/>
      <c r="F161" s="673"/>
      <c r="G161" s="673"/>
      <c r="H161" s="673"/>
      <c r="I161" s="782"/>
      <c r="J161" s="782"/>
      <c r="K161" s="673"/>
      <c r="L161" s="673"/>
      <c r="M161" s="778"/>
      <c r="N161" s="778"/>
      <c r="O161" s="678"/>
      <c r="P161" s="675"/>
      <c r="R161" s="1188" t="s">
        <v>624</v>
      </c>
      <c r="S161" s="1191" t="s">
        <v>286</v>
      </c>
      <c r="T161" s="1192"/>
      <c r="U161" s="1192"/>
      <c r="V161" s="1192"/>
      <c r="W161" s="1193"/>
      <c r="X161" s="1191" t="s">
        <v>751</v>
      </c>
      <c r="Y161" s="1193"/>
      <c r="Z161" s="1191" t="s">
        <v>730</v>
      </c>
      <c r="AA161" s="1193"/>
      <c r="AB161" s="1191" t="s">
        <v>745</v>
      </c>
      <c r="AC161" s="1193"/>
      <c r="AD161" s="1191" t="s">
        <v>539</v>
      </c>
      <c r="AE161" s="1193"/>
    </row>
    <row r="162" spans="1:31" ht="16.5" customHeight="1" outlineLevel="1">
      <c r="A162" s="739">
        <v>46175</v>
      </c>
      <c r="B162" s="673"/>
      <c r="C162" s="673"/>
      <c r="D162" s="673"/>
      <c r="E162" s="673"/>
      <c r="F162" s="673"/>
      <c r="G162" s="673"/>
      <c r="H162" s="673"/>
      <c r="I162" s="782"/>
      <c r="J162" s="782"/>
      <c r="K162" s="673"/>
      <c r="L162" s="673"/>
      <c r="M162" s="778"/>
      <c r="N162" s="778"/>
      <c r="O162" s="678"/>
      <c r="P162" s="675"/>
      <c r="R162" s="1189"/>
      <c r="S162" s="1194" t="s">
        <v>746</v>
      </c>
      <c r="T162" s="1195"/>
      <c r="U162" s="1196"/>
      <c r="V162" s="1197" t="s">
        <v>750</v>
      </c>
      <c r="W162" s="1188" t="s">
        <v>744</v>
      </c>
      <c r="X162" s="1199" t="s">
        <v>746</v>
      </c>
      <c r="Y162" s="1188" t="s">
        <v>744</v>
      </c>
      <c r="Z162" s="1199" t="s">
        <v>746</v>
      </c>
      <c r="AA162" s="1188" t="s">
        <v>744</v>
      </c>
      <c r="AB162" s="1199" t="s">
        <v>746</v>
      </c>
      <c r="AC162" s="1188" t="s">
        <v>744</v>
      </c>
      <c r="AD162" s="1199" t="s">
        <v>746</v>
      </c>
      <c r="AE162" s="1188" t="s">
        <v>744</v>
      </c>
    </row>
    <row r="163" spans="1:31" outlineLevel="1">
      <c r="A163" s="739">
        <v>46176</v>
      </c>
      <c r="B163" s="673"/>
      <c r="C163" s="673"/>
      <c r="D163" s="673"/>
      <c r="E163" s="673"/>
      <c r="F163" s="673"/>
      <c r="G163" s="673"/>
      <c r="H163" s="673"/>
      <c r="I163" s="782"/>
      <c r="J163" s="782"/>
      <c r="K163" s="673"/>
      <c r="L163" s="673"/>
      <c r="M163" s="778"/>
      <c r="N163" s="778"/>
      <c r="O163" s="678"/>
      <c r="P163" s="675"/>
      <c r="R163" s="1190"/>
      <c r="S163" s="704" t="s">
        <v>735</v>
      </c>
      <c r="T163" s="705" t="s">
        <v>736</v>
      </c>
      <c r="U163" s="705" t="s">
        <v>737</v>
      </c>
      <c r="V163" s="1198"/>
      <c r="W163" s="1190"/>
      <c r="X163" s="1200"/>
      <c r="Y163" s="1190"/>
      <c r="Z163" s="1200"/>
      <c r="AA163" s="1190"/>
      <c r="AB163" s="1200"/>
      <c r="AC163" s="1190"/>
      <c r="AD163" s="1200"/>
      <c r="AE163" s="1190"/>
    </row>
    <row r="164" spans="1:31" outlineLevel="1">
      <c r="A164" s="739">
        <v>46177</v>
      </c>
      <c r="B164" s="673"/>
      <c r="C164" s="673"/>
      <c r="D164" s="673"/>
      <c r="E164" s="673"/>
      <c r="F164" s="673"/>
      <c r="G164" s="673"/>
      <c r="H164" s="673"/>
      <c r="I164" s="782"/>
      <c r="J164" s="782"/>
      <c r="K164" s="673"/>
      <c r="L164" s="673"/>
      <c r="M164" s="779"/>
      <c r="N164" s="778"/>
      <c r="O164" s="678"/>
      <c r="P164" s="675"/>
      <c r="R164" s="692" t="s">
        <v>36</v>
      </c>
      <c r="S164" s="711"/>
      <c r="T164" s="712"/>
      <c r="U164" s="712"/>
      <c r="V164" s="713">
        <f>IFERROR(T164/U164,0)</f>
        <v>0</v>
      </c>
      <c r="W164" s="714"/>
      <c r="X164" s="711"/>
      <c r="Y164" s="714"/>
      <c r="Z164" s="711"/>
      <c r="AA164" s="714"/>
      <c r="AB164" s="711"/>
      <c r="AC164" s="714"/>
      <c r="AD164" s="711"/>
      <c r="AE164" s="714"/>
    </row>
    <row r="165" spans="1:31" outlineLevel="1">
      <c r="A165" s="739">
        <v>46178</v>
      </c>
      <c r="B165" s="673"/>
      <c r="C165" s="673"/>
      <c r="D165" s="673"/>
      <c r="E165" s="673"/>
      <c r="F165" s="673"/>
      <c r="G165" s="673"/>
      <c r="H165" s="673"/>
      <c r="I165" s="782"/>
      <c r="J165" s="782"/>
      <c r="K165" s="673"/>
      <c r="L165" s="673"/>
      <c r="M165" s="779"/>
      <c r="N165" s="778"/>
      <c r="O165" s="678"/>
      <c r="P165" s="675"/>
      <c r="R165" s="692" t="s">
        <v>738</v>
      </c>
      <c r="S165" s="711"/>
      <c r="T165" s="712"/>
      <c r="U165" s="712">
        <f t="shared" ref="U165:U175" si="15">S165+T165</f>
        <v>0</v>
      </c>
      <c r="V165" s="713">
        <f t="shared" ref="V165:V175" si="16">IFERROR(T165/U165,0)</f>
        <v>0</v>
      </c>
      <c r="W165" s="714"/>
      <c r="X165" s="711"/>
      <c r="Y165" s="714"/>
      <c r="Z165" s="711"/>
      <c r="AA165" s="714"/>
      <c r="AB165" s="711"/>
      <c r="AC165" s="714"/>
      <c r="AD165" s="711"/>
      <c r="AE165" s="714"/>
    </row>
    <row r="166" spans="1:31" outlineLevel="1">
      <c r="A166" s="739">
        <v>46179</v>
      </c>
      <c r="B166" s="673"/>
      <c r="C166" s="673"/>
      <c r="D166" s="673"/>
      <c r="E166" s="673"/>
      <c r="F166" s="673"/>
      <c r="G166" s="673"/>
      <c r="H166" s="673"/>
      <c r="I166" s="782"/>
      <c r="J166" s="782"/>
      <c r="K166" s="782"/>
      <c r="L166" s="782"/>
      <c r="M166" s="779"/>
      <c r="N166" s="778"/>
      <c r="O166" s="678"/>
      <c r="P166" s="675"/>
      <c r="R166" s="692" t="s">
        <v>508</v>
      </c>
      <c r="S166" s="711"/>
      <c r="T166" s="712"/>
      <c r="U166" s="712">
        <f t="shared" si="15"/>
        <v>0</v>
      </c>
      <c r="V166" s="713">
        <f t="shared" si="16"/>
        <v>0</v>
      </c>
      <c r="W166" s="714"/>
      <c r="X166" s="711"/>
      <c r="Y166" s="714"/>
      <c r="Z166" s="711"/>
      <c r="AA166" s="714"/>
      <c r="AB166" s="711"/>
      <c r="AC166" s="714"/>
      <c r="AD166" s="711"/>
      <c r="AE166" s="714"/>
    </row>
    <row r="167" spans="1:31" outlineLevel="1">
      <c r="A167" s="739">
        <v>46180</v>
      </c>
      <c r="B167" s="673"/>
      <c r="C167" s="674"/>
      <c r="D167" s="674"/>
      <c r="E167" s="674"/>
      <c r="F167" s="673"/>
      <c r="G167" s="673"/>
      <c r="H167" s="673"/>
      <c r="I167" s="782"/>
      <c r="J167" s="782"/>
      <c r="K167" s="782"/>
      <c r="L167" s="782"/>
      <c r="M167" s="779"/>
      <c r="N167" s="778"/>
      <c r="O167" s="678"/>
      <c r="P167" s="675"/>
      <c r="R167" s="692" t="s">
        <v>727</v>
      </c>
      <c r="S167" s="711"/>
      <c r="T167" s="712"/>
      <c r="U167" s="712">
        <f t="shared" si="15"/>
        <v>0</v>
      </c>
      <c r="V167" s="713">
        <f t="shared" si="16"/>
        <v>0</v>
      </c>
      <c r="W167" s="714"/>
      <c r="X167" s="711"/>
      <c r="Y167" s="714"/>
      <c r="Z167" s="711"/>
      <c r="AA167" s="714"/>
      <c r="AB167" s="711"/>
      <c r="AC167" s="714"/>
      <c r="AD167" s="711"/>
      <c r="AE167" s="714"/>
    </row>
    <row r="168" spans="1:31" outlineLevel="1">
      <c r="A168" s="739">
        <v>46181</v>
      </c>
      <c r="B168" s="673"/>
      <c r="C168" s="674"/>
      <c r="D168" s="674"/>
      <c r="E168" s="674"/>
      <c r="F168" s="673"/>
      <c r="G168" s="673"/>
      <c r="H168" s="673"/>
      <c r="I168" s="782"/>
      <c r="J168" s="782"/>
      <c r="K168" s="782"/>
      <c r="L168" s="782"/>
      <c r="M168" s="779"/>
      <c r="N168" s="778"/>
      <c r="O168" s="678"/>
      <c r="P168" s="691"/>
      <c r="R168" s="692" t="s">
        <v>728</v>
      </c>
      <c r="S168" s="711"/>
      <c r="T168" s="712"/>
      <c r="U168" s="712">
        <f t="shared" si="15"/>
        <v>0</v>
      </c>
      <c r="V168" s="713">
        <f t="shared" si="16"/>
        <v>0</v>
      </c>
      <c r="W168" s="714"/>
      <c r="X168" s="711"/>
      <c r="Y168" s="714"/>
      <c r="Z168" s="711"/>
      <c r="AA168" s="714"/>
      <c r="AB168" s="711"/>
      <c r="AC168" s="714"/>
      <c r="AD168" s="711"/>
      <c r="AE168" s="714"/>
    </row>
    <row r="169" spans="1:31" outlineLevel="1">
      <c r="A169" s="739">
        <v>46182</v>
      </c>
      <c r="B169" s="673"/>
      <c r="C169" s="674"/>
      <c r="D169" s="674"/>
      <c r="E169" s="674"/>
      <c r="F169" s="673"/>
      <c r="G169" s="673"/>
      <c r="H169" s="673"/>
      <c r="I169" s="782"/>
      <c r="J169" s="782"/>
      <c r="K169" s="782"/>
      <c r="L169" s="782"/>
      <c r="M169" s="779"/>
      <c r="N169" s="778"/>
      <c r="O169" s="678"/>
      <c r="P169" s="691"/>
      <c r="R169" s="692" t="s">
        <v>175</v>
      </c>
      <c r="S169" s="711"/>
      <c r="T169" s="712"/>
      <c r="U169" s="712">
        <f t="shared" si="15"/>
        <v>0</v>
      </c>
      <c r="V169" s="713">
        <f t="shared" si="16"/>
        <v>0</v>
      </c>
      <c r="W169" s="714"/>
      <c r="X169" s="711"/>
      <c r="Y169" s="714"/>
      <c r="Z169" s="711"/>
      <c r="AA169" s="714"/>
      <c r="AB169" s="711"/>
      <c r="AC169" s="714"/>
      <c r="AD169" s="711"/>
      <c r="AE169" s="714"/>
    </row>
    <row r="170" spans="1:31" outlineLevel="1">
      <c r="A170" s="739">
        <v>46183</v>
      </c>
      <c r="B170" s="673"/>
      <c r="C170" s="782"/>
      <c r="D170" s="674"/>
      <c r="E170" s="674"/>
      <c r="F170" s="673"/>
      <c r="G170" s="673"/>
      <c r="H170" s="673"/>
      <c r="I170" s="782"/>
      <c r="J170" s="782"/>
      <c r="K170" s="782"/>
      <c r="L170" s="782"/>
      <c r="M170" s="779"/>
      <c r="N170" s="778"/>
      <c r="O170" s="678"/>
      <c r="P170" s="691"/>
      <c r="R170" s="692" t="s">
        <v>537</v>
      </c>
      <c r="S170" s="711"/>
      <c r="T170" s="712"/>
      <c r="U170" s="712">
        <f t="shared" si="15"/>
        <v>0</v>
      </c>
      <c r="V170" s="713">
        <f t="shared" si="16"/>
        <v>0</v>
      </c>
      <c r="W170" s="714"/>
      <c r="X170" s="711"/>
      <c r="Y170" s="714"/>
      <c r="Z170" s="711"/>
      <c r="AA170" s="714"/>
      <c r="AB170" s="711"/>
      <c r="AC170" s="714"/>
      <c r="AD170" s="711"/>
      <c r="AE170" s="714"/>
    </row>
    <row r="171" spans="1:31" outlineLevel="1">
      <c r="A171" s="739">
        <v>46184</v>
      </c>
      <c r="B171" s="673"/>
      <c r="C171" s="782"/>
      <c r="D171" s="674"/>
      <c r="E171" s="782"/>
      <c r="F171" s="673"/>
      <c r="G171" s="673"/>
      <c r="H171" s="673"/>
      <c r="I171" s="782"/>
      <c r="J171" s="782"/>
      <c r="K171" s="782"/>
      <c r="L171" s="782"/>
      <c r="M171" s="779"/>
      <c r="N171" s="778"/>
      <c r="O171" s="678"/>
      <c r="P171" s="675"/>
      <c r="R171" s="692" t="s">
        <v>739</v>
      </c>
      <c r="S171" s="711"/>
      <c r="T171" s="712"/>
      <c r="U171" s="712">
        <f t="shared" si="15"/>
        <v>0</v>
      </c>
      <c r="V171" s="713">
        <f t="shared" si="16"/>
        <v>0</v>
      </c>
      <c r="W171" s="714"/>
      <c r="X171" s="711"/>
      <c r="Y171" s="714"/>
      <c r="Z171" s="711"/>
      <c r="AA171" s="714"/>
      <c r="AB171" s="711"/>
      <c r="AC171" s="714"/>
      <c r="AD171" s="711"/>
      <c r="AE171" s="714"/>
    </row>
    <row r="172" spans="1:31" outlineLevel="1">
      <c r="A172" s="739">
        <v>46185</v>
      </c>
      <c r="B172" s="673"/>
      <c r="C172" s="782"/>
      <c r="D172" s="674"/>
      <c r="E172" s="782"/>
      <c r="F172" s="673"/>
      <c r="G172" s="673"/>
      <c r="H172" s="673"/>
      <c r="I172" s="782"/>
      <c r="J172" s="782"/>
      <c r="K172" s="782"/>
      <c r="L172" s="782"/>
      <c r="M172" s="779"/>
      <c r="N172" s="778"/>
      <c r="O172" s="678"/>
      <c r="P172" s="675"/>
      <c r="R172" s="692" t="s">
        <v>740</v>
      </c>
      <c r="S172" s="711"/>
      <c r="T172" s="712"/>
      <c r="U172" s="712">
        <f t="shared" si="15"/>
        <v>0</v>
      </c>
      <c r="V172" s="713">
        <f t="shared" si="16"/>
        <v>0</v>
      </c>
      <c r="W172" s="714"/>
      <c r="X172" s="711"/>
      <c r="Y172" s="714"/>
      <c r="Z172" s="711"/>
      <c r="AA172" s="714"/>
      <c r="AB172" s="711"/>
      <c r="AC172" s="714"/>
      <c r="AD172" s="711"/>
      <c r="AE172" s="714"/>
    </row>
    <row r="173" spans="1:31" outlineLevel="1">
      <c r="A173" s="739">
        <v>46186</v>
      </c>
      <c r="B173" s="673"/>
      <c r="C173" s="782"/>
      <c r="D173" s="674"/>
      <c r="E173" s="674"/>
      <c r="F173" s="673"/>
      <c r="G173" s="673"/>
      <c r="H173" s="673"/>
      <c r="I173" s="782"/>
      <c r="J173" s="782"/>
      <c r="K173" s="782"/>
      <c r="L173" s="782"/>
      <c r="M173" s="779"/>
      <c r="N173" s="778"/>
      <c r="O173" s="678"/>
      <c r="P173" s="675"/>
      <c r="R173" s="692" t="s">
        <v>741</v>
      </c>
      <c r="S173" s="711"/>
      <c r="T173" s="712"/>
      <c r="U173" s="712">
        <f t="shared" si="15"/>
        <v>0</v>
      </c>
      <c r="V173" s="713">
        <f t="shared" si="16"/>
        <v>0</v>
      </c>
      <c r="W173" s="715"/>
      <c r="X173" s="711"/>
      <c r="Y173" s="715"/>
      <c r="Z173" s="711"/>
      <c r="AA173" s="715"/>
      <c r="AB173" s="711"/>
      <c r="AC173" s="715"/>
      <c r="AD173" s="711"/>
      <c r="AE173" s="715"/>
    </row>
    <row r="174" spans="1:31" outlineLevel="1">
      <c r="A174" s="739">
        <v>46187</v>
      </c>
      <c r="B174" s="673"/>
      <c r="C174" s="782"/>
      <c r="D174" s="674"/>
      <c r="E174" s="674"/>
      <c r="F174" s="673"/>
      <c r="G174" s="673"/>
      <c r="H174" s="673"/>
      <c r="I174" s="782"/>
      <c r="J174" s="782"/>
      <c r="K174" s="782"/>
      <c r="L174" s="782"/>
      <c r="M174" s="779"/>
      <c r="N174" s="778"/>
      <c r="O174" s="678"/>
      <c r="P174" s="675"/>
      <c r="R174" s="692" t="s">
        <v>538</v>
      </c>
      <c r="S174" s="711"/>
      <c r="T174" s="712"/>
      <c r="U174" s="712">
        <f t="shared" si="15"/>
        <v>0</v>
      </c>
      <c r="V174" s="713">
        <f t="shared" si="16"/>
        <v>0</v>
      </c>
      <c r="W174" s="715"/>
      <c r="X174" s="711"/>
      <c r="Y174" s="715"/>
      <c r="Z174" s="711"/>
      <c r="AA174" s="715"/>
      <c r="AB174" s="711"/>
      <c r="AC174" s="715"/>
      <c r="AD174" s="711"/>
      <c r="AE174" s="715"/>
    </row>
    <row r="175" spans="1:31" ht="17.25" outlineLevel="1" thickBot="1">
      <c r="A175" s="739">
        <v>46188</v>
      </c>
      <c r="B175" s="673"/>
      <c r="C175" s="782"/>
      <c r="D175" s="674"/>
      <c r="E175" s="674"/>
      <c r="F175" s="673"/>
      <c r="G175" s="673"/>
      <c r="H175" s="673"/>
      <c r="I175" s="782"/>
      <c r="J175" s="782"/>
      <c r="K175" s="782"/>
      <c r="L175" s="782"/>
      <c r="M175" s="779"/>
      <c r="N175" s="778"/>
      <c r="O175" s="678"/>
      <c r="P175" s="675"/>
      <c r="R175" s="692" t="s">
        <v>742</v>
      </c>
      <c r="S175" s="716"/>
      <c r="T175" s="717"/>
      <c r="U175" s="717">
        <f t="shared" si="15"/>
        <v>0</v>
      </c>
      <c r="V175" s="713">
        <f t="shared" si="16"/>
        <v>0</v>
      </c>
      <c r="W175" s="718"/>
      <c r="X175" s="716"/>
      <c r="Y175" s="718"/>
      <c r="Z175" s="716"/>
      <c r="AA175" s="718"/>
      <c r="AB175" s="716"/>
      <c r="AC175" s="718"/>
      <c r="AD175" s="716"/>
      <c r="AE175" s="718"/>
    </row>
    <row r="176" spans="1:31" outlineLevel="1">
      <c r="A176" s="739">
        <v>46189</v>
      </c>
      <c r="B176" s="674"/>
      <c r="C176" s="782"/>
      <c r="D176" s="674"/>
      <c r="E176" s="674"/>
      <c r="F176" s="674"/>
      <c r="G176" s="674"/>
      <c r="H176" s="674"/>
      <c r="I176" s="782"/>
      <c r="J176" s="782"/>
      <c r="K176" s="782"/>
      <c r="L176" s="782"/>
      <c r="M176" s="775"/>
      <c r="N176" s="778"/>
      <c r="O176" s="678"/>
      <c r="P176" s="675"/>
      <c r="R176" s="701" t="s">
        <v>737</v>
      </c>
      <c r="S176" s="719">
        <f>SUM(S164:S175)</f>
        <v>0</v>
      </c>
      <c r="T176" s="719">
        <f>SUM(T164:T175)</f>
        <v>0</v>
      </c>
      <c r="U176" s="719">
        <f>SUM(S176:T176)</f>
        <v>0</v>
      </c>
      <c r="V176" s="720">
        <f>IFERROR(T176/U176,0)</f>
        <v>0</v>
      </c>
      <c r="W176" s="721"/>
      <c r="X176" s="719">
        <f>SUM(X164:X175)</f>
        <v>0</v>
      </c>
      <c r="Y176" s="721"/>
      <c r="Z176" s="719">
        <f>SUM(Z164:Z175)</f>
        <v>0</v>
      </c>
      <c r="AA176" s="721"/>
      <c r="AB176" s="719">
        <f>SUM(AB164:AB175)</f>
        <v>0</v>
      </c>
      <c r="AC176" s="721"/>
      <c r="AD176" s="719">
        <f>SUM(AD164:AD175)</f>
        <v>0</v>
      </c>
      <c r="AE176" s="721"/>
    </row>
    <row r="177" spans="1:16" outlineLevel="1">
      <c r="A177" s="739">
        <v>46190</v>
      </c>
      <c r="B177" s="674"/>
      <c r="C177" s="782"/>
      <c r="D177" s="674"/>
      <c r="E177" s="674"/>
      <c r="F177" s="674"/>
      <c r="G177" s="674"/>
      <c r="H177" s="674"/>
      <c r="I177" s="674"/>
      <c r="J177" s="674"/>
      <c r="K177" s="782"/>
      <c r="L177" s="782"/>
      <c r="M177" s="775"/>
      <c r="N177" s="778"/>
      <c r="O177" s="678"/>
      <c r="P177" s="675"/>
    </row>
    <row r="178" spans="1:16" outlineLevel="1">
      <c r="A178" s="739">
        <v>46191</v>
      </c>
      <c r="B178" s="674"/>
      <c r="C178" s="782"/>
      <c r="D178" s="782"/>
      <c r="E178" s="782"/>
      <c r="F178" s="674"/>
      <c r="G178" s="674"/>
      <c r="H178" s="674"/>
      <c r="I178" s="674"/>
      <c r="J178" s="674"/>
      <c r="K178" s="782"/>
      <c r="L178" s="782"/>
      <c r="M178" s="775"/>
      <c r="N178" s="778"/>
      <c r="O178" s="678"/>
      <c r="P178" s="675"/>
    </row>
    <row r="179" spans="1:16" outlineLevel="1">
      <c r="A179" s="739">
        <v>46192</v>
      </c>
      <c r="B179" s="674"/>
      <c r="C179" s="782"/>
      <c r="D179" s="782"/>
      <c r="E179" s="782"/>
      <c r="F179" s="674"/>
      <c r="G179" s="674"/>
      <c r="H179" s="674"/>
      <c r="I179" s="674"/>
      <c r="J179" s="782"/>
      <c r="K179" s="782"/>
      <c r="L179" s="782"/>
      <c r="M179" s="775"/>
      <c r="N179" s="778"/>
      <c r="O179" s="678"/>
      <c r="P179" s="675"/>
    </row>
    <row r="180" spans="1:16" outlineLevel="1">
      <c r="A180" s="739">
        <v>46193</v>
      </c>
      <c r="B180" s="674"/>
      <c r="C180" s="782"/>
      <c r="D180" s="782"/>
      <c r="E180" s="782"/>
      <c r="F180" s="674"/>
      <c r="G180" s="674"/>
      <c r="H180" s="674"/>
      <c r="I180" s="674"/>
      <c r="J180" s="782"/>
      <c r="K180" s="782"/>
      <c r="L180" s="782"/>
      <c r="M180" s="775"/>
      <c r="N180" s="778"/>
      <c r="O180" s="678"/>
      <c r="P180" s="675"/>
    </row>
    <row r="181" spans="1:16" outlineLevel="1">
      <c r="A181" s="739">
        <v>46194</v>
      </c>
      <c r="B181" s="674"/>
      <c r="C181" s="782"/>
      <c r="D181" s="782"/>
      <c r="E181" s="782"/>
      <c r="F181" s="674"/>
      <c r="G181" s="674"/>
      <c r="H181" s="674"/>
      <c r="I181" s="782"/>
      <c r="J181" s="782"/>
      <c r="K181" s="782"/>
      <c r="L181" s="782"/>
      <c r="M181" s="775"/>
      <c r="N181" s="778"/>
      <c r="O181" s="678"/>
      <c r="P181" s="675"/>
    </row>
    <row r="182" spans="1:16" outlineLevel="1">
      <c r="A182" s="739">
        <v>46195</v>
      </c>
      <c r="B182" s="674"/>
      <c r="C182" s="782"/>
      <c r="D182" s="782"/>
      <c r="E182" s="782"/>
      <c r="F182" s="674"/>
      <c r="G182" s="674"/>
      <c r="H182" s="674"/>
      <c r="I182" s="674"/>
      <c r="J182" s="782"/>
      <c r="K182" s="782"/>
      <c r="L182" s="782"/>
      <c r="M182" s="775"/>
      <c r="N182" s="778"/>
      <c r="O182" s="678"/>
      <c r="P182" s="675"/>
    </row>
    <row r="183" spans="1:16" outlineLevel="1">
      <c r="A183" s="739">
        <v>46196</v>
      </c>
      <c r="B183" s="674"/>
      <c r="C183" s="782"/>
      <c r="D183" s="782"/>
      <c r="E183" s="782"/>
      <c r="F183" s="674"/>
      <c r="G183" s="674"/>
      <c r="H183" s="674"/>
      <c r="I183" s="674"/>
      <c r="J183" s="782"/>
      <c r="K183" s="782"/>
      <c r="L183" s="782"/>
      <c r="M183" s="775"/>
      <c r="N183" s="778"/>
      <c r="O183" s="678"/>
      <c r="P183" s="675"/>
    </row>
    <row r="184" spans="1:16" outlineLevel="1">
      <c r="A184" s="739">
        <v>46197</v>
      </c>
      <c r="B184" s="674"/>
      <c r="C184" s="782"/>
      <c r="D184" s="782"/>
      <c r="E184" s="782"/>
      <c r="F184" s="782"/>
      <c r="G184" s="782"/>
      <c r="H184" s="782"/>
      <c r="I184" s="782"/>
      <c r="J184" s="674"/>
      <c r="K184" s="782"/>
      <c r="L184" s="782"/>
      <c r="M184" s="775"/>
      <c r="N184" s="778"/>
      <c r="O184" s="678"/>
      <c r="P184" s="675"/>
    </row>
    <row r="185" spans="1:16" outlineLevel="1">
      <c r="A185" s="739">
        <v>46198</v>
      </c>
      <c r="B185" s="674"/>
      <c r="C185" s="782"/>
      <c r="D185" s="782"/>
      <c r="E185" s="782"/>
      <c r="F185" s="782"/>
      <c r="G185" s="782"/>
      <c r="H185" s="782"/>
      <c r="I185" s="782"/>
      <c r="J185" s="674"/>
      <c r="K185" s="782"/>
      <c r="L185" s="782"/>
      <c r="M185" s="775"/>
      <c r="N185" s="778"/>
      <c r="O185" s="678"/>
      <c r="P185" s="675"/>
    </row>
    <row r="186" spans="1:16" outlineLevel="1">
      <c r="A186" s="739">
        <v>46199</v>
      </c>
      <c r="B186" s="674"/>
      <c r="C186" s="782"/>
      <c r="D186" s="782"/>
      <c r="E186" s="782"/>
      <c r="F186" s="782"/>
      <c r="G186" s="782"/>
      <c r="H186" s="782"/>
      <c r="I186" s="782"/>
      <c r="J186" s="674"/>
      <c r="K186" s="674"/>
      <c r="L186" s="674"/>
      <c r="M186" s="775"/>
      <c r="N186" s="778"/>
      <c r="O186" s="678"/>
      <c r="P186" s="675"/>
    </row>
    <row r="187" spans="1:16" outlineLevel="1">
      <c r="A187" s="739">
        <v>46200</v>
      </c>
      <c r="B187" s="694"/>
      <c r="C187" s="783"/>
      <c r="D187" s="783"/>
      <c r="E187" s="782"/>
      <c r="F187" s="783"/>
      <c r="G187" s="783"/>
      <c r="H187" s="783"/>
      <c r="I187" s="782"/>
      <c r="J187" s="694"/>
      <c r="K187" s="694"/>
      <c r="L187" s="694"/>
      <c r="M187" s="776"/>
      <c r="N187" s="778"/>
      <c r="O187" s="678"/>
      <c r="P187" s="675"/>
    </row>
    <row r="188" spans="1:16" outlineLevel="1">
      <c r="A188" s="739">
        <v>46201</v>
      </c>
      <c r="B188" s="694"/>
      <c r="C188" s="783"/>
      <c r="D188" s="783"/>
      <c r="E188" s="782"/>
      <c r="F188" s="784"/>
      <c r="G188" s="784"/>
      <c r="H188" s="784"/>
      <c r="I188" s="784"/>
      <c r="J188" s="695"/>
      <c r="K188" s="695"/>
      <c r="L188" s="695"/>
      <c r="M188" s="777"/>
      <c r="N188" s="778"/>
      <c r="O188" s="678"/>
      <c r="P188" s="675"/>
    </row>
    <row r="189" spans="1:16" outlineLevel="1">
      <c r="A189" s="739">
        <v>46202</v>
      </c>
      <c r="B189" s="695"/>
      <c r="C189" s="784"/>
      <c r="D189" s="784"/>
      <c r="E189" s="782"/>
      <c r="F189" s="785"/>
      <c r="G189" s="785"/>
      <c r="H189" s="785"/>
      <c r="I189" s="782"/>
      <c r="J189" s="676"/>
      <c r="K189" s="676"/>
      <c r="L189" s="676"/>
      <c r="M189" s="756"/>
      <c r="N189" s="778"/>
      <c r="O189" s="678"/>
      <c r="P189" s="675"/>
    </row>
    <row r="190" spans="1:16" ht="17.25" outlineLevel="1" thickBot="1">
      <c r="A190" s="739">
        <v>46203</v>
      </c>
      <c r="B190" s="695"/>
      <c r="C190" s="784"/>
      <c r="D190" s="784"/>
      <c r="E190" s="783"/>
      <c r="F190" s="785"/>
      <c r="G190" s="785"/>
      <c r="H190" s="785"/>
      <c r="I190" s="785"/>
      <c r="J190" s="676"/>
      <c r="K190" s="676"/>
      <c r="L190" s="676"/>
      <c r="M190" s="756"/>
      <c r="N190" s="778"/>
      <c r="O190" s="678"/>
      <c r="P190" s="675"/>
    </row>
    <row r="191" spans="1:16" ht="17.25" outlineLevel="1" thickBot="1">
      <c r="A191" s="753" t="s">
        <v>737</v>
      </c>
      <c r="B191" s="688">
        <f t="shared" ref="B191:L191" si="17">SUM(B161:B190)</f>
        <v>0</v>
      </c>
      <c r="C191" s="688">
        <f t="shared" si="17"/>
        <v>0</v>
      </c>
      <c r="D191" s="688">
        <f t="shared" si="17"/>
        <v>0</v>
      </c>
      <c r="E191" s="688">
        <f t="shared" si="17"/>
        <v>0</v>
      </c>
      <c r="F191" s="688">
        <f t="shared" si="17"/>
        <v>0</v>
      </c>
      <c r="G191" s="688">
        <f t="shared" si="17"/>
        <v>0</v>
      </c>
      <c r="H191" s="688">
        <f t="shared" si="17"/>
        <v>0</v>
      </c>
      <c r="I191" s="689">
        <f t="shared" si="17"/>
        <v>0</v>
      </c>
      <c r="J191" s="689">
        <f t="shared" si="17"/>
        <v>0</v>
      </c>
      <c r="K191" s="689">
        <f t="shared" si="17"/>
        <v>0</v>
      </c>
      <c r="L191" s="689">
        <f t="shared" si="17"/>
        <v>0</v>
      </c>
      <c r="M191" s="850">
        <f>SUM(M162:M190)</f>
        <v>0</v>
      </c>
      <c r="N191" s="850">
        <f>SUM(N161:N190)</f>
        <v>0</v>
      </c>
      <c r="O191" s="757">
        <f>M191+N191</f>
        <v>0</v>
      </c>
      <c r="P191" s="690"/>
    </row>
    <row r="192" spans="1:16" outlineLevel="1">
      <c r="A192" s="739">
        <v>46204</v>
      </c>
      <c r="B192" s="673"/>
      <c r="C192" s="673"/>
      <c r="D192" s="673"/>
      <c r="E192" s="673"/>
      <c r="F192" s="673"/>
      <c r="G192" s="673"/>
      <c r="H192" s="673"/>
      <c r="I192" s="782"/>
      <c r="J192" s="782"/>
      <c r="K192" s="673"/>
      <c r="L192" s="673"/>
      <c r="M192" s="778"/>
      <c r="N192" s="778"/>
      <c r="O192" s="678"/>
      <c r="P192" s="675"/>
    </row>
    <row r="193" spans="1:31" outlineLevel="1">
      <c r="A193" s="739">
        <v>46205</v>
      </c>
      <c r="B193" s="673"/>
      <c r="C193" s="673"/>
      <c r="D193" s="673"/>
      <c r="E193" s="673"/>
      <c r="F193" s="673"/>
      <c r="G193" s="673"/>
      <c r="H193" s="673"/>
      <c r="I193" s="782"/>
      <c r="J193" s="782"/>
      <c r="K193" s="673"/>
      <c r="L193" s="673"/>
      <c r="M193" s="778"/>
      <c r="N193" s="778"/>
      <c r="O193" s="678"/>
      <c r="P193" s="675"/>
    </row>
    <row r="194" spans="1:31" outlineLevel="1">
      <c r="A194" s="739">
        <v>46206</v>
      </c>
      <c r="B194" s="673"/>
      <c r="C194" s="782"/>
      <c r="D194" s="782"/>
      <c r="E194" s="782"/>
      <c r="F194" s="782"/>
      <c r="G194" s="673"/>
      <c r="H194" s="673"/>
      <c r="I194" s="782"/>
      <c r="J194" s="782"/>
      <c r="K194" s="673"/>
      <c r="L194" s="673"/>
      <c r="M194" s="778"/>
      <c r="N194" s="778"/>
      <c r="O194" s="678"/>
      <c r="P194" s="675"/>
    </row>
    <row r="195" spans="1:31" outlineLevel="1">
      <c r="A195" s="739">
        <v>46207</v>
      </c>
      <c r="B195" s="673"/>
      <c r="C195" s="782"/>
      <c r="D195" s="782"/>
      <c r="E195" s="782"/>
      <c r="F195" s="782"/>
      <c r="G195" s="673"/>
      <c r="H195" s="673"/>
      <c r="I195" s="782"/>
      <c r="J195" s="782"/>
      <c r="K195" s="673"/>
      <c r="L195" s="673"/>
      <c r="M195" s="779"/>
      <c r="N195" s="778"/>
      <c r="O195" s="678"/>
      <c r="P195" s="675"/>
    </row>
    <row r="196" spans="1:31" outlineLevel="1">
      <c r="A196" s="739">
        <v>46208</v>
      </c>
      <c r="B196" s="673"/>
      <c r="C196" s="782"/>
      <c r="D196" s="782"/>
      <c r="E196" s="782"/>
      <c r="F196" s="782"/>
      <c r="G196" s="673"/>
      <c r="H196" s="673"/>
      <c r="I196" s="782"/>
      <c r="J196" s="782"/>
      <c r="K196" s="673"/>
      <c r="L196" s="673"/>
      <c r="M196" s="779"/>
      <c r="N196" s="778"/>
      <c r="O196" s="678"/>
      <c r="P196" s="675"/>
    </row>
    <row r="197" spans="1:31" outlineLevel="1">
      <c r="A197" s="739">
        <v>46209</v>
      </c>
      <c r="B197" s="673"/>
      <c r="C197" s="782"/>
      <c r="D197" s="782"/>
      <c r="E197" s="782"/>
      <c r="F197" s="782"/>
      <c r="G197" s="673"/>
      <c r="H197" s="673"/>
      <c r="I197" s="782"/>
      <c r="J197" s="782"/>
      <c r="K197" s="782"/>
      <c r="L197" s="782"/>
      <c r="M197" s="779"/>
      <c r="N197" s="778"/>
      <c r="O197" s="678"/>
      <c r="P197" s="675"/>
    </row>
    <row r="198" spans="1:31" outlineLevel="1">
      <c r="A198" s="739">
        <v>46210</v>
      </c>
      <c r="B198" s="673"/>
      <c r="C198" s="782"/>
      <c r="D198" s="782"/>
      <c r="E198" s="782"/>
      <c r="F198" s="782"/>
      <c r="G198" s="782"/>
      <c r="H198" s="782"/>
      <c r="I198" s="782"/>
      <c r="J198" s="782"/>
      <c r="K198" s="782"/>
      <c r="L198" s="782"/>
      <c r="M198" s="779"/>
      <c r="N198" s="778"/>
      <c r="O198" s="678"/>
      <c r="P198" s="675"/>
    </row>
    <row r="199" spans="1:31" outlineLevel="1">
      <c r="A199" s="739">
        <v>46211</v>
      </c>
      <c r="B199" s="673"/>
      <c r="C199" s="782"/>
      <c r="D199" s="782"/>
      <c r="E199" s="782"/>
      <c r="F199" s="782"/>
      <c r="G199" s="782"/>
      <c r="H199" s="782"/>
      <c r="I199" s="782"/>
      <c r="J199" s="782"/>
      <c r="K199" s="782"/>
      <c r="L199" s="782"/>
      <c r="M199" s="779"/>
      <c r="N199" s="778"/>
      <c r="O199" s="678"/>
      <c r="P199" s="691"/>
    </row>
    <row r="200" spans="1:31" ht="17.25" outlineLevel="1" thickBot="1">
      <c r="A200" s="739">
        <v>46212</v>
      </c>
      <c r="B200" s="673"/>
      <c r="C200" s="782"/>
      <c r="D200" s="782"/>
      <c r="E200" s="782"/>
      <c r="F200" s="782"/>
      <c r="G200" s="782"/>
      <c r="H200" s="782"/>
      <c r="I200" s="782"/>
      <c r="J200" s="782"/>
      <c r="K200" s="782"/>
      <c r="L200" s="782"/>
      <c r="M200" s="779"/>
      <c r="N200" s="778"/>
      <c r="O200" s="678"/>
      <c r="P200" s="691"/>
    </row>
    <row r="201" spans="1:31" outlineLevel="1">
      <c r="A201" s="739">
        <v>46213</v>
      </c>
      <c r="B201" s="673"/>
      <c r="C201" s="782"/>
      <c r="D201" s="782"/>
      <c r="E201" s="782"/>
      <c r="F201" s="782"/>
      <c r="G201" s="782"/>
      <c r="H201" s="782"/>
      <c r="I201" s="782"/>
      <c r="J201" s="782"/>
      <c r="K201" s="782"/>
      <c r="L201" s="782"/>
      <c r="M201" s="779"/>
      <c r="N201" s="778"/>
      <c r="O201" s="678"/>
      <c r="P201" s="691"/>
      <c r="R201" s="1188" t="s">
        <v>624</v>
      </c>
      <c r="S201" s="1191" t="s">
        <v>286</v>
      </c>
      <c r="T201" s="1192"/>
      <c r="U201" s="1192"/>
      <c r="V201" s="1192"/>
      <c r="W201" s="1193"/>
      <c r="X201" s="1191" t="s">
        <v>751</v>
      </c>
      <c r="Y201" s="1193"/>
      <c r="Z201" s="1191" t="s">
        <v>730</v>
      </c>
      <c r="AA201" s="1193"/>
      <c r="AB201" s="1191" t="s">
        <v>745</v>
      </c>
      <c r="AC201" s="1193"/>
      <c r="AD201" s="1191" t="s">
        <v>539</v>
      </c>
      <c r="AE201" s="1193"/>
    </row>
    <row r="202" spans="1:31" ht="16.5" customHeight="1" outlineLevel="1">
      <c r="A202" s="739">
        <v>46214</v>
      </c>
      <c r="B202" s="673"/>
      <c r="C202" s="782"/>
      <c r="D202" s="782"/>
      <c r="E202" s="782"/>
      <c r="F202" s="782"/>
      <c r="G202" s="782"/>
      <c r="H202" s="782"/>
      <c r="I202" s="782"/>
      <c r="J202" s="782"/>
      <c r="K202" s="782"/>
      <c r="L202" s="782"/>
      <c r="M202" s="779"/>
      <c r="N202" s="778"/>
      <c r="O202" s="678"/>
      <c r="P202" s="675"/>
      <c r="R202" s="1189"/>
      <c r="S202" s="1194" t="s">
        <v>746</v>
      </c>
      <c r="T202" s="1195"/>
      <c r="U202" s="1196"/>
      <c r="V202" s="1197" t="s">
        <v>750</v>
      </c>
      <c r="W202" s="1188" t="s">
        <v>744</v>
      </c>
      <c r="X202" s="1199" t="s">
        <v>746</v>
      </c>
      <c r="Y202" s="1188" t="s">
        <v>744</v>
      </c>
      <c r="Z202" s="1199" t="s">
        <v>746</v>
      </c>
      <c r="AA202" s="1188" t="s">
        <v>744</v>
      </c>
      <c r="AB202" s="1199" t="s">
        <v>746</v>
      </c>
      <c r="AC202" s="1188" t="s">
        <v>744</v>
      </c>
      <c r="AD202" s="1199" t="s">
        <v>746</v>
      </c>
      <c r="AE202" s="1188" t="s">
        <v>744</v>
      </c>
    </row>
    <row r="203" spans="1:31" outlineLevel="1">
      <c r="A203" s="739">
        <v>46215</v>
      </c>
      <c r="B203" s="673"/>
      <c r="C203" s="782"/>
      <c r="D203" s="782"/>
      <c r="E203" s="782"/>
      <c r="F203" s="782"/>
      <c r="G203" s="782"/>
      <c r="H203" s="782"/>
      <c r="I203" s="782"/>
      <c r="J203" s="782"/>
      <c r="K203" s="782"/>
      <c r="L203" s="782"/>
      <c r="M203" s="779"/>
      <c r="N203" s="778"/>
      <c r="O203" s="678"/>
      <c r="P203" s="675"/>
      <c r="R203" s="1190"/>
      <c r="S203" s="704" t="s">
        <v>735</v>
      </c>
      <c r="T203" s="705" t="s">
        <v>736</v>
      </c>
      <c r="U203" s="705" t="s">
        <v>737</v>
      </c>
      <c r="V203" s="1198"/>
      <c r="W203" s="1190"/>
      <c r="X203" s="1200"/>
      <c r="Y203" s="1190"/>
      <c r="Z203" s="1200"/>
      <c r="AA203" s="1190"/>
      <c r="AB203" s="1200"/>
      <c r="AC203" s="1190"/>
      <c r="AD203" s="1200"/>
      <c r="AE203" s="1190"/>
    </row>
    <row r="204" spans="1:31" outlineLevel="1">
      <c r="A204" s="739">
        <v>46216</v>
      </c>
      <c r="B204" s="673"/>
      <c r="C204" s="782"/>
      <c r="D204" s="782"/>
      <c r="E204" s="782"/>
      <c r="F204" s="782"/>
      <c r="G204" s="782"/>
      <c r="H204" s="782"/>
      <c r="I204" s="782"/>
      <c r="J204" s="782"/>
      <c r="K204" s="782"/>
      <c r="L204" s="782"/>
      <c r="M204" s="779"/>
      <c r="N204" s="778"/>
      <c r="O204" s="678"/>
      <c r="P204" s="675"/>
      <c r="R204" s="692" t="s">
        <v>36</v>
      </c>
      <c r="S204" s="711"/>
      <c r="T204" s="712"/>
      <c r="U204" s="712"/>
      <c r="V204" s="713">
        <f>IFERROR(T204/U204,0)</f>
        <v>0</v>
      </c>
      <c r="W204" s="714"/>
      <c r="X204" s="711"/>
      <c r="Y204" s="714"/>
      <c r="Z204" s="711"/>
      <c r="AA204" s="714"/>
      <c r="AB204" s="711"/>
      <c r="AC204" s="714"/>
      <c r="AD204" s="711"/>
      <c r="AE204" s="714"/>
    </row>
    <row r="205" spans="1:31" outlineLevel="1">
      <c r="A205" s="739">
        <v>46217</v>
      </c>
      <c r="B205" s="673"/>
      <c r="C205" s="782"/>
      <c r="D205" s="782"/>
      <c r="E205" s="782"/>
      <c r="F205" s="782"/>
      <c r="G205" s="782"/>
      <c r="H205" s="782"/>
      <c r="I205" s="782"/>
      <c r="J205" s="782"/>
      <c r="K205" s="782"/>
      <c r="L205" s="782"/>
      <c r="M205" s="779"/>
      <c r="N205" s="778"/>
      <c r="O205" s="678"/>
      <c r="P205" s="675"/>
      <c r="R205" s="692" t="s">
        <v>738</v>
      </c>
      <c r="S205" s="711"/>
      <c r="T205" s="712"/>
      <c r="U205" s="712">
        <f t="shared" ref="U205:U215" si="18">S205+T205</f>
        <v>0</v>
      </c>
      <c r="V205" s="713">
        <f t="shared" ref="V205:V215" si="19">IFERROR(T205/U205,0)</f>
        <v>0</v>
      </c>
      <c r="W205" s="714"/>
      <c r="X205" s="711"/>
      <c r="Y205" s="714"/>
      <c r="Z205" s="711"/>
      <c r="AA205" s="714"/>
      <c r="AB205" s="711"/>
      <c r="AC205" s="714"/>
      <c r="AD205" s="711"/>
      <c r="AE205" s="714"/>
    </row>
    <row r="206" spans="1:31" outlineLevel="1">
      <c r="A206" s="739">
        <v>46218</v>
      </c>
      <c r="B206" s="673"/>
      <c r="C206" s="782"/>
      <c r="D206" s="782"/>
      <c r="E206" s="782"/>
      <c r="F206" s="782"/>
      <c r="G206" s="782"/>
      <c r="H206" s="782"/>
      <c r="I206" s="782"/>
      <c r="J206" s="782"/>
      <c r="K206" s="782"/>
      <c r="L206" s="782"/>
      <c r="M206" s="779"/>
      <c r="N206" s="778"/>
      <c r="O206" s="678"/>
      <c r="P206" s="675"/>
      <c r="R206" s="692" t="s">
        <v>508</v>
      </c>
      <c r="S206" s="711"/>
      <c r="T206" s="712"/>
      <c r="U206" s="712">
        <f t="shared" si="18"/>
        <v>0</v>
      </c>
      <c r="V206" s="713">
        <f t="shared" si="19"/>
        <v>0</v>
      </c>
      <c r="W206" s="714"/>
      <c r="X206" s="711"/>
      <c r="Y206" s="714"/>
      <c r="Z206" s="711"/>
      <c r="AA206" s="714"/>
      <c r="AB206" s="711"/>
      <c r="AC206" s="714"/>
      <c r="AD206" s="711"/>
      <c r="AE206" s="714"/>
    </row>
    <row r="207" spans="1:31" ht="16.5" customHeight="1" outlineLevel="1">
      <c r="A207" s="739">
        <v>46219</v>
      </c>
      <c r="B207" s="674"/>
      <c r="C207" s="782"/>
      <c r="D207" s="782"/>
      <c r="E207" s="782"/>
      <c r="F207" s="782"/>
      <c r="G207" s="782"/>
      <c r="H207" s="782"/>
      <c r="I207" s="782"/>
      <c r="J207" s="782"/>
      <c r="K207" s="782"/>
      <c r="L207" s="782"/>
      <c r="M207" s="779"/>
      <c r="N207" s="778"/>
      <c r="O207" s="678"/>
      <c r="P207" s="675"/>
      <c r="R207" s="692" t="s">
        <v>727</v>
      </c>
      <c r="S207" s="711"/>
      <c r="T207" s="712"/>
      <c r="U207" s="712">
        <f t="shared" si="18"/>
        <v>0</v>
      </c>
      <c r="V207" s="713">
        <f t="shared" si="19"/>
        <v>0</v>
      </c>
      <c r="W207" s="714"/>
      <c r="X207" s="711"/>
      <c r="Y207" s="714"/>
      <c r="Z207" s="711"/>
      <c r="AA207" s="714"/>
      <c r="AB207" s="711"/>
      <c r="AC207" s="714"/>
      <c r="AD207" s="711"/>
      <c r="AE207" s="714"/>
    </row>
    <row r="208" spans="1:31" outlineLevel="1">
      <c r="A208" s="739">
        <v>46220</v>
      </c>
      <c r="B208" s="674"/>
      <c r="C208" s="782"/>
      <c r="D208" s="782"/>
      <c r="E208" s="782"/>
      <c r="F208" s="782"/>
      <c r="G208" s="782"/>
      <c r="H208" s="782"/>
      <c r="I208" s="782"/>
      <c r="J208" s="782"/>
      <c r="K208" s="782"/>
      <c r="L208" s="782"/>
      <c r="M208" s="779"/>
      <c r="N208" s="778"/>
      <c r="O208" s="678"/>
      <c r="P208" s="675"/>
      <c r="R208" s="692" t="s">
        <v>728</v>
      </c>
      <c r="S208" s="711"/>
      <c r="T208" s="712"/>
      <c r="U208" s="712">
        <f t="shared" si="18"/>
        <v>0</v>
      </c>
      <c r="V208" s="713">
        <f t="shared" si="19"/>
        <v>0</v>
      </c>
      <c r="W208" s="714"/>
      <c r="X208" s="711"/>
      <c r="Y208" s="714"/>
      <c r="Z208" s="711"/>
      <c r="AA208" s="714"/>
      <c r="AB208" s="711"/>
      <c r="AC208" s="714"/>
      <c r="AD208" s="711"/>
      <c r="AE208" s="714"/>
    </row>
    <row r="209" spans="1:31" outlineLevel="1">
      <c r="A209" s="739">
        <v>46221</v>
      </c>
      <c r="B209" s="674"/>
      <c r="C209" s="782"/>
      <c r="D209" s="782"/>
      <c r="E209" s="782"/>
      <c r="F209" s="782"/>
      <c r="G209" s="782"/>
      <c r="H209" s="782"/>
      <c r="I209" s="782"/>
      <c r="J209" s="782"/>
      <c r="K209" s="782"/>
      <c r="L209" s="782"/>
      <c r="M209" s="779"/>
      <c r="N209" s="778"/>
      <c r="O209" s="678"/>
      <c r="P209" s="675"/>
      <c r="R209" s="692" t="s">
        <v>175</v>
      </c>
      <c r="S209" s="711"/>
      <c r="T209" s="712"/>
      <c r="U209" s="712">
        <f t="shared" si="18"/>
        <v>0</v>
      </c>
      <c r="V209" s="713">
        <f t="shared" si="19"/>
        <v>0</v>
      </c>
      <c r="W209" s="714"/>
      <c r="X209" s="711"/>
      <c r="Y209" s="714"/>
      <c r="Z209" s="711"/>
      <c r="AA209" s="714"/>
      <c r="AB209" s="711"/>
      <c r="AC209" s="714"/>
      <c r="AD209" s="711"/>
      <c r="AE209" s="714"/>
    </row>
    <row r="210" spans="1:31" outlineLevel="1">
      <c r="A210" s="739">
        <v>46222</v>
      </c>
      <c r="B210" s="674"/>
      <c r="C210" s="782"/>
      <c r="D210" s="782"/>
      <c r="E210" s="782"/>
      <c r="F210" s="782"/>
      <c r="G210" s="782"/>
      <c r="H210" s="782"/>
      <c r="I210" s="782"/>
      <c r="J210" s="782"/>
      <c r="K210" s="782"/>
      <c r="L210" s="782"/>
      <c r="M210" s="851"/>
      <c r="N210" s="778"/>
      <c r="O210" s="678"/>
      <c r="P210" s="675"/>
      <c r="R210" s="692" t="s">
        <v>537</v>
      </c>
      <c r="S210" s="711"/>
      <c r="T210" s="712"/>
      <c r="U210" s="712">
        <f t="shared" si="18"/>
        <v>0</v>
      </c>
      <c r="V210" s="713">
        <f t="shared" si="19"/>
        <v>0</v>
      </c>
      <c r="W210" s="714"/>
      <c r="X210" s="711"/>
      <c r="Y210" s="714"/>
      <c r="Z210" s="711"/>
      <c r="AA210" s="714"/>
      <c r="AB210" s="711"/>
      <c r="AC210" s="714"/>
      <c r="AD210" s="711"/>
      <c r="AE210" s="714"/>
    </row>
    <row r="211" spans="1:31" outlineLevel="1">
      <c r="A211" s="739">
        <v>46223</v>
      </c>
      <c r="B211" s="674"/>
      <c r="C211" s="782"/>
      <c r="D211" s="782"/>
      <c r="E211" s="782"/>
      <c r="F211" s="782"/>
      <c r="G211" s="782"/>
      <c r="H211" s="782"/>
      <c r="I211" s="782"/>
      <c r="J211" s="782"/>
      <c r="K211" s="782"/>
      <c r="L211" s="782"/>
      <c r="M211" s="779"/>
      <c r="N211" s="778"/>
      <c r="O211" s="678"/>
      <c r="P211" s="675"/>
      <c r="R211" s="692" t="s">
        <v>739</v>
      </c>
      <c r="S211" s="711"/>
      <c r="T211" s="712"/>
      <c r="U211" s="712">
        <f t="shared" si="18"/>
        <v>0</v>
      </c>
      <c r="V211" s="713">
        <f t="shared" si="19"/>
        <v>0</v>
      </c>
      <c r="W211" s="714"/>
      <c r="X211" s="711"/>
      <c r="Y211" s="714"/>
      <c r="Z211" s="711"/>
      <c r="AA211" s="714"/>
      <c r="AB211" s="711"/>
      <c r="AC211" s="714"/>
      <c r="AD211" s="711"/>
      <c r="AE211" s="714"/>
    </row>
    <row r="212" spans="1:31" outlineLevel="1">
      <c r="A212" s="739">
        <v>46224</v>
      </c>
      <c r="B212" s="674"/>
      <c r="C212" s="782"/>
      <c r="D212" s="782"/>
      <c r="E212" s="782"/>
      <c r="F212" s="859"/>
      <c r="G212" s="859"/>
      <c r="H212" s="782"/>
      <c r="I212" s="782"/>
      <c r="J212" s="782"/>
      <c r="K212" s="782"/>
      <c r="L212" s="782"/>
      <c r="M212" s="779"/>
      <c r="N212" s="778"/>
      <c r="O212" s="678"/>
      <c r="P212" s="675"/>
      <c r="R212" s="692" t="s">
        <v>740</v>
      </c>
      <c r="S212" s="711"/>
      <c r="T212" s="712"/>
      <c r="U212" s="712">
        <f t="shared" si="18"/>
        <v>0</v>
      </c>
      <c r="V212" s="713">
        <f t="shared" si="19"/>
        <v>0</v>
      </c>
      <c r="W212" s="714"/>
      <c r="X212" s="711"/>
      <c r="Y212" s="714"/>
      <c r="Z212" s="711"/>
      <c r="AA212" s="714"/>
      <c r="AB212" s="711"/>
      <c r="AC212" s="714"/>
      <c r="AD212" s="711"/>
      <c r="AE212" s="714"/>
    </row>
    <row r="213" spans="1:31" outlineLevel="1">
      <c r="A213" s="739">
        <v>46225</v>
      </c>
      <c r="B213" s="674"/>
      <c r="C213" s="782"/>
      <c r="D213" s="782"/>
      <c r="E213" s="782"/>
      <c r="F213" s="782"/>
      <c r="G213" s="782"/>
      <c r="H213" s="782"/>
      <c r="I213" s="782"/>
      <c r="J213" s="782"/>
      <c r="K213" s="782"/>
      <c r="L213" s="782"/>
      <c r="M213" s="779"/>
      <c r="N213" s="778"/>
      <c r="O213" s="678"/>
      <c r="P213" s="675"/>
      <c r="R213" s="692" t="s">
        <v>741</v>
      </c>
      <c r="S213" s="711"/>
      <c r="T213" s="712"/>
      <c r="U213" s="712">
        <f t="shared" si="18"/>
        <v>0</v>
      </c>
      <c r="V213" s="713">
        <f t="shared" si="19"/>
        <v>0</v>
      </c>
      <c r="W213" s="715"/>
      <c r="X213" s="711"/>
      <c r="Y213" s="715"/>
      <c r="Z213" s="711"/>
      <c r="AA213" s="715"/>
      <c r="AB213" s="711"/>
      <c r="AC213" s="715"/>
      <c r="AD213" s="711"/>
      <c r="AE213" s="715"/>
    </row>
    <row r="214" spans="1:31" outlineLevel="1">
      <c r="A214" s="739">
        <v>46226</v>
      </c>
      <c r="B214" s="674"/>
      <c r="C214" s="808"/>
      <c r="D214" s="782"/>
      <c r="E214" s="782"/>
      <c r="F214" s="782"/>
      <c r="G214" s="782"/>
      <c r="H214" s="782"/>
      <c r="I214" s="782"/>
      <c r="J214" s="782"/>
      <c r="K214" s="782"/>
      <c r="L214" s="782"/>
      <c r="M214" s="779"/>
      <c r="N214" s="778"/>
      <c r="O214" s="678"/>
      <c r="P214" s="675"/>
      <c r="R214" s="692" t="s">
        <v>538</v>
      </c>
      <c r="S214" s="711"/>
      <c r="T214" s="712"/>
      <c r="U214" s="712">
        <f t="shared" si="18"/>
        <v>0</v>
      </c>
      <c r="V214" s="713">
        <f t="shared" si="19"/>
        <v>0</v>
      </c>
      <c r="W214" s="715"/>
      <c r="X214" s="711"/>
      <c r="Y214" s="715"/>
      <c r="Z214" s="711"/>
      <c r="AA214" s="715"/>
      <c r="AB214" s="711"/>
      <c r="AC214" s="715"/>
      <c r="AD214" s="711"/>
      <c r="AE214" s="715"/>
    </row>
    <row r="215" spans="1:31" ht="17.25" outlineLevel="1" thickBot="1">
      <c r="A215" s="739">
        <v>46227</v>
      </c>
      <c r="B215" s="674"/>
      <c r="C215" s="808"/>
      <c r="D215" s="782"/>
      <c r="E215" s="782"/>
      <c r="F215" s="782"/>
      <c r="G215" s="782"/>
      <c r="H215" s="782"/>
      <c r="I215" s="782"/>
      <c r="J215" s="782"/>
      <c r="K215" s="782"/>
      <c r="L215" s="782"/>
      <c r="M215" s="779"/>
      <c r="N215" s="778"/>
      <c r="O215" s="678"/>
      <c r="P215" s="675"/>
      <c r="R215" s="692" t="s">
        <v>742</v>
      </c>
      <c r="S215" s="716"/>
      <c r="T215" s="717"/>
      <c r="U215" s="717">
        <f t="shared" si="18"/>
        <v>0</v>
      </c>
      <c r="V215" s="713">
        <f t="shared" si="19"/>
        <v>0</v>
      </c>
      <c r="W215" s="718"/>
      <c r="X215" s="716"/>
      <c r="Y215" s="718"/>
      <c r="Z215" s="716"/>
      <c r="AA215" s="718"/>
      <c r="AB215" s="716"/>
      <c r="AC215" s="718"/>
      <c r="AD215" s="716"/>
      <c r="AE215" s="718"/>
    </row>
    <row r="216" spans="1:31" outlineLevel="1">
      <c r="A216" s="739">
        <v>46228</v>
      </c>
      <c r="B216" s="674"/>
      <c r="C216" s="808"/>
      <c r="D216" s="782"/>
      <c r="E216" s="782"/>
      <c r="F216" s="782"/>
      <c r="G216" s="782"/>
      <c r="H216" s="782"/>
      <c r="I216" s="782"/>
      <c r="J216" s="782"/>
      <c r="K216" s="782"/>
      <c r="L216" s="782"/>
      <c r="M216" s="779"/>
      <c r="N216" s="778"/>
      <c r="O216" s="678"/>
      <c r="P216" s="675"/>
      <c r="R216" s="701" t="s">
        <v>737</v>
      </c>
      <c r="S216" s="719">
        <f>SUM(S204:S215)</f>
        <v>0</v>
      </c>
      <c r="T216" s="719">
        <f>SUM(T204:T215)</f>
        <v>0</v>
      </c>
      <c r="U216" s="719">
        <f>SUM(S216:T216)</f>
        <v>0</v>
      </c>
      <c r="V216" s="720">
        <f>IFERROR(T216/U216,0)</f>
        <v>0</v>
      </c>
      <c r="W216" s="721"/>
      <c r="X216" s="719">
        <f>SUM(X204:X215)</f>
        <v>0</v>
      </c>
      <c r="Y216" s="721"/>
      <c r="Z216" s="719">
        <f>SUM(Z204:Z215)</f>
        <v>0</v>
      </c>
      <c r="AA216" s="721"/>
      <c r="AB216" s="719">
        <f>SUM(AB204:AB215)</f>
        <v>0</v>
      </c>
      <c r="AC216" s="721"/>
      <c r="AD216" s="719">
        <f>SUM(AD204:AD215)</f>
        <v>0</v>
      </c>
      <c r="AE216" s="721"/>
    </row>
    <row r="217" spans="1:31" outlineLevel="1">
      <c r="A217" s="739">
        <v>46229</v>
      </c>
      <c r="B217" s="674"/>
      <c r="C217" s="808"/>
      <c r="D217" s="782"/>
      <c r="E217" s="782"/>
      <c r="F217" s="782"/>
      <c r="G217" s="782"/>
      <c r="H217" s="782"/>
      <c r="I217" s="782"/>
      <c r="J217" s="782"/>
      <c r="K217" s="674"/>
      <c r="L217" s="674"/>
      <c r="M217" s="779"/>
      <c r="N217" s="778"/>
      <c r="O217" s="678"/>
      <c r="P217" s="675"/>
    </row>
    <row r="218" spans="1:31" outlineLevel="1">
      <c r="A218" s="739">
        <v>46230</v>
      </c>
      <c r="B218" s="694"/>
      <c r="C218" s="809"/>
      <c r="D218" s="783"/>
      <c r="E218" s="782"/>
      <c r="F218" s="783"/>
      <c r="G218" s="783"/>
      <c r="H218" s="783"/>
      <c r="I218" s="782"/>
      <c r="J218" s="783"/>
      <c r="K218" s="694"/>
      <c r="L218" s="694"/>
      <c r="M218" s="852"/>
      <c r="N218" s="778"/>
      <c r="O218" s="678"/>
      <c r="P218" s="675"/>
    </row>
    <row r="219" spans="1:31" outlineLevel="1">
      <c r="A219" s="739">
        <v>46231</v>
      </c>
      <c r="B219" s="694"/>
      <c r="C219" s="809"/>
      <c r="D219" s="783"/>
      <c r="E219" s="782"/>
      <c r="F219" s="784"/>
      <c r="G219" s="784"/>
      <c r="H219" s="784"/>
      <c r="I219" s="784"/>
      <c r="J219" s="784"/>
      <c r="K219" s="695"/>
      <c r="L219" s="695"/>
      <c r="M219" s="853"/>
      <c r="N219" s="778"/>
      <c r="O219" s="678"/>
      <c r="P219" s="675"/>
    </row>
    <row r="220" spans="1:31" outlineLevel="1">
      <c r="A220" s="739">
        <v>46232</v>
      </c>
      <c r="B220" s="695"/>
      <c r="C220" s="810"/>
      <c r="D220" s="784"/>
      <c r="E220" s="782"/>
      <c r="F220" s="785"/>
      <c r="G220" s="785"/>
      <c r="H220" s="785"/>
      <c r="I220" s="782"/>
      <c r="J220" s="785"/>
      <c r="K220" s="676"/>
      <c r="L220" s="676"/>
      <c r="M220" s="854"/>
      <c r="N220" s="778"/>
      <c r="O220" s="678"/>
      <c r="P220" s="675"/>
    </row>
    <row r="221" spans="1:31" outlineLevel="1">
      <c r="A221" s="739">
        <v>46233</v>
      </c>
      <c r="B221" s="695"/>
      <c r="C221" s="810"/>
      <c r="D221" s="784"/>
      <c r="E221" s="782"/>
      <c r="F221" s="785"/>
      <c r="G221" s="785"/>
      <c r="H221" s="785"/>
      <c r="I221" s="782"/>
      <c r="J221" s="785"/>
      <c r="K221" s="676"/>
      <c r="L221" s="676"/>
      <c r="M221" s="854"/>
      <c r="N221" s="778"/>
      <c r="O221" s="678"/>
      <c r="P221" s="675"/>
    </row>
    <row r="222" spans="1:31" ht="17.25" outlineLevel="1" thickBot="1">
      <c r="A222" s="739">
        <v>46234</v>
      </c>
      <c r="B222" s="695"/>
      <c r="C222" s="810"/>
      <c r="D222" s="784"/>
      <c r="E222" s="783"/>
      <c r="F222" s="785"/>
      <c r="G222" s="785"/>
      <c r="H222" s="785"/>
      <c r="I222" s="785"/>
      <c r="J222" s="785"/>
      <c r="K222" s="676"/>
      <c r="L222" s="676"/>
      <c r="M222" s="854"/>
      <c r="N222" s="778"/>
      <c r="O222" s="678"/>
      <c r="P222" s="675"/>
    </row>
    <row r="223" spans="1:31" ht="17.25" outlineLevel="1" thickBot="1">
      <c r="A223" s="753" t="s">
        <v>737</v>
      </c>
      <c r="B223" s="688">
        <f t="shared" ref="B223:L223" si="20">SUM(B192:B222)</f>
        <v>0</v>
      </c>
      <c r="C223" s="688">
        <f t="shared" si="20"/>
        <v>0</v>
      </c>
      <c r="D223" s="688">
        <f t="shared" si="20"/>
        <v>0</v>
      </c>
      <c r="E223" s="688">
        <f>SUM(E192:E222)</f>
        <v>0</v>
      </c>
      <c r="F223" s="688">
        <f t="shared" si="20"/>
        <v>0</v>
      </c>
      <c r="G223" s="688">
        <f t="shared" si="20"/>
        <v>0</v>
      </c>
      <c r="H223" s="688">
        <f t="shared" si="20"/>
        <v>0</v>
      </c>
      <c r="I223" s="689">
        <f t="shared" si="20"/>
        <v>0</v>
      </c>
      <c r="J223" s="689">
        <f t="shared" si="20"/>
        <v>0</v>
      </c>
      <c r="K223" s="689">
        <f t="shared" si="20"/>
        <v>0</v>
      </c>
      <c r="L223" s="689">
        <f t="shared" si="20"/>
        <v>0</v>
      </c>
      <c r="M223" s="850">
        <f>SUM(M193:M222)</f>
        <v>0</v>
      </c>
      <c r="N223" s="850">
        <f>SUM(N192:N222)</f>
        <v>0</v>
      </c>
      <c r="O223" s="757">
        <f>M223+N223</f>
        <v>0</v>
      </c>
      <c r="P223" s="690"/>
    </row>
    <row r="224" spans="1:31" outlineLevel="1" collapsed="1">
      <c r="A224" s="739">
        <v>46235</v>
      </c>
      <c r="B224" s="673"/>
      <c r="C224" s="673"/>
      <c r="D224" s="673"/>
      <c r="E224" s="673"/>
      <c r="F224" s="673"/>
      <c r="G224" s="673"/>
      <c r="H224" s="673"/>
      <c r="I224" s="674"/>
      <c r="J224" s="674"/>
      <c r="K224" s="673"/>
      <c r="L224" s="673"/>
      <c r="M224" s="778"/>
      <c r="N224" s="755"/>
      <c r="O224" s="678"/>
      <c r="P224" s="675"/>
    </row>
    <row r="225" spans="1:31" outlineLevel="1">
      <c r="A225" s="739">
        <v>46236</v>
      </c>
      <c r="B225" s="674"/>
      <c r="C225" s="674"/>
      <c r="D225" s="674"/>
      <c r="E225" s="674"/>
      <c r="F225" s="673"/>
      <c r="G225" s="673"/>
      <c r="H225" s="673"/>
      <c r="I225" s="674"/>
      <c r="J225" s="674"/>
      <c r="K225" s="673"/>
      <c r="L225" s="673"/>
      <c r="M225" s="778"/>
      <c r="N225" s="755"/>
      <c r="O225" s="678"/>
      <c r="P225" s="675"/>
    </row>
    <row r="226" spans="1:31" outlineLevel="1">
      <c r="A226" s="739">
        <v>46237</v>
      </c>
      <c r="B226" s="674"/>
      <c r="C226" s="674"/>
      <c r="D226" s="674"/>
      <c r="E226" s="674"/>
      <c r="F226" s="782"/>
      <c r="G226" s="673"/>
      <c r="H226" s="673"/>
      <c r="I226" s="674"/>
      <c r="J226" s="674"/>
      <c r="K226" s="673"/>
      <c r="L226" s="673"/>
      <c r="M226" s="778"/>
      <c r="N226" s="755"/>
      <c r="O226" s="678"/>
      <c r="P226" s="675"/>
    </row>
    <row r="227" spans="1:31" outlineLevel="1">
      <c r="A227" s="739">
        <v>46238</v>
      </c>
      <c r="B227" s="674"/>
      <c r="C227" s="782"/>
      <c r="D227" s="782"/>
      <c r="E227" s="782"/>
      <c r="F227" s="782"/>
      <c r="G227" s="782"/>
      <c r="H227" s="782"/>
      <c r="I227" s="782"/>
      <c r="J227" s="782"/>
      <c r="K227" s="782"/>
      <c r="L227" s="782"/>
      <c r="M227" s="779"/>
      <c r="N227" s="755"/>
      <c r="O227" s="678"/>
      <c r="P227" s="675"/>
    </row>
    <row r="228" spans="1:31" outlineLevel="1">
      <c r="A228" s="739">
        <v>46239</v>
      </c>
      <c r="B228" s="674"/>
      <c r="C228" s="782"/>
      <c r="D228" s="782"/>
      <c r="E228" s="782"/>
      <c r="F228" s="782"/>
      <c r="G228" s="782"/>
      <c r="H228" s="782"/>
      <c r="I228" s="782"/>
      <c r="J228" s="782"/>
      <c r="K228" s="782"/>
      <c r="L228" s="782"/>
      <c r="M228" s="779"/>
      <c r="N228" s="755"/>
      <c r="O228" s="678"/>
      <c r="P228" s="675"/>
    </row>
    <row r="229" spans="1:31" outlineLevel="1">
      <c r="A229" s="739">
        <v>46240</v>
      </c>
      <c r="B229" s="674"/>
      <c r="C229" s="782"/>
      <c r="D229" s="782"/>
      <c r="E229" s="782"/>
      <c r="F229" s="782"/>
      <c r="G229" s="782"/>
      <c r="H229" s="782"/>
      <c r="I229" s="782"/>
      <c r="J229" s="782"/>
      <c r="K229" s="782"/>
      <c r="L229" s="782"/>
      <c r="M229" s="779"/>
      <c r="N229" s="755"/>
      <c r="O229" s="678"/>
      <c r="P229" s="675"/>
    </row>
    <row r="230" spans="1:31" outlineLevel="1">
      <c r="A230" s="739">
        <v>46241</v>
      </c>
      <c r="B230" s="674"/>
      <c r="C230" s="782"/>
      <c r="D230" s="782"/>
      <c r="E230" s="782"/>
      <c r="F230" s="782"/>
      <c r="G230" s="782"/>
      <c r="H230" s="782"/>
      <c r="I230" s="782"/>
      <c r="J230" s="782"/>
      <c r="K230" s="782"/>
      <c r="L230" s="782"/>
      <c r="M230" s="779"/>
      <c r="N230" s="755"/>
      <c r="O230" s="678"/>
      <c r="P230" s="675"/>
    </row>
    <row r="231" spans="1:31" outlineLevel="1">
      <c r="A231" s="739">
        <v>46242</v>
      </c>
      <c r="B231" s="674"/>
      <c r="C231" s="782"/>
      <c r="D231" s="782"/>
      <c r="E231" s="782"/>
      <c r="F231" s="782"/>
      <c r="G231" s="782"/>
      <c r="H231" s="782"/>
      <c r="I231" s="782"/>
      <c r="J231" s="782"/>
      <c r="K231" s="782"/>
      <c r="L231" s="782"/>
      <c r="M231" s="779"/>
      <c r="N231" s="755"/>
      <c r="O231" s="678"/>
      <c r="P231" s="691"/>
    </row>
    <row r="232" spans="1:31" outlineLevel="1">
      <c r="A232" s="739">
        <v>46243</v>
      </c>
      <c r="B232" s="674"/>
      <c r="C232" s="782"/>
      <c r="D232" s="782"/>
      <c r="E232" s="782"/>
      <c r="F232" s="782"/>
      <c r="G232" s="782"/>
      <c r="H232" s="782"/>
      <c r="I232" s="782"/>
      <c r="J232" s="782"/>
      <c r="K232" s="782"/>
      <c r="L232" s="782"/>
      <c r="M232" s="779"/>
      <c r="N232" s="755"/>
      <c r="O232" s="678"/>
      <c r="P232" s="691"/>
    </row>
    <row r="233" spans="1:31" outlineLevel="1">
      <c r="A233" s="739">
        <v>46244</v>
      </c>
      <c r="B233" s="674"/>
      <c r="C233" s="782"/>
      <c r="D233" s="782"/>
      <c r="E233" s="782"/>
      <c r="F233" s="782"/>
      <c r="G233" s="782"/>
      <c r="H233" s="782"/>
      <c r="I233" s="782"/>
      <c r="J233" s="782"/>
      <c r="K233" s="782"/>
      <c r="L233" s="782"/>
      <c r="M233" s="779"/>
      <c r="N233" s="755"/>
      <c r="O233" s="678"/>
      <c r="P233" s="691"/>
    </row>
    <row r="234" spans="1:31" outlineLevel="1">
      <c r="A234" s="739">
        <v>46245</v>
      </c>
      <c r="B234" s="674"/>
      <c r="C234" s="782"/>
      <c r="D234" s="782"/>
      <c r="E234" s="782"/>
      <c r="F234" s="782"/>
      <c r="G234" s="782"/>
      <c r="H234" s="782"/>
      <c r="I234" s="782"/>
      <c r="J234" s="782"/>
      <c r="K234" s="782"/>
      <c r="L234" s="782"/>
      <c r="M234" s="779"/>
      <c r="N234" s="755"/>
      <c r="O234" s="678"/>
      <c r="P234" s="675"/>
    </row>
    <row r="235" spans="1:31" outlineLevel="1">
      <c r="A235" s="739">
        <v>46246</v>
      </c>
      <c r="B235" s="674"/>
      <c r="C235" s="782"/>
      <c r="D235" s="782"/>
      <c r="E235" s="782"/>
      <c r="F235" s="782"/>
      <c r="G235" s="782"/>
      <c r="H235" s="782"/>
      <c r="I235" s="782"/>
      <c r="J235" s="782"/>
      <c r="K235" s="782"/>
      <c r="L235" s="782"/>
      <c r="M235" s="779"/>
      <c r="N235" s="755"/>
      <c r="O235" s="678"/>
      <c r="P235" s="675"/>
    </row>
    <row r="236" spans="1:31" outlineLevel="1">
      <c r="A236" s="739">
        <v>46247</v>
      </c>
      <c r="B236" s="674"/>
      <c r="C236" s="782"/>
      <c r="D236" s="782"/>
      <c r="E236" s="782"/>
      <c r="F236" s="782"/>
      <c r="G236" s="782"/>
      <c r="H236" s="782"/>
      <c r="I236" s="782"/>
      <c r="J236" s="782"/>
      <c r="K236" s="782"/>
      <c r="L236" s="782"/>
      <c r="M236" s="779"/>
      <c r="N236" s="755"/>
      <c r="O236" s="678"/>
      <c r="P236" s="675"/>
    </row>
    <row r="237" spans="1:31" outlineLevel="1">
      <c r="A237" s="739">
        <v>46248</v>
      </c>
      <c r="B237" s="674"/>
      <c r="C237" s="782"/>
      <c r="D237" s="782"/>
      <c r="E237" s="782"/>
      <c r="F237" s="782"/>
      <c r="G237" s="782"/>
      <c r="H237" s="782"/>
      <c r="I237" s="782"/>
      <c r="J237" s="782"/>
      <c r="K237" s="782"/>
      <c r="L237" s="782"/>
      <c r="M237" s="779"/>
      <c r="N237" s="755"/>
      <c r="O237" s="678"/>
      <c r="P237" s="675"/>
    </row>
    <row r="238" spans="1:31" ht="17.25" outlineLevel="1" thickBot="1">
      <c r="A238" s="739">
        <v>46249</v>
      </c>
      <c r="B238" s="674"/>
      <c r="C238" s="782"/>
      <c r="D238" s="782"/>
      <c r="E238" s="782"/>
      <c r="F238" s="782"/>
      <c r="G238" s="782"/>
      <c r="H238" s="782"/>
      <c r="I238" s="782"/>
      <c r="J238" s="782"/>
      <c r="K238" s="782"/>
      <c r="L238" s="782"/>
      <c r="M238" s="779"/>
      <c r="N238" s="755"/>
      <c r="O238" s="678"/>
      <c r="P238" s="675"/>
    </row>
    <row r="239" spans="1:31" outlineLevel="1">
      <c r="A239" s="739">
        <v>46250</v>
      </c>
      <c r="B239" s="674"/>
      <c r="C239" s="782"/>
      <c r="D239" s="782"/>
      <c r="E239" s="782"/>
      <c r="F239" s="782"/>
      <c r="G239" s="782"/>
      <c r="H239" s="782"/>
      <c r="I239" s="782"/>
      <c r="J239" s="782"/>
      <c r="K239" s="782"/>
      <c r="L239" s="782"/>
      <c r="M239" s="775"/>
      <c r="N239" s="755"/>
      <c r="O239" s="678"/>
      <c r="P239" s="675"/>
      <c r="R239" s="1188" t="s">
        <v>624</v>
      </c>
      <c r="S239" s="1191" t="s">
        <v>286</v>
      </c>
      <c r="T239" s="1192"/>
      <c r="U239" s="1192"/>
      <c r="V239" s="1192"/>
      <c r="W239" s="1193"/>
      <c r="X239" s="1191" t="s">
        <v>751</v>
      </c>
      <c r="Y239" s="1193"/>
      <c r="Z239" s="1191" t="s">
        <v>730</v>
      </c>
      <c r="AA239" s="1193"/>
      <c r="AB239" s="1191" t="s">
        <v>745</v>
      </c>
      <c r="AC239" s="1193"/>
      <c r="AD239" s="1191" t="s">
        <v>539</v>
      </c>
      <c r="AE239" s="1193"/>
    </row>
    <row r="240" spans="1:31" ht="16.5" customHeight="1" outlineLevel="1">
      <c r="A240" s="739">
        <v>46251</v>
      </c>
      <c r="B240" s="674"/>
      <c r="C240" s="782"/>
      <c r="D240" s="782"/>
      <c r="E240" s="782"/>
      <c r="F240" s="782"/>
      <c r="G240" s="782"/>
      <c r="H240" s="782"/>
      <c r="I240" s="782"/>
      <c r="J240" s="782"/>
      <c r="K240" s="782"/>
      <c r="L240" s="782"/>
      <c r="M240" s="775"/>
      <c r="N240" s="755"/>
      <c r="O240" s="678"/>
      <c r="P240" s="675"/>
      <c r="R240" s="1189"/>
      <c r="S240" s="1194" t="s">
        <v>746</v>
      </c>
      <c r="T240" s="1195"/>
      <c r="U240" s="1196"/>
      <c r="V240" s="1197" t="s">
        <v>750</v>
      </c>
      <c r="W240" s="1188" t="s">
        <v>744</v>
      </c>
      <c r="X240" s="1199" t="s">
        <v>746</v>
      </c>
      <c r="Y240" s="1188" t="s">
        <v>744</v>
      </c>
      <c r="Z240" s="1199" t="s">
        <v>746</v>
      </c>
      <c r="AA240" s="1188" t="s">
        <v>744</v>
      </c>
      <c r="AB240" s="1199" t="s">
        <v>746</v>
      </c>
      <c r="AC240" s="1188" t="s">
        <v>744</v>
      </c>
      <c r="AD240" s="1199" t="s">
        <v>746</v>
      </c>
      <c r="AE240" s="1188" t="s">
        <v>744</v>
      </c>
    </row>
    <row r="241" spans="1:31" outlineLevel="1">
      <c r="A241" s="739">
        <v>46252</v>
      </c>
      <c r="B241" s="674"/>
      <c r="C241" s="782"/>
      <c r="D241" s="782"/>
      <c r="E241" s="782"/>
      <c r="F241" s="782"/>
      <c r="G241" s="782"/>
      <c r="H241" s="782"/>
      <c r="I241" s="782"/>
      <c r="J241" s="782"/>
      <c r="K241" s="782"/>
      <c r="L241" s="782"/>
      <c r="M241" s="775"/>
      <c r="N241" s="755"/>
      <c r="O241" s="678"/>
      <c r="P241" s="675"/>
      <c r="R241" s="1190"/>
      <c r="S241" s="704" t="s">
        <v>735</v>
      </c>
      <c r="T241" s="705" t="s">
        <v>736</v>
      </c>
      <c r="U241" s="705" t="s">
        <v>737</v>
      </c>
      <c r="V241" s="1198"/>
      <c r="W241" s="1190"/>
      <c r="X241" s="1200"/>
      <c r="Y241" s="1190"/>
      <c r="Z241" s="1200"/>
      <c r="AA241" s="1190"/>
      <c r="AB241" s="1200"/>
      <c r="AC241" s="1190"/>
      <c r="AD241" s="1200"/>
      <c r="AE241" s="1190"/>
    </row>
    <row r="242" spans="1:31" ht="16.5" customHeight="1" outlineLevel="1">
      <c r="A242" s="739">
        <v>46253</v>
      </c>
      <c r="B242" s="674"/>
      <c r="C242" s="782"/>
      <c r="D242" s="782"/>
      <c r="E242" s="782"/>
      <c r="F242" s="782"/>
      <c r="G242" s="782"/>
      <c r="H242" s="782"/>
      <c r="I242" s="782"/>
      <c r="J242" s="782"/>
      <c r="K242" s="782"/>
      <c r="L242" s="782"/>
      <c r="M242" s="775"/>
      <c r="N242" s="755"/>
      <c r="O242" s="678"/>
      <c r="P242" s="675"/>
      <c r="R242" s="692" t="s">
        <v>36</v>
      </c>
      <c r="S242" s="711"/>
      <c r="T242" s="712"/>
      <c r="U242" s="712"/>
      <c r="V242" s="713">
        <f>IFERROR(T242/U242,0)</f>
        <v>0</v>
      </c>
      <c r="W242" s="714"/>
      <c r="X242" s="711"/>
      <c r="Y242" s="714"/>
      <c r="Z242" s="711"/>
      <c r="AA242" s="714"/>
      <c r="AB242" s="711"/>
      <c r="AC242" s="714"/>
      <c r="AD242" s="711"/>
      <c r="AE242" s="714"/>
    </row>
    <row r="243" spans="1:31" outlineLevel="1">
      <c r="A243" s="739">
        <v>46254</v>
      </c>
      <c r="B243" s="674"/>
      <c r="C243" s="782"/>
      <c r="D243" s="782"/>
      <c r="E243" s="782"/>
      <c r="F243" s="782"/>
      <c r="G243" s="782"/>
      <c r="H243" s="782"/>
      <c r="I243" s="782"/>
      <c r="J243" s="782"/>
      <c r="K243" s="782"/>
      <c r="L243" s="782"/>
      <c r="M243" s="775"/>
      <c r="N243" s="755"/>
      <c r="O243" s="678"/>
      <c r="P243" s="675"/>
      <c r="R243" s="692" t="s">
        <v>738</v>
      </c>
      <c r="S243" s="711"/>
      <c r="T243" s="712"/>
      <c r="U243" s="712">
        <f t="shared" ref="U243:U253" si="21">S243+T243</f>
        <v>0</v>
      </c>
      <c r="V243" s="713">
        <f t="shared" ref="V243:V253" si="22">IFERROR(T243/U243,0)</f>
        <v>0</v>
      </c>
      <c r="W243" s="714"/>
      <c r="X243" s="711"/>
      <c r="Y243" s="714"/>
      <c r="Z243" s="711"/>
      <c r="AA243" s="714"/>
      <c r="AB243" s="711"/>
      <c r="AC243" s="714"/>
      <c r="AD243" s="711"/>
      <c r="AE243" s="714"/>
    </row>
    <row r="244" spans="1:31" outlineLevel="1">
      <c r="A244" s="739">
        <v>46255</v>
      </c>
      <c r="B244" s="674"/>
      <c r="C244" s="782"/>
      <c r="D244" s="782"/>
      <c r="E244" s="782"/>
      <c r="F244" s="782"/>
      <c r="G244" s="782"/>
      <c r="H244" s="782"/>
      <c r="I244" s="782"/>
      <c r="J244" s="782"/>
      <c r="K244" s="782"/>
      <c r="L244" s="782"/>
      <c r="M244" s="775"/>
      <c r="N244" s="755"/>
      <c r="O244" s="678"/>
      <c r="P244" s="675"/>
      <c r="R244" s="692" t="s">
        <v>508</v>
      </c>
      <c r="S244" s="711"/>
      <c r="T244" s="712"/>
      <c r="U244" s="712">
        <f t="shared" si="21"/>
        <v>0</v>
      </c>
      <c r="V244" s="713">
        <f t="shared" si="22"/>
        <v>0</v>
      </c>
      <c r="W244" s="714"/>
      <c r="X244" s="711"/>
      <c r="Y244" s="714"/>
      <c r="Z244" s="711"/>
      <c r="AA244" s="714"/>
      <c r="AB244" s="711"/>
      <c r="AC244" s="714"/>
      <c r="AD244" s="711"/>
      <c r="AE244" s="714"/>
    </row>
    <row r="245" spans="1:31" outlineLevel="1">
      <c r="A245" s="739">
        <v>46256</v>
      </c>
      <c r="B245" s="674"/>
      <c r="C245" s="782"/>
      <c r="D245" s="782"/>
      <c r="E245" s="782"/>
      <c r="F245" s="782"/>
      <c r="G245" s="782"/>
      <c r="H245" s="782"/>
      <c r="I245" s="782"/>
      <c r="J245" s="782"/>
      <c r="K245" s="782"/>
      <c r="L245" s="782"/>
      <c r="M245" s="775"/>
      <c r="N245" s="755"/>
      <c r="O245" s="678"/>
      <c r="P245" s="675"/>
      <c r="R245" s="692" t="s">
        <v>727</v>
      </c>
      <c r="S245" s="711"/>
      <c r="T245" s="712"/>
      <c r="U245" s="712">
        <f t="shared" si="21"/>
        <v>0</v>
      </c>
      <c r="V245" s="713">
        <f t="shared" si="22"/>
        <v>0</v>
      </c>
      <c r="W245" s="714"/>
      <c r="X245" s="711"/>
      <c r="Y245" s="714"/>
      <c r="Z245" s="711"/>
      <c r="AA245" s="714"/>
      <c r="AB245" s="711"/>
      <c r="AC245" s="714"/>
      <c r="AD245" s="711"/>
      <c r="AE245" s="714"/>
    </row>
    <row r="246" spans="1:31" outlineLevel="1">
      <c r="A246" s="739">
        <v>46257</v>
      </c>
      <c r="B246" s="674"/>
      <c r="C246" s="782"/>
      <c r="D246" s="782"/>
      <c r="E246" s="782"/>
      <c r="F246" s="782"/>
      <c r="G246" s="782"/>
      <c r="H246" s="782"/>
      <c r="I246" s="782"/>
      <c r="J246" s="782"/>
      <c r="K246" s="782"/>
      <c r="L246" s="782"/>
      <c r="M246" s="775"/>
      <c r="N246" s="755"/>
      <c r="O246" s="678"/>
      <c r="P246" s="675"/>
      <c r="R246" s="692" t="s">
        <v>728</v>
      </c>
      <c r="S246" s="711"/>
      <c r="T246" s="712"/>
      <c r="U246" s="712">
        <f t="shared" si="21"/>
        <v>0</v>
      </c>
      <c r="V246" s="713">
        <f t="shared" si="22"/>
        <v>0</v>
      </c>
      <c r="W246" s="714"/>
      <c r="X246" s="711"/>
      <c r="Y246" s="714"/>
      <c r="Z246" s="711"/>
      <c r="AA246" s="714"/>
      <c r="AB246" s="711"/>
      <c r="AC246" s="714"/>
      <c r="AD246" s="711"/>
      <c r="AE246" s="714"/>
    </row>
    <row r="247" spans="1:31" outlineLevel="1">
      <c r="A247" s="739">
        <v>46258</v>
      </c>
      <c r="B247" s="674"/>
      <c r="C247" s="782"/>
      <c r="D247" s="782"/>
      <c r="E247" s="782"/>
      <c r="F247" s="782"/>
      <c r="G247" s="782"/>
      <c r="H247" s="782"/>
      <c r="I247" s="782"/>
      <c r="J247" s="782"/>
      <c r="K247" s="782"/>
      <c r="L247" s="782"/>
      <c r="M247" s="775"/>
      <c r="N247" s="755"/>
      <c r="O247" s="678"/>
      <c r="P247" s="675"/>
      <c r="R247" s="692" t="s">
        <v>175</v>
      </c>
      <c r="S247" s="711"/>
      <c r="T247" s="712"/>
      <c r="U247" s="712">
        <f t="shared" si="21"/>
        <v>0</v>
      </c>
      <c r="V247" s="713">
        <f t="shared" si="22"/>
        <v>0</v>
      </c>
      <c r="W247" s="714"/>
      <c r="X247" s="711"/>
      <c r="Y247" s="714"/>
      <c r="Z247" s="711"/>
      <c r="AA247" s="714"/>
      <c r="AB247" s="711"/>
      <c r="AC247" s="714"/>
      <c r="AD247" s="711"/>
      <c r="AE247" s="714"/>
    </row>
    <row r="248" spans="1:31" outlineLevel="1">
      <c r="A248" s="739">
        <v>46259</v>
      </c>
      <c r="B248" s="674"/>
      <c r="C248" s="782"/>
      <c r="D248" s="782"/>
      <c r="E248" s="782"/>
      <c r="F248" s="782"/>
      <c r="G248" s="782"/>
      <c r="H248" s="782"/>
      <c r="I248" s="782"/>
      <c r="J248" s="782"/>
      <c r="K248" s="782"/>
      <c r="L248" s="782"/>
      <c r="M248" s="775"/>
      <c r="N248" s="755"/>
      <c r="O248" s="678"/>
      <c r="P248" s="675"/>
      <c r="R248" s="692" t="s">
        <v>537</v>
      </c>
      <c r="S248" s="711"/>
      <c r="T248" s="712"/>
      <c r="U248" s="712">
        <f t="shared" si="21"/>
        <v>0</v>
      </c>
      <c r="V248" s="713">
        <f t="shared" si="22"/>
        <v>0</v>
      </c>
      <c r="W248" s="714"/>
      <c r="X248" s="711"/>
      <c r="Y248" s="714"/>
      <c r="Z248" s="711"/>
      <c r="AA248" s="714"/>
      <c r="AB248" s="711"/>
      <c r="AC248" s="714"/>
      <c r="AD248" s="711"/>
      <c r="AE248" s="714"/>
    </row>
    <row r="249" spans="1:31" outlineLevel="1">
      <c r="A249" s="739">
        <v>46260</v>
      </c>
      <c r="B249" s="674"/>
      <c r="C249" s="874"/>
      <c r="D249" s="874"/>
      <c r="E249" s="874"/>
      <c r="F249" s="876"/>
      <c r="G249" s="876"/>
      <c r="H249" s="808"/>
      <c r="I249" s="674"/>
      <c r="J249" s="674"/>
      <c r="K249" s="674"/>
      <c r="L249" s="674"/>
      <c r="M249" s="775"/>
      <c r="N249" s="755"/>
      <c r="O249" s="678"/>
      <c r="P249" s="675"/>
      <c r="R249" s="692" t="s">
        <v>739</v>
      </c>
      <c r="S249" s="711"/>
      <c r="T249" s="712"/>
      <c r="U249" s="712">
        <f t="shared" si="21"/>
        <v>0</v>
      </c>
      <c r="V249" s="713">
        <f t="shared" si="22"/>
        <v>0</v>
      </c>
      <c r="W249" s="714"/>
      <c r="X249" s="711"/>
      <c r="Y249" s="714"/>
      <c r="Z249" s="711"/>
      <c r="AA249" s="714"/>
      <c r="AB249" s="711"/>
      <c r="AC249" s="714"/>
      <c r="AD249" s="711"/>
      <c r="AE249" s="714"/>
    </row>
    <row r="250" spans="1:31" outlineLevel="1">
      <c r="A250" s="739">
        <v>46261</v>
      </c>
      <c r="B250" s="694"/>
      <c r="C250" s="877"/>
      <c r="D250" s="877"/>
      <c r="E250" s="874"/>
      <c r="F250" s="878"/>
      <c r="G250" s="878"/>
      <c r="H250" s="809"/>
      <c r="I250" s="674"/>
      <c r="J250" s="694"/>
      <c r="K250" s="694"/>
      <c r="L250" s="694"/>
      <c r="M250" s="776"/>
      <c r="N250" s="755"/>
      <c r="O250" s="678"/>
      <c r="P250" s="675"/>
      <c r="R250" s="692" t="s">
        <v>740</v>
      </c>
      <c r="S250" s="711"/>
      <c r="T250" s="712"/>
      <c r="U250" s="712">
        <f t="shared" si="21"/>
        <v>0</v>
      </c>
      <c r="V250" s="713">
        <f t="shared" si="22"/>
        <v>0</v>
      </c>
      <c r="W250" s="714"/>
      <c r="X250" s="711"/>
      <c r="Y250" s="714"/>
      <c r="Z250" s="711"/>
      <c r="AA250" s="714"/>
      <c r="AB250" s="711"/>
      <c r="AC250" s="714"/>
      <c r="AD250" s="711"/>
      <c r="AE250" s="714"/>
    </row>
    <row r="251" spans="1:31" outlineLevel="1">
      <c r="A251" s="739">
        <v>46262</v>
      </c>
      <c r="B251" s="694"/>
      <c r="C251" s="877"/>
      <c r="D251" s="877"/>
      <c r="E251" s="874"/>
      <c r="F251" s="879"/>
      <c r="G251" s="879"/>
      <c r="H251" s="810"/>
      <c r="I251" s="695"/>
      <c r="J251" s="695"/>
      <c r="K251" s="695"/>
      <c r="L251" s="695"/>
      <c r="M251" s="777"/>
      <c r="N251" s="755"/>
      <c r="O251" s="678"/>
      <c r="P251" s="675"/>
      <c r="R251" s="692" t="s">
        <v>741</v>
      </c>
      <c r="S251" s="711"/>
      <c r="T251" s="712"/>
      <c r="U251" s="712">
        <f t="shared" si="21"/>
        <v>0</v>
      </c>
      <c r="V251" s="713">
        <f t="shared" si="22"/>
        <v>0</v>
      </c>
      <c r="W251" s="715"/>
      <c r="X251" s="711"/>
      <c r="Y251" s="715"/>
      <c r="Z251" s="711"/>
      <c r="AA251" s="715"/>
      <c r="AB251" s="711"/>
      <c r="AC251" s="715"/>
      <c r="AD251" s="711"/>
      <c r="AE251" s="715"/>
    </row>
    <row r="252" spans="1:31" outlineLevel="1">
      <c r="A252" s="739">
        <v>46263</v>
      </c>
      <c r="B252" s="695"/>
      <c r="C252" s="880"/>
      <c r="D252" s="880"/>
      <c r="E252" s="874"/>
      <c r="F252" s="881"/>
      <c r="G252" s="881"/>
      <c r="H252" s="811"/>
      <c r="I252" s="674"/>
      <c r="J252" s="676"/>
      <c r="K252" s="676"/>
      <c r="L252" s="676"/>
      <c r="M252" s="756"/>
      <c r="N252" s="755"/>
      <c r="O252" s="678"/>
      <c r="P252" s="675"/>
      <c r="R252" s="692" t="s">
        <v>538</v>
      </c>
      <c r="S252" s="711"/>
      <c r="T252" s="712"/>
      <c r="U252" s="712">
        <f t="shared" si="21"/>
        <v>0</v>
      </c>
      <c r="V252" s="713">
        <f t="shared" si="22"/>
        <v>0</v>
      </c>
      <c r="W252" s="715"/>
      <c r="X252" s="711"/>
      <c r="Y252" s="715"/>
      <c r="Z252" s="711"/>
      <c r="AA252" s="715"/>
      <c r="AB252" s="711"/>
      <c r="AC252" s="715"/>
      <c r="AD252" s="711"/>
      <c r="AE252" s="715"/>
    </row>
    <row r="253" spans="1:31" ht="17.25" outlineLevel="1" thickBot="1">
      <c r="A253" s="739">
        <v>46264</v>
      </c>
      <c r="B253" s="695"/>
      <c r="C253" s="880"/>
      <c r="D253" s="880"/>
      <c r="E253" s="874"/>
      <c r="F253" s="881"/>
      <c r="G253" s="881"/>
      <c r="H253" s="811"/>
      <c r="I253" s="674"/>
      <c r="J253" s="676"/>
      <c r="K253" s="676"/>
      <c r="L253" s="676"/>
      <c r="M253" s="756"/>
      <c r="N253" s="755"/>
      <c r="O253" s="678"/>
      <c r="P253" s="675"/>
      <c r="R253" s="692" t="s">
        <v>742</v>
      </c>
      <c r="S253" s="716"/>
      <c r="T253" s="717"/>
      <c r="U253" s="717">
        <f t="shared" si="21"/>
        <v>0</v>
      </c>
      <c r="V253" s="713">
        <f t="shared" si="22"/>
        <v>0</v>
      </c>
      <c r="W253" s="718"/>
      <c r="X253" s="716"/>
      <c r="Y253" s="718"/>
      <c r="Z253" s="716"/>
      <c r="AA253" s="718"/>
      <c r="AB253" s="716"/>
      <c r="AC253" s="718"/>
      <c r="AD253" s="716"/>
      <c r="AE253" s="718"/>
    </row>
    <row r="254" spans="1:31" ht="17.25" outlineLevel="1" thickBot="1">
      <c r="A254" s="739">
        <v>46265</v>
      </c>
      <c r="B254" s="695"/>
      <c r="C254" s="880"/>
      <c r="D254" s="880"/>
      <c r="E254" s="877"/>
      <c r="F254" s="882"/>
      <c r="G254" s="882"/>
      <c r="H254" s="811"/>
      <c r="I254" s="674"/>
      <c r="J254" s="676"/>
      <c r="K254" s="676"/>
      <c r="L254" s="676"/>
      <c r="M254" s="756"/>
      <c r="N254" s="755"/>
      <c r="O254" s="678"/>
      <c r="P254" s="675"/>
      <c r="R254" s="701" t="s">
        <v>737</v>
      </c>
      <c r="S254" s="719">
        <f>SUM(S242:S253)</f>
        <v>0</v>
      </c>
      <c r="T254" s="719">
        <f>SUM(T242:T253)</f>
        <v>0</v>
      </c>
      <c r="U254" s="719">
        <f>SUM(S254:T254)</f>
        <v>0</v>
      </c>
      <c r="V254" s="720">
        <f>IFERROR(T254/U254,0)</f>
        <v>0</v>
      </c>
      <c r="W254" s="721"/>
      <c r="X254" s="719">
        <f>SUM(X242:X253)</f>
        <v>0</v>
      </c>
      <c r="Y254" s="721"/>
      <c r="Z254" s="719">
        <f>SUM(Z242:Z253)</f>
        <v>0</v>
      </c>
      <c r="AA254" s="721"/>
      <c r="AB254" s="719">
        <f>SUM(AB242:AB253)</f>
        <v>0</v>
      </c>
      <c r="AC254" s="721"/>
      <c r="AD254" s="719">
        <f>SUM(AD242:AD253)</f>
        <v>0</v>
      </c>
      <c r="AE254" s="721"/>
    </row>
    <row r="255" spans="1:31" ht="17.25" outlineLevel="1" thickBot="1">
      <c r="A255" s="753" t="s">
        <v>737</v>
      </c>
      <c r="B255" s="688">
        <f t="shared" ref="B255:L255" si="23">SUM(B224:B254)</f>
        <v>0</v>
      </c>
      <c r="C255" s="688">
        <f t="shared" si="23"/>
        <v>0</v>
      </c>
      <c r="D255" s="688">
        <f t="shared" si="23"/>
        <v>0</v>
      </c>
      <c r="E255" s="688">
        <f t="shared" si="23"/>
        <v>0</v>
      </c>
      <c r="F255" s="688">
        <f>SUM(F224:F254)</f>
        <v>0</v>
      </c>
      <c r="G255" s="688">
        <f>SUM(G224:G254)</f>
        <v>0</v>
      </c>
      <c r="H255" s="688">
        <f t="shared" si="23"/>
        <v>0</v>
      </c>
      <c r="I255" s="689">
        <f t="shared" si="23"/>
        <v>0</v>
      </c>
      <c r="J255" s="689">
        <f t="shared" si="23"/>
        <v>0</v>
      </c>
      <c r="K255" s="689">
        <f t="shared" si="23"/>
        <v>0</v>
      </c>
      <c r="L255" s="689">
        <f t="shared" si="23"/>
        <v>0</v>
      </c>
      <c r="M255" s="757">
        <f>SUM(M225:M254)</f>
        <v>0</v>
      </c>
      <c r="N255" s="757">
        <f>SUM(N224:N254)</f>
        <v>0</v>
      </c>
      <c r="O255" s="757">
        <f>M255+N255</f>
        <v>0</v>
      </c>
      <c r="P255" s="690"/>
    </row>
    <row r="256" spans="1:31" outlineLevel="1">
      <c r="A256" s="739">
        <v>46266</v>
      </c>
      <c r="B256" s="673"/>
      <c r="C256" s="873"/>
      <c r="D256" s="873"/>
      <c r="E256" s="873"/>
      <c r="F256" s="873"/>
      <c r="G256" s="873"/>
      <c r="H256" s="673"/>
      <c r="I256" s="782"/>
      <c r="J256" s="782"/>
      <c r="K256" s="673"/>
      <c r="L256" s="673"/>
      <c r="M256" s="778"/>
      <c r="N256" s="755"/>
      <c r="O256" s="678"/>
      <c r="P256" s="675"/>
    </row>
    <row r="257" spans="1:31" outlineLevel="1">
      <c r="A257" s="739">
        <v>46267</v>
      </c>
      <c r="B257" s="674"/>
      <c r="C257" s="874"/>
      <c r="D257" s="874"/>
      <c r="E257" s="874"/>
      <c r="F257" s="873"/>
      <c r="G257" s="873"/>
      <c r="H257" s="673"/>
      <c r="I257" s="782"/>
      <c r="J257" s="782"/>
      <c r="K257" s="673"/>
      <c r="L257" s="673"/>
      <c r="M257" s="778"/>
      <c r="N257" s="755"/>
      <c r="O257" s="678"/>
      <c r="P257" s="675"/>
    </row>
    <row r="258" spans="1:31" outlineLevel="1">
      <c r="A258" s="739">
        <v>46268</v>
      </c>
      <c r="B258" s="674"/>
      <c r="C258" s="874"/>
      <c r="D258" s="874"/>
      <c r="E258" s="874"/>
      <c r="F258" s="875"/>
      <c r="G258" s="873"/>
      <c r="H258" s="673"/>
      <c r="I258" s="782"/>
      <c r="J258" s="782"/>
      <c r="K258" s="673"/>
      <c r="L258" s="673"/>
      <c r="M258" s="778"/>
      <c r="N258" s="755"/>
      <c r="O258" s="678"/>
      <c r="P258" s="675"/>
    </row>
    <row r="259" spans="1:31" outlineLevel="1">
      <c r="A259" s="739">
        <v>46269</v>
      </c>
      <c r="B259" s="674"/>
      <c r="C259" s="875"/>
      <c r="D259" s="875"/>
      <c r="E259" s="875"/>
      <c r="F259" s="875"/>
      <c r="G259" s="875"/>
      <c r="H259" s="782"/>
      <c r="I259" s="782"/>
      <c r="J259" s="782"/>
      <c r="K259" s="782"/>
      <c r="L259" s="782"/>
      <c r="M259" s="779"/>
      <c r="N259" s="755"/>
      <c r="O259" s="678"/>
      <c r="P259" s="675"/>
    </row>
    <row r="260" spans="1:31" outlineLevel="1">
      <c r="A260" s="739">
        <v>46270</v>
      </c>
      <c r="B260" s="674"/>
      <c r="C260" s="875"/>
      <c r="D260" s="875"/>
      <c r="E260" s="875"/>
      <c r="F260" s="875"/>
      <c r="G260" s="875"/>
      <c r="H260" s="782"/>
      <c r="I260" s="782"/>
      <c r="J260" s="782"/>
      <c r="K260" s="782"/>
      <c r="L260" s="782"/>
      <c r="M260" s="779"/>
      <c r="N260" s="755"/>
      <c r="O260" s="678"/>
      <c r="P260" s="675"/>
    </row>
    <row r="261" spans="1:31" outlineLevel="1">
      <c r="A261" s="739">
        <v>46271</v>
      </c>
      <c r="B261" s="674"/>
      <c r="C261" s="875"/>
      <c r="D261" s="875"/>
      <c r="E261" s="875"/>
      <c r="F261" s="875"/>
      <c r="G261" s="875"/>
      <c r="H261" s="782"/>
      <c r="I261" s="782"/>
      <c r="J261" s="782"/>
      <c r="K261" s="782"/>
      <c r="L261" s="782"/>
      <c r="M261" s="779"/>
      <c r="N261" s="755"/>
      <c r="O261" s="678"/>
      <c r="P261" s="675"/>
    </row>
    <row r="262" spans="1:31" outlineLevel="1">
      <c r="A262" s="739">
        <v>46272</v>
      </c>
      <c r="B262" s="674"/>
      <c r="C262" s="875"/>
      <c r="D262" s="875"/>
      <c r="E262" s="875"/>
      <c r="F262" s="875"/>
      <c r="G262" s="875"/>
      <c r="H262" s="782"/>
      <c r="I262" s="782"/>
      <c r="J262" s="782"/>
      <c r="K262" s="782"/>
      <c r="L262" s="782"/>
      <c r="M262" s="779"/>
      <c r="N262" s="755"/>
      <c r="O262" s="678"/>
      <c r="P262" s="675"/>
    </row>
    <row r="263" spans="1:31" outlineLevel="1">
      <c r="A263" s="739">
        <v>46273</v>
      </c>
      <c r="B263" s="674"/>
      <c r="C263" s="875"/>
      <c r="D263" s="875"/>
      <c r="E263" s="875"/>
      <c r="F263" s="875"/>
      <c r="G263" s="875"/>
      <c r="H263" s="782"/>
      <c r="I263" s="782"/>
      <c r="J263" s="782"/>
      <c r="K263" s="782"/>
      <c r="L263" s="782"/>
      <c r="M263" s="779"/>
      <c r="N263" s="755"/>
      <c r="O263" s="678"/>
      <c r="P263" s="691"/>
    </row>
    <row r="264" spans="1:31" outlineLevel="1">
      <c r="A264" s="739">
        <v>46274</v>
      </c>
      <c r="B264" s="674"/>
      <c r="C264" s="875"/>
      <c r="D264" s="875"/>
      <c r="E264" s="875"/>
      <c r="F264" s="875"/>
      <c r="G264" s="875"/>
      <c r="H264" s="782"/>
      <c r="I264" s="782"/>
      <c r="J264" s="782"/>
      <c r="K264" s="782"/>
      <c r="L264" s="782"/>
      <c r="M264" s="779"/>
      <c r="N264" s="755"/>
      <c r="O264" s="678"/>
      <c r="P264" s="691"/>
    </row>
    <row r="265" spans="1:31" outlineLevel="1">
      <c r="A265" s="739">
        <v>46275</v>
      </c>
      <c r="B265" s="674"/>
      <c r="C265" s="875"/>
      <c r="D265" s="875"/>
      <c r="E265" s="875"/>
      <c r="F265" s="875"/>
      <c r="G265" s="875"/>
      <c r="H265" s="782"/>
      <c r="I265" s="782"/>
      <c r="J265" s="782"/>
      <c r="K265" s="782"/>
      <c r="L265" s="782"/>
      <c r="M265" s="779"/>
      <c r="N265" s="755"/>
      <c r="O265" s="678"/>
      <c r="P265" s="691"/>
    </row>
    <row r="266" spans="1:31" outlineLevel="1">
      <c r="A266" s="739">
        <v>46276</v>
      </c>
      <c r="B266" s="674"/>
      <c r="C266" s="875"/>
      <c r="D266" s="875"/>
      <c r="E266" s="875"/>
      <c r="F266" s="875"/>
      <c r="G266" s="875"/>
      <c r="H266" s="782"/>
      <c r="I266" s="782"/>
      <c r="J266" s="782"/>
      <c r="K266" s="782"/>
      <c r="L266" s="782"/>
      <c r="M266" s="779"/>
      <c r="N266" s="755"/>
      <c r="O266" s="678"/>
      <c r="P266" s="675"/>
    </row>
    <row r="267" spans="1:31" outlineLevel="1">
      <c r="A267" s="739">
        <v>46277</v>
      </c>
      <c r="B267" s="674"/>
      <c r="C267" s="875"/>
      <c r="D267" s="875"/>
      <c r="E267" s="875"/>
      <c r="F267" s="875"/>
      <c r="G267" s="875"/>
      <c r="H267" s="782"/>
      <c r="I267" s="782"/>
      <c r="J267" s="782"/>
      <c r="K267" s="782"/>
      <c r="L267" s="782"/>
      <c r="M267" s="779"/>
      <c r="N267" s="755"/>
      <c r="O267" s="678"/>
      <c r="P267" s="675"/>
    </row>
    <row r="268" spans="1:31" outlineLevel="1">
      <c r="A268" s="739">
        <v>46278</v>
      </c>
      <c r="B268" s="674"/>
      <c r="C268" s="875"/>
      <c r="D268" s="875"/>
      <c r="E268" s="875"/>
      <c r="F268" s="875"/>
      <c r="G268" s="875"/>
      <c r="H268" s="782"/>
      <c r="I268" s="782"/>
      <c r="J268" s="782"/>
      <c r="K268" s="782"/>
      <c r="L268" s="782"/>
      <c r="M268" s="779"/>
      <c r="N268" s="755"/>
      <c r="O268" s="678"/>
      <c r="P268" s="675"/>
    </row>
    <row r="269" spans="1:31" ht="17.25" outlineLevel="1" thickBot="1">
      <c r="A269" s="739">
        <v>46279</v>
      </c>
      <c r="B269" s="674"/>
      <c r="C269" s="875"/>
      <c r="D269" s="875"/>
      <c r="E269" s="875"/>
      <c r="F269" s="875"/>
      <c r="G269" s="875"/>
      <c r="H269" s="782"/>
      <c r="I269" s="782"/>
      <c r="J269" s="782"/>
      <c r="K269" s="782"/>
      <c r="L269" s="782"/>
      <c r="M269" s="779"/>
      <c r="N269" s="755"/>
      <c r="O269" s="678"/>
      <c r="P269" s="675"/>
    </row>
    <row r="270" spans="1:31" outlineLevel="1">
      <c r="A270" s="739">
        <v>46280</v>
      </c>
      <c r="B270" s="674"/>
      <c r="C270" s="875"/>
      <c r="D270" s="875"/>
      <c r="E270" s="875"/>
      <c r="F270" s="875"/>
      <c r="G270" s="875"/>
      <c r="H270" s="782"/>
      <c r="I270" s="782"/>
      <c r="J270" s="782"/>
      <c r="K270" s="782"/>
      <c r="L270" s="782"/>
      <c r="M270" s="779"/>
      <c r="N270" s="755"/>
      <c r="O270" s="678"/>
      <c r="P270" s="675"/>
      <c r="R270" s="1188" t="s">
        <v>624</v>
      </c>
      <c r="S270" s="1191" t="s">
        <v>286</v>
      </c>
      <c r="T270" s="1192"/>
      <c r="U270" s="1192"/>
      <c r="V270" s="1192"/>
      <c r="W270" s="1193"/>
      <c r="X270" s="1191" t="s">
        <v>751</v>
      </c>
      <c r="Y270" s="1193"/>
      <c r="Z270" s="1191" t="s">
        <v>730</v>
      </c>
      <c r="AA270" s="1193"/>
      <c r="AB270" s="1191" t="s">
        <v>745</v>
      </c>
      <c r="AC270" s="1193"/>
      <c r="AD270" s="1191" t="s">
        <v>539</v>
      </c>
      <c r="AE270" s="1193"/>
    </row>
    <row r="271" spans="1:31" ht="16.5" customHeight="1" outlineLevel="1">
      <c r="A271" s="739">
        <v>46281</v>
      </c>
      <c r="B271" s="674"/>
      <c r="C271" s="875"/>
      <c r="D271" s="875"/>
      <c r="E271" s="875"/>
      <c r="F271" s="875"/>
      <c r="G271" s="875"/>
      <c r="H271" s="782"/>
      <c r="I271" s="782"/>
      <c r="J271" s="782"/>
      <c r="K271" s="782"/>
      <c r="L271" s="782"/>
      <c r="M271" s="775"/>
      <c r="N271" s="755"/>
      <c r="O271" s="678"/>
      <c r="P271" s="675"/>
      <c r="R271" s="1189"/>
      <c r="S271" s="1194" t="s">
        <v>746</v>
      </c>
      <c r="T271" s="1195"/>
      <c r="U271" s="1196"/>
      <c r="V271" s="1197" t="s">
        <v>750</v>
      </c>
      <c r="W271" s="1188" t="s">
        <v>744</v>
      </c>
      <c r="X271" s="1199" t="s">
        <v>746</v>
      </c>
      <c r="Y271" s="1188" t="s">
        <v>744</v>
      </c>
      <c r="Z271" s="1199" t="s">
        <v>746</v>
      </c>
      <c r="AA271" s="1188" t="s">
        <v>744</v>
      </c>
      <c r="AB271" s="1199" t="s">
        <v>746</v>
      </c>
      <c r="AC271" s="1188" t="s">
        <v>744</v>
      </c>
      <c r="AD271" s="1199" t="s">
        <v>746</v>
      </c>
      <c r="AE271" s="1188" t="s">
        <v>744</v>
      </c>
    </row>
    <row r="272" spans="1:31" outlineLevel="1">
      <c r="A272" s="739">
        <v>46282</v>
      </c>
      <c r="B272" s="674"/>
      <c r="C272" s="875"/>
      <c r="D272" s="875"/>
      <c r="E272" s="875"/>
      <c r="F272" s="875"/>
      <c r="G272" s="875"/>
      <c r="H272" s="782"/>
      <c r="I272" s="782"/>
      <c r="J272" s="782"/>
      <c r="K272" s="782"/>
      <c r="L272" s="782"/>
      <c r="M272" s="775"/>
      <c r="N272" s="755"/>
      <c r="O272" s="678"/>
      <c r="P272" s="675"/>
      <c r="R272" s="1190"/>
      <c r="S272" s="704" t="s">
        <v>735</v>
      </c>
      <c r="T272" s="705" t="s">
        <v>736</v>
      </c>
      <c r="U272" s="705" t="s">
        <v>737</v>
      </c>
      <c r="V272" s="1198"/>
      <c r="W272" s="1190"/>
      <c r="X272" s="1200"/>
      <c r="Y272" s="1190"/>
      <c r="Z272" s="1200"/>
      <c r="AA272" s="1190"/>
      <c r="AB272" s="1200"/>
      <c r="AC272" s="1190"/>
      <c r="AD272" s="1200"/>
      <c r="AE272" s="1190"/>
    </row>
    <row r="273" spans="1:31" outlineLevel="1">
      <c r="A273" s="739">
        <v>46283</v>
      </c>
      <c r="B273" s="674"/>
      <c r="C273" s="875"/>
      <c r="D273" s="875"/>
      <c r="E273" s="875"/>
      <c r="F273" s="875"/>
      <c r="G273" s="875"/>
      <c r="H273" s="782"/>
      <c r="I273" s="674"/>
      <c r="J273" s="782"/>
      <c r="K273" s="782"/>
      <c r="L273" s="782"/>
      <c r="M273" s="775"/>
      <c r="N273" s="755"/>
      <c r="O273" s="678"/>
      <c r="P273" s="675"/>
      <c r="R273" s="692" t="s">
        <v>36</v>
      </c>
      <c r="S273" s="711"/>
      <c r="T273" s="712"/>
      <c r="U273" s="712"/>
      <c r="V273" s="713">
        <f>IFERROR(T273/U273,0)</f>
        <v>0</v>
      </c>
      <c r="W273" s="714"/>
      <c r="X273" s="711"/>
      <c r="Y273" s="714"/>
      <c r="Z273" s="711"/>
      <c r="AA273" s="714"/>
      <c r="AB273" s="711"/>
      <c r="AC273" s="714"/>
      <c r="AD273" s="711"/>
      <c r="AE273" s="714"/>
    </row>
    <row r="274" spans="1:31" outlineLevel="1">
      <c r="A274" s="739">
        <v>46284</v>
      </c>
      <c r="B274" s="674"/>
      <c r="C274" s="875"/>
      <c r="D274" s="875"/>
      <c r="E274" s="875"/>
      <c r="F274" s="875"/>
      <c r="G274" s="875"/>
      <c r="H274" s="782"/>
      <c r="I274" s="674"/>
      <c r="J274" s="782"/>
      <c r="K274" s="782"/>
      <c r="L274" s="782"/>
      <c r="M274" s="775"/>
      <c r="N274" s="755"/>
      <c r="O274" s="678"/>
      <c r="P274" s="675"/>
      <c r="R274" s="692" t="s">
        <v>738</v>
      </c>
      <c r="S274" s="711"/>
      <c r="T274" s="712"/>
      <c r="U274" s="712">
        <f t="shared" ref="U274:U284" si="24">S274+T274</f>
        <v>0</v>
      </c>
      <c r="V274" s="713">
        <f t="shared" ref="V274:V284" si="25">IFERROR(T274/U274,0)</f>
        <v>0</v>
      </c>
      <c r="W274" s="714"/>
      <c r="X274" s="711"/>
      <c r="Y274" s="714"/>
      <c r="Z274" s="711"/>
      <c r="AA274" s="714"/>
      <c r="AB274" s="711"/>
      <c r="AC274" s="714"/>
      <c r="AD274" s="711"/>
      <c r="AE274" s="714"/>
    </row>
    <row r="275" spans="1:31" outlineLevel="1">
      <c r="A275" s="739">
        <v>46285</v>
      </c>
      <c r="B275" s="674"/>
      <c r="C275" s="875"/>
      <c r="D275" s="875"/>
      <c r="E275" s="875"/>
      <c r="F275" s="875"/>
      <c r="G275" s="875"/>
      <c r="H275" s="782"/>
      <c r="I275" s="674"/>
      <c r="J275" s="782"/>
      <c r="K275" s="782"/>
      <c r="L275" s="782"/>
      <c r="M275" s="775"/>
      <c r="N275" s="755"/>
      <c r="O275" s="678"/>
      <c r="P275" s="675"/>
      <c r="R275" s="692" t="s">
        <v>508</v>
      </c>
      <c r="S275" s="711"/>
      <c r="T275" s="712"/>
      <c r="U275" s="712">
        <f t="shared" si="24"/>
        <v>0</v>
      </c>
      <c r="V275" s="713">
        <f t="shared" si="25"/>
        <v>0</v>
      </c>
      <c r="W275" s="714"/>
      <c r="X275" s="711"/>
      <c r="Y275" s="714"/>
      <c r="Z275" s="711"/>
      <c r="AA275" s="714"/>
      <c r="AB275" s="711"/>
      <c r="AC275" s="714"/>
      <c r="AD275" s="711"/>
      <c r="AE275" s="714"/>
    </row>
    <row r="276" spans="1:31" outlineLevel="1">
      <c r="A276" s="739">
        <v>46286</v>
      </c>
      <c r="B276" s="674"/>
      <c r="C276" s="875"/>
      <c r="D276" s="875"/>
      <c r="E276" s="875"/>
      <c r="F276" s="875"/>
      <c r="G276" s="875"/>
      <c r="H276" s="782"/>
      <c r="I276" s="674"/>
      <c r="J276" s="782"/>
      <c r="K276" s="782"/>
      <c r="L276" s="782"/>
      <c r="M276" s="775"/>
      <c r="N276" s="755"/>
      <c r="O276" s="678"/>
      <c r="P276" s="675"/>
      <c r="R276" s="692" t="s">
        <v>727</v>
      </c>
      <c r="S276" s="711"/>
      <c r="T276" s="712"/>
      <c r="U276" s="712">
        <f t="shared" si="24"/>
        <v>0</v>
      </c>
      <c r="V276" s="713">
        <f t="shared" si="25"/>
        <v>0</v>
      </c>
      <c r="W276" s="714"/>
      <c r="X276" s="711"/>
      <c r="Y276" s="714"/>
      <c r="Z276" s="711"/>
      <c r="AA276" s="714"/>
      <c r="AB276" s="711"/>
      <c r="AC276" s="714"/>
      <c r="AD276" s="711"/>
      <c r="AE276" s="714"/>
    </row>
    <row r="277" spans="1:31" outlineLevel="1">
      <c r="A277" s="739">
        <v>46287</v>
      </c>
      <c r="B277" s="674"/>
      <c r="C277" s="875"/>
      <c r="D277" s="875"/>
      <c r="E277" s="875"/>
      <c r="F277" s="875"/>
      <c r="G277" s="875"/>
      <c r="H277" s="782"/>
      <c r="I277" s="674"/>
      <c r="J277" s="782"/>
      <c r="K277" s="782"/>
      <c r="L277" s="782"/>
      <c r="M277" s="775"/>
      <c r="N277" s="755"/>
      <c r="O277" s="678"/>
      <c r="P277" s="675"/>
      <c r="R277" s="692" t="s">
        <v>728</v>
      </c>
      <c r="S277" s="711"/>
      <c r="T277" s="712"/>
      <c r="U277" s="712">
        <f t="shared" si="24"/>
        <v>0</v>
      </c>
      <c r="V277" s="713">
        <f t="shared" si="25"/>
        <v>0</v>
      </c>
      <c r="W277" s="714"/>
      <c r="X277" s="711"/>
      <c r="Y277" s="714"/>
      <c r="Z277" s="711"/>
      <c r="AA277" s="714"/>
      <c r="AB277" s="711"/>
      <c r="AC277" s="714"/>
      <c r="AD277" s="711"/>
      <c r="AE277" s="714"/>
    </row>
    <row r="278" spans="1:31" outlineLevel="1">
      <c r="A278" s="739">
        <v>46288</v>
      </c>
      <c r="B278" s="674"/>
      <c r="C278" s="875"/>
      <c r="D278" s="875"/>
      <c r="E278" s="875"/>
      <c r="F278" s="875"/>
      <c r="G278" s="875"/>
      <c r="H278" s="782"/>
      <c r="I278" s="674"/>
      <c r="J278" s="782"/>
      <c r="K278" s="782"/>
      <c r="L278" s="782"/>
      <c r="M278" s="775"/>
      <c r="N278" s="755"/>
      <c r="O278" s="678"/>
      <c r="P278" s="675"/>
      <c r="R278" s="692" t="s">
        <v>175</v>
      </c>
      <c r="S278" s="711"/>
      <c r="T278" s="712"/>
      <c r="U278" s="712">
        <f t="shared" si="24"/>
        <v>0</v>
      </c>
      <c r="V278" s="713">
        <f t="shared" si="25"/>
        <v>0</v>
      </c>
      <c r="W278" s="714"/>
      <c r="X278" s="711"/>
      <c r="Y278" s="714"/>
      <c r="Z278" s="711"/>
      <c r="AA278" s="714"/>
      <c r="AB278" s="711"/>
      <c r="AC278" s="714"/>
      <c r="AD278" s="711"/>
      <c r="AE278" s="714"/>
    </row>
    <row r="279" spans="1:31" outlineLevel="1">
      <c r="A279" s="739">
        <v>46289</v>
      </c>
      <c r="B279" s="674"/>
      <c r="C279" s="782"/>
      <c r="D279" s="782"/>
      <c r="E279" s="674"/>
      <c r="F279" s="782"/>
      <c r="G279" s="782"/>
      <c r="H279" s="782"/>
      <c r="I279" s="674"/>
      <c r="J279" s="782"/>
      <c r="K279" s="782"/>
      <c r="L279" s="782"/>
      <c r="M279" s="775"/>
      <c r="N279" s="755"/>
      <c r="O279" s="678"/>
      <c r="P279" s="675"/>
      <c r="R279" s="692" t="s">
        <v>537</v>
      </c>
      <c r="S279" s="711"/>
      <c r="T279" s="712"/>
      <c r="U279" s="712">
        <f t="shared" si="24"/>
        <v>0</v>
      </c>
      <c r="V279" s="713">
        <f t="shared" si="25"/>
        <v>0</v>
      </c>
      <c r="W279" s="714"/>
      <c r="X279" s="711"/>
      <c r="Y279" s="714"/>
      <c r="Z279" s="711"/>
      <c r="AA279" s="714"/>
      <c r="AB279" s="711"/>
      <c r="AC279" s="714"/>
      <c r="AD279" s="711"/>
      <c r="AE279" s="714"/>
    </row>
    <row r="280" spans="1:31" outlineLevel="1">
      <c r="A280" s="739">
        <v>46290</v>
      </c>
      <c r="B280" s="674"/>
      <c r="C280" s="782"/>
      <c r="D280" s="782"/>
      <c r="E280" s="782"/>
      <c r="F280" s="782"/>
      <c r="G280" s="782"/>
      <c r="H280" s="782"/>
      <c r="I280" s="674"/>
      <c r="J280" s="782"/>
      <c r="K280" s="782"/>
      <c r="L280" s="782"/>
      <c r="M280" s="775"/>
      <c r="N280" s="755"/>
      <c r="O280" s="678"/>
      <c r="P280" s="675"/>
      <c r="R280" s="692" t="s">
        <v>739</v>
      </c>
      <c r="S280" s="711"/>
      <c r="T280" s="712"/>
      <c r="U280" s="712">
        <f t="shared" si="24"/>
        <v>0</v>
      </c>
      <c r="V280" s="713">
        <f t="shared" si="25"/>
        <v>0</v>
      </c>
      <c r="W280" s="714"/>
      <c r="X280" s="711"/>
      <c r="Y280" s="714"/>
      <c r="Z280" s="711"/>
      <c r="AA280" s="714"/>
      <c r="AB280" s="711"/>
      <c r="AC280" s="714"/>
      <c r="AD280" s="711"/>
      <c r="AE280" s="714"/>
    </row>
    <row r="281" spans="1:31" outlineLevel="1">
      <c r="A281" s="739">
        <v>46291</v>
      </c>
      <c r="B281" s="674"/>
      <c r="C281" s="674"/>
      <c r="D281" s="674"/>
      <c r="E281" s="674"/>
      <c r="F281" s="808"/>
      <c r="G281" s="808"/>
      <c r="H281" s="808"/>
      <c r="I281" s="674"/>
      <c r="J281" s="674"/>
      <c r="K281" s="674"/>
      <c r="L281" s="674"/>
      <c r="M281" s="775"/>
      <c r="N281" s="755"/>
      <c r="O281" s="678"/>
      <c r="P281" s="675"/>
      <c r="R281" s="692" t="s">
        <v>740</v>
      </c>
      <c r="S281" s="711"/>
      <c r="T281" s="712"/>
      <c r="U281" s="712">
        <f t="shared" si="24"/>
        <v>0</v>
      </c>
      <c r="V281" s="713">
        <f t="shared" si="25"/>
        <v>0</v>
      </c>
      <c r="W281" s="714"/>
      <c r="X281" s="711"/>
      <c r="Y281" s="714"/>
      <c r="Z281" s="711"/>
      <c r="AA281" s="714"/>
      <c r="AB281" s="711"/>
      <c r="AC281" s="714"/>
      <c r="AD281" s="711"/>
      <c r="AE281" s="714"/>
    </row>
    <row r="282" spans="1:31" outlineLevel="1">
      <c r="A282" s="739">
        <v>46292</v>
      </c>
      <c r="B282" s="694"/>
      <c r="C282" s="694"/>
      <c r="D282" s="694"/>
      <c r="E282" s="674"/>
      <c r="F282" s="809"/>
      <c r="G282" s="809"/>
      <c r="H282" s="809"/>
      <c r="I282" s="674"/>
      <c r="J282" s="694"/>
      <c r="K282" s="694"/>
      <c r="L282" s="694"/>
      <c r="M282" s="776"/>
      <c r="N282" s="755"/>
      <c r="O282" s="678"/>
      <c r="P282" s="675"/>
      <c r="R282" s="692" t="s">
        <v>741</v>
      </c>
      <c r="S282" s="711"/>
      <c r="T282" s="712"/>
      <c r="U282" s="712">
        <f t="shared" si="24"/>
        <v>0</v>
      </c>
      <c r="V282" s="713">
        <f t="shared" si="25"/>
        <v>0</v>
      </c>
      <c r="W282" s="715"/>
      <c r="X282" s="711"/>
      <c r="Y282" s="715"/>
      <c r="Z282" s="711"/>
      <c r="AA282" s="715"/>
      <c r="AB282" s="711"/>
      <c r="AC282" s="715"/>
      <c r="AD282" s="711"/>
      <c r="AE282" s="715"/>
    </row>
    <row r="283" spans="1:31" outlineLevel="1">
      <c r="A283" s="739">
        <v>46293</v>
      </c>
      <c r="B283" s="694"/>
      <c r="C283" s="694"/>
      <c r="D283" s="694"/>
      <c r="E283" s="674"/>
      <c r="F283" s="810"/>
      <c r="G283" s="810"/>
      <c r="H283" s="810"/>
      <c r="I283" s="695"/>
      <c r="J283" s="695"/>
      <c r="K283" s="695"/>
      <c r="L283" s="695"/>
      <c r="M283" s="777"/>
      <c r="N283" s="755"/>
      <c r="O283" s="678"/>
      <c r="P283" s="675"/>
      <c r="R283" s="692" t="s">
        <v>538</v>
      </c>
      <c r="S283" s="711"/>
      <c r="T283" s="712"/>
      <c r="U283" s="712">
        <f t="shared" si="24"/>
        <v>0</v>
      </c>
      <c r="V283" s="713">
        <f t="shared" si="25"/>
        <v>0</v>
      </c>
      <c r="W283" s="715"/>
      <c r="X283" s="711"/>
      <c r="Y283" s="715"/>
      <c r="Z283" s="711"/>
      <c r="AA283" s="715"/>
      <c r="AB283" s="711"/>
      <c r="AC283" s="715"/>
      <c r="AD283" s="711"/>
      <c r="AE283" s="715"/>
    </row>
    <row r="284" spans="1:31" ht="17.25" outlineLevel="1" thickBot="1">
      <c r="A284" s="739">
        <v>46294</v>
      </c>
      <c r="B284" s="695"/>
      <c r="C284" s="695"/>
      <c r="D284" s="695"/>
      <c r="E284" s="674"/>
      <c r="F284" s="811"/>
      <c r="G284" s="811"/>
      <c r="H284" s="811"/>
      <c r="I284" s="674"/>
      <c r="J284" s="676"/>
      <c r="K284" s="676"/>
      <c r="L284" s="676"/>
      <c r="M284" s="756"/>
      <c r="N284" s="755"/>
      <c r="O284" s="678"/>
      <c r="P284" s="675"/>
      <c r="R284" s="692" t="s">
        <v>742</v>
      </c>
      <c r="S284" s="716"/>
      <c r="T284" s="717"/>
      <c r="U284" s="717">
        <f t="shared" si="24"/>
        <v>0</v>
      </c>
      <c r="V284" s="713">
        <f t="shared" si="25"/>
        <v>0</v>
      </c>
      <c r="W284" s="718"/>
      <c r="X284" s="716"/>
      <c r="Y284" s="718"/>
      <c r="Z284" s="716"/>
      <c r="AA284" s="718"/>
      <c r="AB284" s="716"/>
      <c r="AC284" s="718"/>
      <c r="AD284" s="716"/>
      <c r="AE284" s="718"/>
    </row>
    <row r="285" spans="1:31" ht="17.25" outlineLevel="1" thickBot="1">
      <c r="A285" s="739">
        <v>46295</v>
      </c>
      <c r="B285" s="695"/>
      <c r="C285" s="695"/>
      <c r="D285" s="695"/>
      <c r="E285" s="674"/>
      <c r="F285" s="811"/>
      <c r="G285" s="811"/>
      <c r="H285" s="811"/>
      <c r="I285" s="674"/>
      <c r="J285" s="676"/>
      <c r="K285" s="676"/>
      <c r="L285" s="676"/>
      <c r="M285" s="756"/>
      <c r="N285" s="755"/>
      <c r="O285" s="678"/>
      <c r="P285" s="675"/>
      <c r="R285" s="701" t="s">
        <v>737</v>
      </c>
      <c r="S285" s="719">
        <f>SUM(S273:S284)</f>
        <v>0</v>
      </c>
      <c r="T285" s="719">
        <f>SUM(T273:T284)</f>
        <v>0</v>
      </c>
      <c r="U285" s="719">
        <f>SUM(S285:T285)</f>
        <v>0</v>
      </c>
      <c r="V285" s="720">
        <f>IFERROR(T285/U285,0)</f>
        <v>0</v>
      </c>
      <c r="W285" s="721"/>
      <c r="X285" s="719">
        <f>SUM(X273:X284)</f>
        <v>0</v>
      </c>
      <c r="Y285" s="721"/>
      <c r="Z285" s="719">
        <f>SUM(Z273:Z284)</f>
        <v>0</v>
      </c>
      <c r="AA285" s="721"/>
      <c r="AB285" s="719">
        <f>SUM(AB273:AB284)</f>
        <v>0</v>
      </c>
      <c r="AC285" s="721"/>
      <c r="AD285" s="719">
        <f>SUM(AD273:AD284)</f>
        <v>0</v>
      </c>
      <c r="AE285" s="721"/>
    </row>
    <row r="286" spans="1:31" ht="17.25" outlineLevel="1" thickBot="1">
      <c r="A286" s="753" t="s">
        <v>737</v>
      </c>
      <c r="B286" s="688">
        <f t="shared" ref="B286:L286" si="26">SUM(B256:B285)</f>
        <v>0</v>
      </c>
      <c r="C286" s="688">
        <f t="shared" si="26"/>
        <v>0</v>
      </c>
      <c r="D286" s="688">
        <f t="shared" si="26"/>
        <v>0</v>
      </c>
      <c r="E286" s="688">
        <f t="shared" si="26"/>
        <v>0</v>
      </c>
      <c r="F286" s="688">
        <f t="shared" si="26"/>
        <v>0</v>
      </c>
      <c r="G286" s="688">
        <f t="shared" si="26"/>
        <v>0</v>
      </c>
      <c r="H286" s="688">
        <f t="shared" si="26"/>
        <v>0</v>
      </c>
      <c r="I286" s="689">
        <f t="shared" si="26"/>
        <v>0</v>
      </c>
      <c r="J286" s="689">
        <f t="shared" si="26"/>
        <v>0</v>
      </c>
      <c r="K286" s="689">
        <f t="shared" si="26"/>
        <v>0</v>
      </c>
      <c r="L286" s="689">
        <f t="shared" si="26"/>
        <v>0</v>
      </c>
      <c r="M286" s="757">
        <f>SUM(M257:M285)</f>
        <v>0</v>
      </c>
      <c r="N286" s="757">
        <f>SUM(N256:N285)</f>
        <v>0</v>
      </c>
      <c r="O286" s="757">
        <f>M286+N286</f>
        <v>0</v>
      </c>
      <c r="P286" s="690"/>
    </row>
    <row r="287" spans="1:31">
      <c r="A287" s="739">
        <v>46296</v>
      </c>
      <c r="B287" s="673"/>
      <c r="C287" s="873"/>
      <c r="D287" s="873"/>
      <c r="E287" s="873"/>
      <c r="F287" s="873"/>
      <c r="G287" s="873"/>
      <c r="H287" s="673"/>
      <c r="I287" s="782"/>
      <c r="J287" s="782"/>
      <c r="K287" s="673"/>
      <c r="L287" s="673"/>
      <c r="M287" s="778"/>
      <c r="N287" s="755"/>
      <c r="O287" s="678"/>
      <c r="P287" s="675"/>
    </row>
    <row r="288" spans="1:31">
      <c r="A288" s="739">
        <v>46297</v>
      </c>
      <c r="B288" s="674"/>
      <c r="C288" s="874"/>
      <c r="D288" s="874"/>
      <c r="E288" s="874"/>
      <c r="F288" s="873"/>
      <c r="G288" s="873"/>
      <c r="H288" s="673"/>
      <c r="I288" s="782"/>
      <c r="J288" s="782"/>
      <c r="K288" s="673"/>
      <c r="L288" s="673"/>
      <c r="M288" s="778"/>
      <c r="N288" s="755"/>
      <c r="O288" s="678"/>
      <c r="P288" s="675"/>
    </row>
    <row r="289" spans="1:31">
      <c r="A289" s="739">
        <v>46298</v>
      </c>
      <c r="B289" s="674"/>
      <c r="C289" s="874"/>
      <c r="D289" s="874"/>
      <c r="E289" s="874"/>
      <c r="F289" s="875"/>
      <c r="G289" s="873"/>
      <c r="H289" s="673"/>
      <c r="I289" s="782"/>
      <c r="J289" s="782"/>
      <c r="K289" s="673"/>
      <c r="L289" s="673"/>
      <c r="M289" s="778"/>
      <c r="N289" s="755"/>
      <c r="O289" s="678"/>
      <c r="P289" s="675"/>
    </row>
    <row r="290" spans="1:31">
      <c r="A290" s="739">
        <v>46299</v>
      </c>
      <c r="B290" s="674"/>
      <c r="C290" s="875"/>
      <c r="D290" s="875"/>
      <c r="E290" s="875"/>
      <c r="F290" s="875"/>
      <c r="G290" s="875"/>
      <c r="H290" s="782"/>
      <c r="I290" s="782"/>
      <c r="J290" s="782"/>
      <c r="K290" s="782"/>
      <c r="L290" s="782"/>
      <c r="M290" s="779"/>
      <c r="N290" s="755"/>
      <c r="O290" s="678"/>
      <c r="P290" s="675"/>
    </row>
    <row r="291" spans="1:31">
      <c r="A291" s="739">
        <v>46300</v>
      </c>
      <c r="B291" s="674"/>
      <c r="D291" s="875"/>
      <c r="E291" s="875"/>
      <c r="F291" s="875"/>
      <c r="G291" s="875"/>
      <c r="H291" s="782"/>
      <c r="I291" s="782"/>
      <c r="J291" s="782"/>
      <c r="K291" s="782"/>
      <c r="L291" s="782"/>
      <c r="M291" s="779"/>
      <c r="N291" s="755"/>
      <c r="O291" s="678"/>
      <c r="P291" s="675"/>
    </row>
    <row r="292" spans="1:31">
      <c r="A292" s="739">
        <v>46301</v>
      </c>
      <c r="B292" s="674"/>
      <c r="C292" s="875"/>
      <c r="D292" s="875"/>
      <c r="E292" s="875"/>
      <c r="F292" s="875"/>
      <c r="G292" s="875"/>
      <c r="H292" s="782"/>
      <c r="I292" s="782"/>
      <c r="J292" s="782"/>
      <c r="K292" s="782"/>
      <c r="L292" s="782"/>
      <c r="M292" s="779"/>
      <c r="N292" s="755"/>
      <c r="O292" s="678"/>
      <c r="P292" s="675"/>
    </row>
    <row r="293" spans="1:31">
      <c r="A293" s="739">
        <v>46302</v>
      </c>
      <c r="B293" s="674"/>
      <c r="C293" s="875"/>
      <c r="D293" s="875"/>
      <c r="E293" s="875"/>
      <c r="F293" s="875"/>
      <c r="G293" s="875"/>
      <c r="H293" s="782"/>
      <c r="I293" s="782"/>
      <c r="J293" s="782"/>
      <c r="K293" s="782"/>
      <c r="L293" s="782"/>
      <c r="M293" s="779"/>
      <c r="N293" s="755"/>
      <c r="O293" s="678"/>
      <c r="P293" s="675"/>
    </row>
    <row r="294" spans="1:31">
      <c r="A294" s="739">
        <v>46303</v>
      </c>
      <c r="B294" s="674"/>
      <c r="C294" s="875"/>
      <c r="D294" s="875"/>
      <c r="E294" s="875"/>
      <c r="F294" s="875"/>
      <c r="G294" s="875"/>
      <c r="H294" s="782"/>
      <c r="I294" s="782"/>
      <c r="J294" s="782"/>
      <c r="K294" s="782"/>
      <c r="L294" s="782"/>
      <c r="M294" s="779"/>
      <c r="N294" s="755"/>
      <c r="O294" s="678"/>
      <c r="P294" s="691"/>
    </row>
    <row r="295" spans="1:31">
      <c r="A295" s="739">
        <v>46304</v>
      </c>
      <c r="B295" s="674"/>
      <c r="C295" s="875"/>
      <c r="D295" s="875"/>
      <c r="E295" s="875"/>
      <c r="F295" s="875"/>
      <c r="G295" s="875"/>
      <c r="H295" s="782"/>
      <c r="I295" s="782"/>
      <c r="J295" s="782"/>
      <c r="K295" s="782"/>
      <c r="L295" s="782"/>
      <c r="M295" s="779"/>
      <c r="N295" s="755"/>
      <c r="O295" s="678"/>
      <c r="P295" s="691"/>
    </row>
    <row r="296" spans="1:31">
      <c r="A296" s="739">
        <v>46305</v>
      </c>
      <c r="B296" s="674"/>
      <c r="C296" s="875"/>
      <c r="D296" s="875"/>
      <c r="E296" s="875"/>
      <c r="F296" s="875"/>
      <c r="G296" s="875"/>
      <c r="H296" s="782"/>
      <c r="I296" s="782"/>
      <c r="J296" s="782"/>
      <c r="K296" s="782"/>
      <c r="L296" s="782"/>
      <c r="M296" s="779"/>
      <c r="N296" s="755"/>
      <c r="O296" s="678"/>
      <c r="P296" s="691"/>
    </row>
    <row r="297" spans="1:31">
      <c r="A297" s="739">
        <v>46306</v>
      </c>
      <c r="B297" s="674"/>
      <c r="C297" s="875"/>
      <c r="D297" s="875"/>
      <c r="E297" s="875"/>
      <c r="F297" s="875"/>
      <c r="G297" s="875"/>
      <c r="H297" s="782"/>
      <c r="I297" s="782"/>
      <c r="J297" s="782"/>
      <c r="K297" s="782"/>
      <c r="L297" s="782"/>
      <c r="M297" s="779"/>
      <c r="N297" s="755"/>
      <c r="O297" s="678"/>
      <c r="P297" s="675"/>
    </row>
    <row r="298" spans="1:31">
      <c r="A298" s="739">
        <v>46307</v>
      </c>
      <c r="B298" s="674"/>
      <c r="C298" s="875"/>
      <c r="D298" s="875"/>
      <c r="E298" s="875"/>
      <c r="F298" s="875"/>
      <c r="G298" s="875"/>
      <c r="H298" s="782"/>
      <c r="I298" s="782"/>
      <c r="J298" s="782"/>
      <c r="K298" s="782"/>
      <c r="L298" s="782"/>
      <c r="M298" s="779"/>
      <c r="N298" s="755"/>
      <c r="O298" s="678"/>
      <c r="P298" s="675"/>
    </row>
    <row r="299" spans="1:31">
      <c r="A299" s="739">
        <v>46308</v>
      </c>
      <c r="B299" s="674"/>
      <c r="C299" s="875"/>
      <c r="D299" s="875"/>
      <c r="E299" s="875"/>
      <c r="F299" s="875"/>
      <c r="G299" s="875"/>
      <c r="H299" s="782"/>
      <c r="I299" s="782"/>
      <c r="J299" s="782"/>
      <c r="K299" s="782"/>
      <c r="L299" s="782"/>
      <c r="M299" s="779"/>
      <c r="N299" s="755"/>
      <c r="O299" s="678"/>
      <c r="P299" s="675"/>
    </row>
    <row r="300" spans="1:31">
      <c r="A300" s="739">
        <v>46309</v>
      </c>
      <c r="B300" s="674"/>
      <c r="C300" s="875"/>
      <c r="D300" s="875"/>
      <c r="E300" s="875"/>
      <c r="F300" s="875"/>
      <c r="G300" s="875"/>
      <c r="H300" s="782"/>
      <c r="I300" s="782"/>
      <c r="J300" s="782"/>
      <c r="K300" s="782"/>
      <c r="L300" s="782"/>
      <c r="M300" s="779"/>
      <c r="N300" s="755"/>
      <c r="O300" s="678"/>
      <c r="P300" s="675"/>
    </row>
    <row r="301" spans="1:31" ht="16.5" customHeight="1" thickBot="1">
      <c r="A301" s="739">
        <v>46310</v>
      </c>
      <c r="B301" s="674"/>
      <c r="C301" s="875"/>
      <c r="D301" s="875"/>
      <c r="E301" s="875"/>
      <c r="F301" s="875"/>
      <c r="G301" s="875"/>
      <c r="H301" s="782"/>
      <c r="I301" s="782"/>
      <c r="J301" s="782"/>
      <c r="K301" s="782"/>
      <c r="L301" s="782"/>
      <c r="M301" s="779"/>
      <c r="N301" s="755"/>
      <c r="O301" s="678"/>
      <c r="P301" s="675"/>
    </row>
    <row r="302" spans="1:31" ht="16.5" customHeight="1">
      <c r="A302" s="739">
        <v>46311</v>
      </c>
      <c r="B302" s="674"/>
      <c r="C302" s="875"/>
      <c r="D302" s="875"/>
      <c r="E302" s="875"/>
      <c r="F302" s="875"/>
      <c r="G302" s="875"/>
      <c r="H302" s="782"/>
      <c r="I302" s="782"/>
      <c r="J302" s="782"/>
      <c r="K302" s="782"/>
      <c r="L302" s="782"/>
      <c r="M302" s="775"/>
      <c r="N302" s="755"/>
      <c r="O302" s="678"/>
      <c r="P302" s="675"/>
      <c r="R302" s="1188" t="s">
        <v>624</v>
      </c>
      <c r="S302" s="1191" t="s">
        <v>286</v>
      </c>
      <c r="T302" s="1192"/>
      <c r="U302" s="1192"/>
      <c r="V302" s="1192"/>
      <c r="W302" s="1193"/>
      <c r="X302" s="1191" t="s">
        <v>751</v>
      </c>
      <c r="Y302" s="1193"/>
      <c r="Z302" s="1191" t="s">
        <v>730</v>
      </c>
      <c r="AA302" s="1193"/>
      <c r="AB302" s="1191" t="s">
        <v>745</v>
      </c>
      <c r="AC302" s="1193"/>
      <c r="AD302" s="1191" t="s">
        <v>539</v>
      </c>
      <c r="AE302" s="1193"/>
    </row>
    <row r="303" spans="1:31" ht="16.5" customHeight="1">
      <c r="A303" s="739">
        <v>46312</v>
      </c>
      <c r="B303" s="674"/>
      <c r="C303" s="875"/>
      <c r="D303" s="875"/>
      <c r="E303" s="875"/>
      <c r="F303" s="875"/>
      <c r="G303" s="875"/>
      <c r="H303" s="782"/>
      <c r="I303" s="782"/>
      <c r="J303" s="782"/>
      <c r="K303" s="782"/>
      <c r="L303" s="782"/>
      <c r="M303" s="775"/>
      <c r="N303" s="755"/>
      <c r="O303" s="678"/>
      <c r="P303" s="675"/>
      <c r="R303" s="1189"/>
      <c r="S303" s="1194" t="s">
        <v>746</v>
      </c>
      <c r="T303" s="1195"/>
      <c r="U303" s="1196"/>
      <c r="V303" s="1197" t="s">
        <v>750</v>
      </c>
      <c r="W303" s="1188" t="s">
        <v>744</v>
      </c>
      <c r="X303" s="1199" t="s">
        <v>746</v>
      </c>
      <c r="Y303" s="1188" t="s">
        <v>744</v>
      </c>
      <c r="Z303" s="1199" t="s">
        <v>746</v>
      </c>
      <c r="AA303" s="1188" t="s">
        <v>744</v>
      </c>
      <c r="AB303" s="1199" t="s">
        <v>746</v>
      </c>
      <c r="AC303" s="1188" t="s">
        <v>744</v>
      </c>
      <c r="AD303" s="1199" t="s">
        <v>746</v>
      </c>
      <c r="AE303" s="1188" t="s">
        <v>744</v>
      </c>
    </row>
    <row r="304" spans="1:31">
      <c r="A304" s="739">
        <v>46313</v>
      </c>
      <c r="B304" s="674"/>
      <c r="C304" s="875"/>
      <c r="D304" s="875"/>
      <c r="E304" s="875"/>
      <c r="F304" s="875"/>
      <c r="G304" s="875"/>
      <c r="H304" s="782"/>
      <c r="I304" s="782"/>
      <c r="J304" s="782"/>
      <c r="K304" s="782"/>
      <c r="L304" s="782"/>
      <c r="M304" s="775"/>
      <c r="N304" s="755"/>
      <c r="O304" s="678"/>
      <c r="P304" s="675"/>
      <c r="R304" s="1190"/>
      <c r="S304" s="704" t="s">
        <v>735</v>
      </c>
      <c r="T304" s="705" t="s">
        <v>736</v>
      </c>
      <c r="U304" s="705" t="s">
        <v>737</v>
      </c>
      <c r="V304" s="1198"/>
      <c r="W304" s="1190"/>
      <c r="X304" s="1200"/>
      <c r="Y304" s="1190"/>
      <c r="Z304" s="1200"/>
      <c r="AA304" s="1190"/>
      <c r="AB304" s="1200"/>
      <c r="AC304" s="1190"/>
      <c r="AD304" s="1200"/>
      <c r="AE304" s="1190"/>
    </row>
    <row r="305" spans="1:31">
      <c r="A305" s="739">
        <v>46314</v>
      </c>
      <c r="B305" s="674"/>
      <c r="C305" s="875"/>
      <c r="D305" s="875"/>
      <c r="E305" s="875"/>
      <c r="F305" s="875"/>
      <c r="G305" s="875"/>
      <c r="H305" s="782"/>
      <c r="I305" s="782"/>
      <c r="J305" s="782"/>
      <c r="K305" s="782"/>
      <c r="L305" s="782"/>
      <c r="M305" s="775"/>
      <c r="N305" s="755"/>
      <c r="O305" s="678"/>
      <c r="P305" s="675"/>
      <c r="R305" s="692" t="s">
        <v>36</v>
      </c>
      <c r="S305" s="711"/>
      <c r="T305" s="712"/>
      <c r="U305" s="712"/>
      <c r="V305" s="713">
        <f>IFERROR(T305/U305,0)</f>
        <v>0</v>
      </c>
      <c r="W305" s="714"/>
      <c r="X305" s="711"/>
      <c r="Y305" s="714"/>
      <c r="Z305" s="711"/>
      <c r="AA305" s="714"/>
      <c r="AB305" s="711"/>
      <c r="AC305" s="714"/>
      <c r="AD305" s="711"/>
      <c r="AE305" s="714"/>
    </row>
    <row r="306" spans="1:31">
      <c r="A306" s="739">
        <v>46315</v>
      </c>
      <c r="B306" s="674"/>
      <c r="C306" s="875"/>
      <c r="D306" s="875"/>
      <c r="E306" s="875"/>
      <c r="F306" s="875"/>
      <c r="G306" s="875"/>
      <c r="H306" s="782"/>
      <c r="I306" s="782"/>
      <c r="J306" s="782"/>
      <c r="K306" s="782"/>
      <c r="L306" s="782"/>
      <c r="M306" s="775"/>
      <c r="N306" s="755"/>
      <c r="O306" s="678"/>
      <c r="P306" s="675"/>
      <c r="R306" s="692" t="s">
        <v>738</v>
      </c>
      <c r="S306" s="711"/>
      <c r="T306" s="712"/>
      <c r="U306" s="712">
        <f t="shared" ref="U306:U316" si="27">S306+T306</f>
        <v>0</v>
      </c>
      <c r="V306" s="713">
        <f t="shared" ref="V306:V316" si="28">IFERROR(T306/U306,0)</f>
        <v>0</v>
      </c>
      <c r="W306" s="714"/>
      <c r="X306" s="711"/>
      <c r="Y306" s="714"/>
      <c r="Z306" s="711"/>
      <c r="AA306" s="714"/>
      <c r="AB306" s="711"/>
      <c r="AC306" s="714"/>
      <c r="AD306" s="711"/>
      <c r="AE306" s="714"/>
    </row>
    <row r="307" spans="1:31">
      <c r="A307" s="739">
        <v>46316</v>
      </c>
      <c r="B307" s="674"/>
      <c r="C307" s="875"/>
      <c r="D307" s="875"/>
      <c r="E307" s="875"/>
      <c r="F307" s="875"/>
      <c r="G307" s="875"/>
      <c r="H307" s="782"/>
      <c r="I307" s="782"/>
      <c r="J307" s="782"/>
      <c r="K307" s="782"/>
      <c r="L307" s="782"/>
      <c r="M307" s="775"/>
      <c r="N307" s="755"/>
      <c r="O307" s="678"/>
      <c r="P307" s="675"/>
      <c r="R307" s="692" t="s">
        <v>508</v>
      </c>
      <c r="S307" s="711"/>
      <c r="T307" s="712"/>
      <c r="U307" s="712">
        <f t="shared" si="27"/>
        <v>0</v>
      </c>
      <c r="V307" s="713">
        <f t="shared" si="28"/>
        <v>0</v>
      </c>
      <c r="W307" s="714"/>
      <c r="X307" s="711"/>
      <c r="Y307" s="714"/>
      <c r="Z307" s="711"/>
      <c r="AA307" s="714"/>
      <c r="AB307" s="711"/>
      <c r="AC307" s="714"/>
      <c r="AD307" s="711"/>
      <c r="AE307" s="714"/>
    </row>
    <row r="308" spans="1:31">
      <c r="A308" s="739">
        <v>46317</v>
      </c>
      <c r="B308" s="674"/>
      <c r="C308" s="875"/>
      <c r="D308" s="875"/>
      <c r="E308" s="875"/>
      <c r="F308" s="875"/>
      <c r="G308" s="875"/>
      <c r="H308" s="782"/>
      <c r="I308" s="782"/>
      <c r="J308" s="782"/>
      <c r="K308" s="782"/>
      <c r="L308" s="782"/>
      <c r="M308" s="775"/>
      <c r="N308" s="755"/>
      <c r="O308" s="678"/>
      <c r="P308" s="675"/>
      <c r="R308" s="692" t="s">
        <v>727</v>
      </c>
      <c r="S308" s="711"/>
      <c r="T308" s="712"/>
      <c r="U308" s="712">
        <f t="shared" si="27"/>
        <v>0</v>
      </c>
      <c r="V308" s="713">
        <f t="shared" si="28"/>
        <v>0</v>
      </c>
      <c r="W308" s="714"/>
      <c r="X308" s="711"/>
      <c r="Y308" s="714"/>
      <c r="Z308" s="711"/>
      <c r="AA308" s="714"/>
      <c r="AB308" s="711"/>
      <c r="AC308" s="714"/>
      <c r="AD308" s="711"/>
      <c r="AE308" s="714"/>
    </row>
    <row r="309" spans="1:31">
      <c r="A309" s="739">
        <v>46318</v>
      </c>
      <c r="B309" s="674"/>
      <c r="C309" s="875"/>
      <c r="D309" s="875"/>
      <c r="E309" s="875"/>
      <c r="F309" s="875"/>
      <c r="G309" s="875"/>
      <c r="H309" s="782"/>
      <c r="I309" s="782"/>
      <c r="J309" s="782"/>
      <c r="K309" s="782"/>
      <c r="L309" s="782"/>
      <c r="M309" s="775"/>
      <c r="N309" s="755"/>
      <c r="O309" s="678"/>
      <c r="P309" s="675"/>
      <c r="R309" s="692" t="s">
        <v>728</v>
      </c>
      <c r="S309" s="711"/>
      <c r="T309" s="712"/>
      <c r="U309" s="712">
        <f t="shared" si="27"/>
        <v>0</v>
      </c>
      <c r="V309" s="713">
        <f t="shared" si="28"/>
        <v>0</v>
      </c>
      <c r="W309" s="714"/>
      <c r="X309" s="711"/>
      <c r="Y309" s="714"/>
      <c r="Z309" s="711"/>
      <c r="AA309" s="714"/>
      <c r="AB309" s="711"/>
      <c r="AC309" s="714"/>
      <c r="AD309" s="711"/>
      <c r="AE309" s="714"/>
    </row>
    <row r="310" spans="1:31">
      <c r="A310" s="739">
        <v>46319</v>
      </c>
      <c r="B310" s="674"/>
      <c r="C310" s="782"/>
      <c r="D310" s="782"/>
      <c r="E310" s="782"/>
      <c r="F310" s="782"/>
      <c r="G310" s="782"/>
      <c r="H310" s="782"/>
      <c r="I310" s="782"/>
      <c r="J310" s="782"/>
      <c r="K310" s="782"/>
      <c r="L310" s="782"/>
      <c r="M310" s="775"/>
      <c r="N310" s="755"/>
      <c r="O310" s="678"/>
      <c r="P310" s="675"/>
      <c r="R310" s="692" t="s">
        <v>175</v>
      </c>
      <c r="S310" s="711"/>
      <c r="T310" s="712"/>
      <c r="U310" s="712">
        <f t="shared" si="27"/>
        <v>0</v>
      </c>
      <c r="V310" s="713">
        <f t="shared" si="28"/>
        <v>0</v>
      </c>
      <c r="W310" s="714"/>
      <c r="X310" s="711"/>
      <c r="Y310" s="714"/>
      <c r="Z310" s="711"/>
      <c r="AA310" s="714"/>
      <c r="AB310" s="711"/>
      <c r="AC310" s="714"/>
      <c r="AD310" s="711"/>
      <c r="AE310" s="714"/>
    </row>
    <row r="311" spans="1:31">
      <c r="A311" s="739">
        <v>46320</v>
      </c>
      <c r="B311" s="674"/>
      <c r="C311" s="782"/>
      <c r="D311" s="782"/>
      <c r="E311" s="782"/>
      <c r="F311" s="782"/>
      <c r="G311" s="782"/>
      <c r="H311" s="782"/>
      <c r="I311" s="782"/>
      <c r="J311" s="782"/>
      <c r="K311" s="782"/>
      <c r="L311" s="782"/>
      <c r="M311" s="775"/>
      <c r="N311" s="755"/>
      <c r="O311" s="678"/>
      <c r="P311" s="675"/>
      <c r="R311" s="692" t="s">
        <v>537</v>
      </c>
      <c r="S311" s="711"/>
      <c r="T311" s="712"/>
      <c r="U311" s="712">
        <f t="shared" si="27"/>
        <v>0</v>
      </c>
      <c r="V311" s="713">
        <f t="shared" si="28"/>
        <v>0</v>
      </c>
      <c r="W311" s="714"/>
      <c r="X311" s="711"/>
      <c r="Y311" s="714"/>
      <c r="Z311" s="711"/>
      <c r="AA311" s="714"/>
      <c r="AB311" s="711"/>
      <c r="AC311" s="714"/>
      <c r="AD311" s="711"/>
      <c r="AE311" s="714"/>
    </row>
    <row r="312" spans="1:31">
      <c r="A312" s="739">
        <v>46321</v>
      </c>
      <c r="B312" s="674"/>
      <c r="C312" s="782"/>
      <c r="D312" s="782"/>
      <c r="E312" s="782"/>
      <c r="F312" s="782"/>
      <c r="G312" s="782"/>
      <c r="H312" s="782"/>
      <c r="I312" s="782"/>
      <c r="J312" s="782"/>
      <c r="K312" s="674"/>
      <c r="L312" s="674"/>
      <c r="M312" s="775"/>
      <c r="N312" s="755"/>
      <c r="O312" s="678"/>
      <c r="P312" s="675"/>
      <c r="R312" s="692" t="s">
        <v>739</v>
      </c>
      <c r="S312" s="711"/>
      <c r="T312" s="712"/>
      <c r="U312" s="712">
        <f t="shared" si="27"/>
        <v>0</v>
      </c>
      <c r="V312" s="713">
        <f t="shared" si="28"/>
        <v>0</v>
      </c>
      <c r="W312" s="714"/>
      <c r="X312" s="711"/>
      <c r="Y312" s="714"/>
      <c r="Z312" s="711"/>
      <c r="AA312" s="714"/>
      <c r="AB312" s="711"/>
      <c r="AC312" s="714"/>
      <c r="AD312" s="711"/>
      <c r="AE312" s="714"/>
    </row>
    <row r="313" spans="1:31">
      <c r="A313" s="739">
        <v>46322</v>
      </c>
      <c r="B313" s="694"/>
      <c r="C313" s="783"/>
      <c r="D313" s="783"/>
      <c r="E313" s="782"/>
      <c r="F313" s="783"/>
      <c r="G313" s="783"/>
      <c r="H313" s="783"/>
      <c r="I313" s="782"/>
      <c r="J313" s="783"/>
      <c r="K313" s="694"/>
      <c r="L313" s="694"/>
      <c r="M313" s="776"/>
      <c r="N313" s="755"/>
      <c r="O313" s="678"/>
      <c r="P313" s="675"/>
      <c r="R313" s="692" t="s">
        <v>740</v>
      </c>
      <c r="S313" s="711"/>
      <c r="T313" s="712"/>
      <c r="U313" s="712">
        <f t="shared" si="27"/>
        <v>0</v>
      </c>
      <c r="V313" s="713">
        <f t="shared" si="28"/>
        <v>0</v>
      </c>
      <c r="W313" s="714"/>
      <c r="X313" s="711"/>
      <c r="Y313" s="714"/>
      <c r="Z313" s="711"/>
      <c r="AA313" s="714"/>
      <c r="AB313" s="711"/>
      <c r="AC313" s="714"/>
      <c r="AD313" s="711"/>
      <c r="AE313" s="714"/>
    </row>
    <row r="314" spans="1:31">
      <c r="A314" s="739">
        <v>46323</v>
      </c>
      <c r="B314" s="694"/>
      <c r="C314" s="783"/>
      <c r="D314" s="783"/>
      <c r="E314" s="782"/>
      <c r="F314" s="784"/>
      <c r="G314" s="784"/>
      <c r="H314" s="784"/>
      <c r="I314" s="784"/>
      <c r="J314" s="784"/>
      <c r="K314" s="695"/>
      <c r="L314" s="695"/>
      <c r="M314" s="777"/>
      <c r="N314" s="755"/>
      <c r="O314" s="678"/>
      <c r="P314" s="675"/>
      <c r="R314" s="692" t="s">
        <v>741</v>
      </c>
      <c r="S314" s="711"/>
      <c r="T314" s="712"/>
      <c r="U314" s="712">
        <f t="shared" si="27"/>
        <v>0</v>
      </c>
      <c r="V314" s="713">
        <f t="shared" si="28"/>
        <v>0</v>
      </c>
      <c r="W314" s="715"/>
      <c r="X314" s="711"/>
      <c r="Y314" s="715"/>
      <c r="Z314" s="711"/>
      <c r="AA314" s="715"/>
      <c r="AB314" s="711"/>
      <c r="AC314" s="715"/>
      <c r="AD314" s="711"/>
      <c r="AE314" s="715"/>
    </row>
    <row r="315" spans="1:31">
      <c r="A315" s="739">
        <v>46324</v>
      </c>
      <c r="B315" s="695"/>
      <c r="C315" s="784"/>
      <c r="D315" s="784"/>
      <c r="E315" s="782"/>
      <c r="F315" s="785"/>
      <c r="G315" s="785"/>
      <c r="H315" s="785"/>
      <c r="I315" s="782"/>
      <c r="J315" s="785"/>
      <c r="K315" s="676"/>
      <c r="L315" s="676"/>
      <c r="M315" s="756"/>
      <c r="N315" s="755"/>
      <c r="O315" s="678"/>
      <c r="P315" s="675"/>
      <c r="R315" s="692" t="s">
        <v>538</v>
      </c>
      <c r="S315" s="711"/>
      <c r="T315" s="712"/>
      <c r="U315" s="712">
        <f t="shared" si="27"/>
        <v>0</v>
      </c>
      <c r="V315" s="713">
        <f t="shared" si="28"/>
        <v>0</v>
      </c>
      <c r="W315" s="715"/>
      <c r="X315" s="711"/>
      <c r="Y315" s="715"/>
      <c r="Z315" s="711"/>
      <c r="AA315" s="715"/>
      <c r="AB315" s="711"/>
      <c r="AC315" s="715"/>
      <c r="AD315" s="711"/>
      <c r="AE315" s="715"/>
    </row>
    <row r="316" spans="1:31" ht="17.25" thickBot="1">
      <c r="A316" s="739">
        <v>46325</v>
      </c>
      <c r="B316" s="695"/>
      <c r="C316" s="784"/>
      <c r="D316" s="784"/>
      <c r="E316" s="782"/>
      <c r="F316" s="785"/>
      <c r="G316" s="785"/>
      <c r="H316" s="785"/>
      <c r="I316" s="782"/>
      <c r="J316" s="785"/>
      <c r="K316" s="676"/>
      <c r="L316" s="676"/>
      <c r="M316" s="756"/>
      <c r="N316" s="755"/>
      <c r="O316" s="678"/>
      <c r="P316" s="675"/>
      <c r="R316" s="692" t="s">
        <v>742</v>
      </c>
      <c r="S316" s="716"/>
      <c r="T316" s="717"/>
      <c r="U316" s="717">
        <f t="shared" si="27"/>
        <v>0</v>
      </c>
      <c r="V316" s="713">
        <f t="shared" si="28"/>
        <v>0</v>
      </c>
      <c r="W316" s="718"/>
      <c r="X316" s="716"/>
      <c r="Y316" s="718"/>
      <c r="Z316" s="716"/>
      <c r="AA316" s="718"/>
      <c r="AB316" s="716"/>
      <c r="AC316" s="718"/>
      <c r="AD316" s="716"/>
      <c r="AE316" s="718"/>
    </row>
    <row r="317" spans="1:31" ht="17.25" thickBot="1">
      <c r="A317" s="739">
        <v>46326</v>
      </c>
      <c r="B317" s="695"/>
      <c r="C317" s="784"/>
      <c r="D317" s="784"/>
      <c r="E317" s="859"/>
      <c r="F317" s="785"/>
      <c r="G317" s="785"/>
      <c r="H317" s="785"/>
      <c r="I317" s="782"/>
      <c r="J317" s="785"/>
      <c r="K317" s="676"/>
      <c r="L317" s="676"/>
      <c r="M317" s="756"/>
      <c r="N317" s="755"/>
      <c r="O317" s="678"/>
      <c r="P317" s="675"/>
      <c r="R317" s="701" t="s">
        <v>737</v>
      </c>
      <c r="S317" s="719">
        <f>SUM(S305:S316)</f>
        <v>0</v>
      </c>
      <c r="T317" s="719">
        <f>SUM(T305:T316)</f>
        <v>0</v>
      </c>
      <c r="U317" s="719">
        <f>SUM(S317:T317)</f>
        <v>0</v>
      </c>
      <c r="V317" s="720">
        <f>IFERROR(T317/U317,0)</f>
        <v>0</v>
      </c>
      <c r="W317" s="721"/>
      <c r="X317" s="719">
        <f>SUM(X305:X316)</f>
        <v>0</v>
      </c>
      <c r="Y317" s="721"/>
      <c r="Z317" s="719">
        <f>SUM(Z305:Z316)</f>
        <v>0</v>
      </c>
      <c r="AA317" s="721"/>
      <c r="AB317" s="719">
        <f>SUM(AB305:AB316)</f>
        <v>0</v>
      </c>
      <c r="AC317" s="721"/>
      <c r="AD317" s="719">
        <f>SUM(AD305:AD316)</f>
        <v>0</v>
      </c>
      <c r="AE317" s="721"/>
    </row>
    <row r="318" spans="1:31" ht="17.25" thickBot="1">
      <c r="A318" s="753" t="s">
        <v>737</v>
      </c>
      <c r="B318" s="688">
        <f t="shared" ref="B318:L318" si="29">SUM(B287:B317)</f>
        <v>0</v>
      </c>
      <c r="C318" s="688">
        <f t="shared" si="29"/>
        <v>0</v>
      </c>
      <c r="D318" s="688">
        <f t="shared" si="29"/>
        <v>0</v>
      </c>
      <c r="E318" s="688">
        <f t="shared" si="29"/>
        <v>0</v>
      </c>
      <c r="F318" s="688">
        <f t="shared" si="29"/>
        <v>0</v>
      </c>
      <c r="G318" s="688">
        <f t="shared" si="29"/>
        <v>0</v>
      </c>
      <c r="H318" s="688">
        <f t="shared" si="29"/>
        <v>0</v>
      </c>
      <c r="I318" s="689">
        <f t="shared" si="29"/>
        <v>0</v>
      </c>
      <c r="J318" s="689">
        <f t="shared" si="29"/>
        <v>0</v>
      </c>
      <c r="K318" s="689">
        <f t="shared" si="29"/>
        <v>0</v>
      </c>
      <c r="L318" s="689">
        <f t="shared" si="29"/>
        <v>0</v>
      </c>
      <c r="M318" s="757">
        <f>SUM(M288:M317)</f>
        <v>0</v>
      </c>
      <c r="N318" s="757">
        <f>SUM(N287:N317)</f>
        <v>0</v>
      </c>
      <c r="O318" s="757">
        <f>M318+N318</f>
        <v>0</v>
      </c>
      <c r="P318" s="690"/>
    </row>
    <row r="319" spans="1:31">
      <c r="A319" s="739">
        <v>46327</v>
      </c>
      <c r="B319" s="673"/>
      <c r="C319" s="875"/>
      <c r="D319" s="875"/>
      <c r="E319" s="889"/>
      <c r="F319" s="875"/>
      <c r="G319" s="875"/>
      <c r="H319" s="782"/>
      <c r="I319" s="782"/>
      <c r="J319" s="782"/>
      <c r="K319" s="673"/>
      <c r="L319" s="673"/>
      <c r="M319" s="778"/>
      <c r="N319" s="755"/>
      <c r="O319" s="678"/>
    </row>
    <row r="320" spans="1:31">
      <c r="A320" s="739">
        <v>46328</v>
      </c>
      <c r="B320" s="674"/>
      <c r="C320" s="875"/>
      <c r="D320" s="875"/>
      <c r="E320" s="890"/>
      <c r="F320" s="875"/>
      <c r="G320" s="875"/>
      <c r="H320" s="782"/>
      <c r="I320" s="782"/>
      <c r="J320" s="782"/>
      <c r="K320" s="673"/>
      <c r="L320" s="673"/>
      <c r="M320" s="778"/>
      <c r="N320" s="755"/>
      <c r="O320" s="678"/>
    </row>
    <row r="321" spans="1:31">
      <c r="A321" s="739">
        <v>46329</v>
      </c>
      <c r="B321" s="674"/>
      <c r="C321" s="875"/>
      <c r="D321" s="875"/>
      <c r="E321" s="890"/>
      <c r="F321" s="875"/>
      <c r="G321" s="875"/>
      <c r="H321" s="782"/>
      <c r="I321" s="782"/>
      <c r="J321" s="782"/>
      <c r="K321" s="673"/>
      <c r="L321" s="673"/>
      <c r="M321" s="778"/>
      <c r="N321" s="755"/>
      <c r="O321" s="678"/>
    </row>
    <row r="322" spans="1:31">
      <c r="A322" s="739">
        <v>46330</v>
      </c>
      <c r="B322" s="674"/>
      <c r="C322" s="875"/>
      <c r="D322" s="875"/>
      <c r="E322" s="890"/>
      <c r="F322" s="875"/>
      <c r="G322" s="875"/>
      <c r="H322" s="782"/>
      <c r="I322" s="782"/>
      <c r="J322" s="782"/>
      <c r="K322" s="782"/>
      <c r="L322" s="782"/>
      <c r="M322" s="779"/>
      <c r="N322" s="755"/>
      <c r="O322" s="678"/>
    </row>
    <row r="323" spans="1:31">
      <c r="A323" s="739">
        <v>46331</v>
      </c>
      <c r="B323" s="674"/>
      <c r="D323" s="875"/>
      <c r="E323" s="890"/>
      <c r="F323" s="875"/>
      <c r="G323" s="875"/>
      <c r="H323" s="782"/>
      <c r="I323" s="782"/>
      <c r="J323" s="782"/>
      <c r="K323" s="782"/>
      <c r="L323" s="782"/>
      <c r="M323" s="779"/>
      <c r="N323" s="755"/>
      <c r="O323" s="678"/>
    </row>
    <row r="324" spans="1:31">
      <c r="A324" s="739">
        <v>46332</v>
      </c>
      <c r="B324" s="674"/>
      <c r="C324" s="875"/>
      <c r="D324" s="875"/>
      <c r="E324" s="890"/>
      <c r="F324" s="875"/>
      <c r="G324" s="875"/>
      <c r="H324" s="782"/>
      <c r="I324" s="782"/>
      <c r="J324" s="782"/>
      <c r="K324" s="782"/>
      <c r="L324" s="782"/>
      <c r="M324" s="779"/>
      <c r="N324" s="755"/>
      <c r="O324" s="678"/>
    </row>
    <row r="325" spans="1:31">
      <c r="A325" s="739">
        <v>46333</v>
      </c>
      <c r="B325" s="674"/>
      <c r="C325" s="875"/>
      <c r="D325" s="875"/>
      <c r="E325" s="890"/>
      <c r="F325" s="875"/>
      <c r="G325" s="875"/>
      <c r="H325" s="782"/>
      <c r="I325" s="782"/>
      <c r="J325" s="782"/>
      <c r="K325" s="782"/>
      <c r="L325" s="782"/>
      <c r="M325" s="779"/>
      <c r="N325" s="755"/>
      <c r="O325" s="678"/>
    </row>
    <row r="326" spans="1:31">
      <c r="A326" s="739">
        <v>46334</v>
      </c>
      <c r="B326" s="674"/>
      <c r="C326" s="875"/>
      <c r="D326" s="875"/>
      <c r="E326" s="890"/>
      <c r="F326" s="875"/>
      <c r="G326" s="875"/>
      <c r="H326" s="782"/>
      <c r="I326" s="782"/>
      <c r="J326" s="782"/>
      <c r="K326" s="782"/>
      <c r="L326" s="782"/>
      <c r="M326" s="779"/>
      <c r="N326" s="755"/>
      <c r="O326" s="678"/>
    </row>
    <row r="327" spans="1:31">
      <c r="A327" s="739">
        <v>46335</v>
      </c>
      <c r="B327" s="674"/>
      <c r="C327" s="875"/>
      <c r="D327" s="875"/>
      <c r="E327" s="890"/>
      <c r="F327" s="875"/>
      <c r="G327" s="875"/>
      <c r="H327" s="782"/>
      <c r="I327" s="782"/>
      <c r="J327" s="782"/>
      <c r="K327" s="782"/>
      <c r="L327" s="782"/>
      <c r="M327" s="779"/>
      <c r="N327" s="755"/>
      <c r="O327" s="678"/>
    </row>
    <row r="328" spans="1:31">
      <c r="A328" s="739">
        <v>46336</v>
      </c>
      <c r="B328" s="674"/>
      <c r="C328" s="875"/>
      <c r="D328" s="875"/>
      <c r="E328" s="890"/>
      <c r="F328" s="875"/>
      <c r="G328" s="875"/>
      <c r="H328" s="782"/>
      <c r="I328" s="782"/>
      <c r="J328" s="782"/>
      <c r="K328" s="782"/>
      <c r="L328" s="782"/>
      <c r="M328" s="779"/>
      <c r="N328" s="755"/>
      <c r="O328" s="678"/>
    </row>
    <row r="329" spans="1:31">
      <c r="A329" s="739">
        <v>46337</v>
      </c>
      <c r="B329" s="674"/>
      <c r="C329" s="875"/>
      <c r="D329" s="875"/>
      <c r="E329" s="890"/>
      <c r="F329" s="875"/>
      <c r="G329" s="875"/>
      <c r="H329" s="782"/>
      <c r="I329" s="782"/>
      <c r="J329" s="782"/>
      <c r="K329" s="782"/>
      <c r="L329" s="782"/>
      <c r="M329" s="779"/>
      <c r="N329" s="755"/>
      <c r="O329" s="678"/>
    </row>
    <row r="330" spans="1:31">
      <c r="A330" s="739">
        <v>46338</v>
      </c>
      <c r="B330" s="674"/>
      <c r="C330" s="875"/>
      <c r="D330" s="875"/>
      <c r="E330" s="890"/>
      <c r="F330" s="875"/>
      <c r="G330" s="875"/>
      <c r="H330" s="782"/>
      <c r="I330" s="782"/>
      <c r="J330" s="782"/>
      <c r="K330" s="782"/>
      <c r="L330" s="782"/>
      <c r="M330" s="779"/>
      <c r="N330" s="755"/>
      <c r="O330" s="678"/>
    </row>
    <row r="331" spans="1:31" ht="17.25" thickBot="1">
      <c r="A331" s="739">
        <v>46339</v>
      </c>
      <c r="B331" s="674"/>
      <c r="C331" s="875"/>
      <c r="D331" s="875"/>
      <c r="E331" s="890"/>
      <c r="F331" s="875"/>
      <c r="G331" s="875"/>
      <c r="H331" s="782"/>
      <c r="I331" s="782"/>
      <c r="J331" s="782"/>
      <c r="K331" s="782"/>
      <c r="L331" s="782"/>
      <c r="M331" s="779"/>
      <c r="N331" s="755"/>
      <c r="O331" s="678"/>
    </row>
    <row r="332" spans="1:31">
      <c r="A332" s="739">
        <v>46340</v>
      </c>
      <c r="B332" s="674"/>
      <c r="C332" s="875"/>
      <c r="D332" s="875"/>
      <c r="E332" s="890"/>
      <c r="F332" s="875"/>
      <c r="G332" s="875"/>
      <c r="H332" s="782"/>
      <c r="I332" s="782"/>
      <c r="J332" s="782"/>
      <c r="K332" s="782"/>
      <c r="L332" s="782"/>
      <c r="M332" s="779"/>
      <c r="N332" s="755"/>
      <c r="O332" s="678"/>
      <c r="R332" s="1188" t="s">
        <v>624</v>
      </c>
      <c r="S332" s="1191" t="s">
        <v>286</v>
      </c>
      <c r="T332" s="1192"/>
      <c r="U332" s="1192"/>
      <c r="V332" s="1192"/>
      <c r="W332" s="1193"/>
      <c r="X332" s="1191" t="s">
        <v>751</v>
      </c>
      <c r="Y332" s="1193"/>
      <c r="Z332" s="1191" t="s">
        <v>730</v>
      </c>
      <c r="AA332" s="1193"/>
      <c r="AB332" s="1191" t="s">
        <v>745</v>
      </c>
      <c r="AC332" s="1193"/>
      <c r="AD332" s="1191" t="s">
        <v>539</v>
      </c>
      <c r="AE332" s="1193"/>
    </row>
    <row r="333" spans="1:31" ht="16.5" customHeight="1">
      <c r="A333" s="739">
        <v>46341</v>
      </c>
      <c r="B333" s="674"/>
      <c r="C333" s="875"/>
      <c r="D333" s="875"/>
      <c r="E333" s="890"/>
      <c r="F333" s="875"/>
      <c r="G333" s="875"/>
      <c r="H333" s="782"/>
      <c r="I333" s="782"/>
      <c r="J333" s="782"/>
      <c r="K333" s="782"/>
      <c r="L333" s="782"/>
      <c r="M333" s="779"/>
      <c r="N333" s="755"/>
      <c r="O333" s="678"/>
      <c r="R333" s="1189"/>
      <c r="S333" s="1194" t="s">
        <v>746</v>
      </c>
      <c r="T333" s="1195"/>
      <c r="U333" s="1196"/>
      <c r="V333" s="1197" t="s">
        <v>750</v>
      </c>
      <c r="W333" s="1188" t="s">
        <v>744</v>
      </c>
      <c r="X333" s="1199" t="s">
        <v>746</v>
      </c>
      <c r="Y333" s="1188" t="s">
        <v>744</v>
      </c>
      <c r="Z333" s="1199" t="s">
        <v>746</v>
      </c>
      <c r="AA333" s="1188" t="s">
        <v>744</v>
      </c>
      <c r="AB333" s="1199" t="s">
        <v>746</v>
      </c>
      <c r="AC333" s="1188" t="s">
        <v>744</v>
      </c>
      <c r="AD333" s="1199" t="s">
        <v>746</v>
      </c>
      <c r="AE333" s="1188" t="s">
        <v>744</v>
      </c>
    </row>
    <row r="334" spans="1:31">
      <c r="A334" s="739">
        <v>46342</v>
      </c>
      <c r="B334" s="674"/>
      <c r="C334" s="875"/>
      <c r="D334" s="875"/>
      <c r="E334" s="875"/>
      <c r="F334" s="875"/>
      <c r="G334" s="875"/>
      <c r="H334" s="782"/>
      <c r="I334" s="782"/>
      <c r="J334" s="782"/>
      <c r="K334" s="782"/>
      <c r="L334" s="782"/>
      <c r="M334" s="775"/>
      <c r="N334" s="755"/>
      <c r="O334" s="678"/>
      <c r="R334" s="1190"/>
      <c r="S334" s="704" t="s">
        <v>735</v>
      </c>
      <c r="T334" s="705" t="s">
        <v>736</v>
      </c>
      <c r="U334" s="705" t="s">
        <v>737</v>
      </c>
      <c r="V334" s="1198"/>
      <c r="W334" s="1190"/>
      <c r="X334" s="1200"/>
      <c r="Y334" s="1190"/>
      <c r="Z334" s="1200"/>
      <c r="AA334" s="1190"/>
      <c r="AB334" s="1200"/>
      <c r="AC334" s="1190"/>
      <c r="AD334" s="1200"/>
      <c r="AE334" s="1190"/>
    </row>
    <row r="335" spans="1:31">
      <c r="A335" s="739">
        <v>46343</v>
      </c>
      <c r="B335" s="674"/>
      <c r="C335" s="875"/>
      <c r="D335" s="875"/>
      <c r="E335" s="874"/>
      <c r="F335" s="875"/>
      <c r="G335" s="875"/>
      <c r="H335" s="782"/>
      <c r="I335" s="782"/>
      <c r="J335" s="782"/>
      <c r="K335" s="782"/>
      <c r="L335" s="782"/>
      <c r="M335" s="775"/>
      <c r="N335" s="755"/>
      <c r="O335" s="678"/>
      <c r="R335" s="692" t="s">
        <v>36</v>
      </c>
      <c r="S335" s="711"/>
      <c r="T335" s="712"/>
      <c r="U335" s="712"/>
      <c r="V335" s="713">
        <f>IFERROR(T335/U335,0)</f>
        <v>0</v>
      </c>
      <c r="W335" s="714"/>
      <c r="X335" s="711"/>
      <c r="Y335" s="714"/>
      <c r="Z335" s="711"/>
      <c r="AA335" s="714"/>
      <c r="AB335" s="711"/>
      <c r="AC335" s="714"/>
      <c r="AD335" s="711"/>
      <c r="AE335" s="714"/>
    </row>
    <row r="336" spans="1:31" ht="16.5" customHeight="1">
      <c r="A336" s="739">
        <v>46344</v>
      </c>
      <c r="B336" s="674"/>
      <c r="C336" s="875"/>
      <c r="D336" s="875"/>
      <c r="E336" s="875"/>
      <c r="F336" s="875"/>
      <c r="G336" s="875"/>
      <c r="H336" s="782"/>
      <c r="I336" s="782"/>
      <c r="J336" s="782"/>
      <c r="K336" s="782"/>
      <c r="L336" s="782"/>
      <c r="M336" s="775"/>
      <c r="N336" s="755"/>
      <c r="O336" s="678"/>
      <c r="R336" s="692" t="s">
        <v>738</v>
      </c>
      <c r="S336" s="711"/>
      <c r="T336" s="712"/>
      <c r="U336" s="712">
        <f t="shared" ref="U336:U346" si="30">S336+T336</f>
        <v>0</v>
      </c>
      <c r="V336" s="713">
        <f t="shared" ref="V336:V346" si="31">IFERROR(T336/U336,0)</f>
        <v>0</v>
      </c>
      <c r="W336" s="714"/>
      <c r="X336" s="711"/>
      <c r="Y336" s="714"/>
      <c r="Z336" s="711"/>
      <c r="AA336" s="714"/>
      <c r="AB336" s="711"/>
      <c r="AC336" s="714"/>
      <c r="AD336" s="711"/>
      <c r="AE336" s="714"/>
    </row>
    <row r="337" spans="1:31">
      <c r="A337" s="739">
        <v>46345</v>
      </c>
      <c r="B337" s="674"/>
      <c r="C337" s="875"/>
      <c r="D337" s="875"/>
      <c r="E337" s="875"/>
      <c r="F337" s="875"/>
      <c r="G337" s="875"/>
      <c r="H337" s="782"/>
      <c r="I337" s="782"/>
      <c r="J337" s="782"/>
      <c r="K337" s="782"/>
      <c r="L337" s="782"/>
      <c r="M337" s="775"/>
      <c r="N337" s="755"/>
      <c r="O337" s="678"/>
      <c r="R337" s="692" t="s">
        <v>508</v>
      </c>
      <c r="S337" s="711"/>
      <c r="T337" s="712"/>
      <c r="U337" s="712">
        <f t="shared" si="30"/>
        <v>0</v>
      </c>
      <c r="V337" s="713">
        <f t="shared" si="31"/>
        <v>0</v>
      </c>
      <c r="W337" s="714"/>
      <c r="X337" s="711"/>
      <c r="Y337" s="714"/>
      <c r="Z337" s="711"/>
      <c r="AA337" s="714"/>
      <c r="AB337" s="711"/>
      <c r="AC337" s="714"/>
      <c r="AD337" s="711"/>
      <c r="AE337" s="714"/>
    </row>
    <row r="338" spans="1:31">
      <c r="A338" s="739">
        <v>46346</v>
      </c>
      <c r="B338" s="674"/>
      <c r="C338" s="875"/>
      <c r="D338" s="875"/>
      <c r="E338" s="875"/>
      <c r="F338" s="875"/>
      <c r="G338" s="875"/>
      <c r="H338" s="782"/>
      <c r="I338" s="782"/>
      <c r="J338" s="782"/>
      <c r="K338" s="782"/>
      <c r="L338" s="782"/>
      <c r="M338" s="775"/>
      <c r="N338" s="755"/>
      <c r="O338" s="678"/>
      <c r="R338" s="692" t="s">
        <v>727</v>
      </c>
      <c r="S338" s="711"/>
      <c r="T338" s="712"/>
      <c r="U338" s="712">
        <f t="shared" si="30"/>
        <v>0</v>
      </c>
      <c r="V338" s="713">
        <f t="shared" si="31"/>
        <v>0</v>
      </c>
      <c r="W338" s="714"/>
      <c r="X338" s="711"/>
      <c r="Y338" s="714"/>
      <c r="Z338" s="711"/>
      <c r="AA338" s="714"/>
      <c r="AB338" s="711"/>
      <c r="AC338" s="714"/>
      <c r="AD338" s="711"/>
      <c r="AE338" s="714"/>
    </row>
    <row r="339" spans="1:31">
      <c r="A339" s="739">
        <v>46347</v>
      </c>
      <c r="B339" s="674"/>
      <c r="C339" s="875"/>
      <c r="D339" s="875"/>
      <c r="E339" s="875"/>
      <c r="F339" s="875"/>
      <c r="G339" s="875"/>
      <c r="H339" s="782"/>
      <c r="I339" s="782"/>
      <c r="J339" s="782"/>
      <c r="K339" s="782"/>
      <c r="L339" s="782"/>
      <c r="M339" s="775"/>
      <c r="N339" s="755"/>
      <c r="O339" s="678"/>
      <c r="R339" s="692" t="s">
        <v>728</v>
      </c>
      <c r="S339" s="711"/>
      <c r="T339" s="712"/>
      <c r="U339" s="712">
        <f t="shared" si="30"/>
        <v>0</v>
      </c>
      <c r="V339" s="713">
        <f t="shared" si="31"/>
        <v>0</v>
      </c>
      <c r="W339" s="714"/>
      <c r="X339" s="711"/>
      <c r="Y339" s="714"/>
      <c r="Z339" s="711"/>
      <c r="AA339" s="714"/>
      <c r="AB339" s="711"/>
      <c r="AC339" s="714"/>
      <c r="AD339" s="711"/>
      <c r="AE339" s="714"/>
    </row>
    <row r="340" spans="1:31">
      <c r="A340" s="739">
        <v>46348</v>
      </c>
      <c r="B340" s="674"/>
      <c r="C340" s="875"/>
      <c r="D340" s="875"/>
      <c r="E340" s="874"/>
      <c r="F340" s="875"/>
      <c r="G340" s="875"/>
      <c r="H340" s="782"/>
      <c r="I340" s="674"/>
      <c r="J340" s="674"/>
      <c r="K340" s="782"/>
      <c r="L340" s="782"/>
      <c r="M340" s="775"/>
      <c r="N340" s="755"/>
      <c r="O340" s="678"/>
      <c r="R340" s="692" t="s">
        <v>175</v>
      </c>
      <c r="S340" s="711"/>
      <c r="T340" s="712"/>
      <c r="U340" s="712">
        <f t="shared" si="30"/>
        <v>0</v>
      </c>
      <c r="V340" s="713">
        <f t="shared" si="31"/>
        <v>0</v>
      </c>
      <c r="W340" s="714"/>
      <c r="X340" s="711"/>
      <c r="Y340" s="714"/>
      <c r="Z340" s="711"/>
      <c r="AA340" s="714"/>
      <c r="AB340" s="711"/>
      <c r="AC340" s="714"/>
      <c r="AD340" s="711"/>
      <c r="AE340" s="714"/>
    </row>
    <row r="341" spans="1:31">
      <c r="A341" s="739">
        <v>46349</v>
      </c>
      <c r="B341" s="674"/>
      <c r="C341" s="875"/>
      <c r="D341" s="875"/>
      <c r="E341" s="874"/>
      <c r="F341" s="875"/>
      <c r="G341" s="875"/>
      <c r="H341" s="782"/>
      <c r="I341" s="674"/>
      <c r="J341" s="674"/>
      <c r="K341" s="782"/>
      <c r="L341" s="782"/>
      <c r="M341" s="775"/>
      <c r="N341" s="755"/>
      <c r="O341" s="678"/>
      <c r="R341" s="692" t="s">
        <v>537</v>
      </c>
      <c r="S341" s="711"/>
      <c r="T341" s="712"/>
      <c r="U341" s="712">
        <f t="shared" si="30"/>
        <v>0</v>
      </c>
      <c r="V341" s="713">
        <f t="shared" si="31"/>
        <v>0</v>
      </c>
      <c r="W341" s="714"/>
      <c r="X341" s="711"/>
      <c r="Y341" s="714"/>
      <c r="Z341" s="711"/>
      <c r="AA341" s="714"/>
      <c r="AB341" s="711"/>
      <c r="AC341" s="714"/>
      <c r="AD341" s="711"/>
      <c r="AE341" s="714"/>
    </row>
    <row r="342" spans="1:31">
      <c r="A342" s="739">
        <v>46350</v>
      </c>
      <c r="B342" s="674"/>
      <c r="C342" s="674"/>
      <c r="D342" s="674"/>
      <c r="E342" s="674"/>
      <c r="F342" s="782"/>
      <c r="G342" s="782"/>
      <c r="H342" s="782"/>
      <c r="I342" s="674"/>
      <c r="J342" s="674"/>
      <c r="K342" s="782"/>
      <c r="L342" s="782"/>
      <c r="M342" s="775"/>
      <c r="N342" s="755"/>
      <c r="O342" s="678"/>
      <c r="R342" s="692" t="s">
        <v>739</v>
      </c>
      <c r="S342" s="711"/>
      <c r="T342" s="712"/>
      <c r="U342" s="712">
        <f t="shared" si="30"/>
        <v>0</v>
      </c>
      <c r="V342" s="713">
        <f t="shared" si="31"/>
        <v>0</v>
      </c>
      <c r="W342" s="714"/>
      <c r="X342" s="711"/>
      <c r="Y342" s="714"/>
      <c r="Z342" s="711"/>
      <c r="AA342" s="714"/>
      <c r="AB342" s="711"/>
      <c r="AC342" s="714"/>
      <c r="AD342" s="711"/>
      <c r="AE342" s="714"/>
    </row>
    <row r="343" spans="1:31">
      <c r="A343" s="739">
        <v>46351</v>
      </c>
      <c r="B343" s="674"/>
      <c r="C343" s="674"/>
      <c r="D343" s="674"/>
      <c r="E343" s="674"/>
      <c r="F343" s="782"/>
      <c r="G343" s="782"/>
      <c r="H343" s="782"/>
      <c r="I343" s="674"/>
      <c r="J343" s="674"/>
      <c r="K343" s="782"/>
      <c r="L343" s="782"/>
      <c r="M343" s="775"/>
      <c r="N343" s="755"/>
      <c r="O343" s="678"/>
      <c r="R343" s="692" t="s">
        <v>740</v>
      </c>
      <c r="S343" s="711"/>
      <c r="T343" s="712"/>
      <c r="U343" s="712">
        <f t="shared" si="30"/>
        <v>0</v>
      </c>
      <c r="V343" s="713">
        <f t="shared" si="31"/>
        <v>0</v>
      </c>
      <c r="W343" s="714"/>
      <c r="X343" s="711"/>
      <c r="Y343" s="714"/>
      <c r="Z343" s="711"/>
      <c r="AA343" s="714"/>
      <c r="AB343" s="711"/>
      <c r="AC343" s="714"/>
      <c r="AD343" s="711"/>
      <c r="AE343" s="714"/>
    </row>
    <row r="344" spans="1:31">
      <c r="A344" s="739">
        <v>46352</v>
      </c>
      <c r="B344" s="674"/>
      <c r="C344" s="674"/>
      <c r="D344" s="674"/>
      <c r="E344" s="674"/>
      <c r="F344" s="782"/>
      <c r="G344" s="782"/>
      <c r="H344" s="782"/>
      <c r="I344" s="674"/>
      <c r="J344" s="674"/>
      <c r="K344" s="674"/>
      <c r="L344" s="674"/>
      <c r="M344" s="775"/>
      <c r="N344" s="755"/>
      <c r="O344" s="678"/>
      <c r="R344" s="692" t="s">
        <v>741</v>
      </c>
      <c r="S344" s="711"/>
      <c r="T344" s="712"/>
      <c r="U344" s="712">
        <f t="shared" si="30"/>
        <v>0</v>
      </c>
      <c r="V344" s="713">
        <f t="shared" si="31"/>
        <v>0</v>
      </c>
      <c r="W344" s="715"/>
      <c r="X344" s="711"/>
      <c r="Y344" s="715"/>
      <c r="Z344" s="711"/>
      <c r="AA344" s="715"/>
      <c r="AB344" s="711"/>
      <c r="AC344" s="715"/>
      <c r="AD344" s="711"/>
      <c r="AE344" s="715"/>
    </row>
    <row r="345" spans="1:31">
      <c r="A345" s="739">
        <v>46353</v>
      </c>
      <c r="B345" s="694"/>
      <c r="C345" s="694"/>
      <c r="D345" s="694"/>
      <c r="E345" s="674"/>
      <c r="F345" s="783"/>
      <c r="G345" s="783"/>
      <c r="H345" s="783"/>
      <c r="I345" s="674"/>
      <c r="J345" s="694"/>
      <c r="K345" s="694"/>
      <c r="L345" s="694"/>
      <c r="M345" s="776"/>
      <c r="N345" s="755"/>
      <c r="O345" s="678"/>
      <c r="R345" s="692" t="s">
        <v>538</v>
      </c>
      <c r="S345" s="711"/>
      <c r="T345" s="712"/>
      <c r="U345" s="712">
        <f t="shared" si="30"/>
        <v>0</v>
      </c>
      <c r="V345" s="713">
        <f t="shared" si="31"/>
        <v>0</v>
      </c>
      <c r="W345" s="715"/>
      <c r="X345" s="711"/>
      <c r="Y345" s="715"/>
      <c r="Z345" s="711"/>
      <c r="AA345" s="715"/>
      <c r="AB345" s="711"/>
      <c r="AC345" s="715"/>
      <c r="AD345" s="711"/>
      <c r="AE345" s="715"/>
    </row>
    <row r="346" spans="1:31" ht="17.25" thickBot="1">
      <c r="A346" s="739">
        <v>46354</v>
      </c>
      <c r="B346" s="694"/>
      <c r="C346" s="694"/>
      <c r="D346" s="694"/>
      <c r="E346" s="674"/>
      <c r="F346" s="784"/>
      <c r="G346" s="784"/>
      <c r="H346" s="784"/>
      <c r="I346" s="695"/>
      <c r="J346" s="695"/>
      <c r="K346" s="695"/>
      <c r="L346" s="695"/>
      <c r="M346" s="777"/>
      <c r="N346" s="755"/>
      <c r="O346" s="678"/>
      <c r="R346" s="692" t="s">
        <v>742</v>
      </c>
      <c r="S346" s="716"/>
      <c r="T346" s="717"/>
      <c r="U346" s="717">
        <f t="shared" si="30"/>
        <v>0</v>
      </c>
      <c r="V346" s="713">
        <f t="shared" si="31"/>
        <v>0</v>
      </c>
      <c r="W346" s="718"/>
      <c r="X346" s="716"/>
      <c r="Y346" s="718"/>
      <c r="Z346" s="716"/>
      <c r="AA346" s="718"/>
      <c r="AB346" s="716"/>
      <c r="AC346" s="718"/>
      <c r="AD346" s="716"/>
      <c r="AE346" s="718"/>
    </row>
    <row r="347" spans="1:31">
      <c r="A347" s="739">
        <v>46355</v>
      </c>
      <c r="B347" s="695"/>
      <c r="C347" s="695"/>
      <c r="D347" s="695"/>
      <c r="E347" s="674"/>
      <c r="F347" s="785"/>
      <c r="G347" s="785"/>
      <c r="H347" s="785"/>
      <c r="I347" s="674"/>
      <c r="J347" s="676"/>
      <c r="K347" s="676"/>
      <c r="L347" s="676"/>
      <c r="M347" s="756"/>
      <c r="N347" s="755"/>
      <c r="O347" s="678"/>
      <c r="R347" s="701" t="s">
        <v>737</v>
      </c>
      <c r="S347" s="719">
        <f>SUM(S335:S346)</f>
        <v>0</v>
      </c>
      <c r="T347" s="719">
        <f>SUM(T335:T346)</f>
        <v>0</v>
      </c>
      <c r="U347" s="719">
        <f>SUM(S347:T347)</f>
        <v>0</v>
      </c>
      <c r="V347" s="720">
        <f>IFERROR(T347/U347,0)</f>
        <v>0</v>
      </c>
      <c r="W347" s="721"/>
      <c r="X347" s="719">
        <f>SUM(X335:X346)</f>
        <v>0</v>
      </c>
      <c r="Y347" s="721"/>
      <c r="Z347" s="719">
        <f>SUM(Z335:Z346)</f>
        <v>0</v>
      </c>
      <c r="AA347" s="721"/>
      <c r="AB347" s="719">
        <f>SUM(AB335:AB346)</f>
        <v>0</v>
      </c>
      <c r="AC347" s="721"/>
      <c r="AD347" s="719">
        <f>SUM(AD335:AD346)</f>
        <v>0</v>
      </c>
      <c r="AE347" s="721"/>
    </row>
    <row r="348" spans="1:31" ht="17.25" thickBot="1">
      <c r="A348" s="739">
        <v>46356</v>
      </c>
      <c r="B348" s="695"/>
      <c r="C348" s="784"/>
      <c r="D348" s="784"/>
      <c r="E348" s="674"/>
      <c r="F348" s="785"/>
      <c r="G348" s="785"/>
      <c r="H348" s="785"/>
      <c r="I348" s="782"/>
      <c r="J348" s="785"/>
      <c r="K348" s="676"/>
      <c r="L348" s="676"/>
      <c r="M348" s="756"/>
      <c r="N348" s="755"/>
      <c r="O348" s="678"/>
    </row>
    <row r="349" spans="1:31" ht="17.25" thickBot="1">
      <c r="A349" s="753" t="s">
        <v>737</v>
      </c>
      <c r="B349" s="688">
        <f t="shared" ref="B349:L349" si="32">SUM(B319:B348)</f>
        <v>0</v>
      </c>
      <c r="C349" s="688">
        <f t="shared" si="32"/>
        <v>0</v>
      </c>
      <c r="D349" s="688">
        <f t="shared" si="32"/>
        <v>0</v>
      </c>
      <c r="E349" s="688">
        <f t="shared" si="32"/>
        <v>0</v>
      </c>
      <c r="F349" s="688">
        <f t="shared" si="32"/>
        <v>0</v>
      </c>
      <c r="G349" s="688">
        <f t="shared" si="32"/>
        <v>0</v>
      </c>
      <c r="H349" s="688">
        <f t="shared" si="32"/>
        <v>0</v>
      </c>
      <c r="I349" s="689">
        <f t="shared" si="32"/>
        <v>0</v>
      </c>
      <c r="J349" s="689">
        <f t="shared" si="32"/>
        <v>0</v>
      </c>
      <c r="K349" s="689">
        <f t="shared" si="32"/>
        <v>0</v>
      </c>
      <c r="L349" s="689">
        <f t="shared" si="32"/>
        <v>0</v>
      </c>
      <c r="M349" s="757">
        <f>SUM(M320:M348)</f>
        <v>0</v>
      </c>
      <c r="N349" s="757">
        <f>SUM(N319:N348)</f>
        <v>0</v>
      </c>
      <c r="O349" s="757">
        <f>M349+N349</f>
        <v>0</v>
      </c>
    </row>
    <row r="350" spans="1:31">
      <c r="A350" s="739">
        <v>46357</v>
      </c>
      <c r="B350" s="673"/>
      <c r="C350" s="875"/>
      <c r="D350" s="875"/>
      <c r="E350" s="889"/>
      <c r="F350" s="875"/>
      <c r="G350" s="875"/>
      <c r="H350" s="782"/>
      <c r="I350" s="782"/>
      <c r="J350" s="782"/>
      <c r="K350" s="673"/>
      <c r="L350" s="673"/>
      <c r="M350" s="778"/>
      <c r="N350" s="755"/>
      <c r="O350" s="678"/>
    </row>
    <row r="351" spans="1:31">
      <c r="A351" s="739">
        <v>46358</v>
      </c>
      <c r="B351" s="674"/>
      <c r="C351" s="875"/>
      <c r="D351" s="875"/>
      <c r="E351" s="890"/>
      <c r="F351" s="875"/>
      <c r="G351" s="875"/>
      <c r="H351" s="782"/>
      <c r="I351" s="782"/>
      <c r="J351" s="782"/>
      <c r="K351" s="673"/>
      <c r="L351" s="673"/>
      <c r="M351" s="778"/>
      <c r="N351" s="755"/>
      <c r="O351" s="678"/>
    </row>
    <row r="352" spans="1:31">
      <c r="A352" s="739">
        <v>46359</v>
      </c>
      <c r="B352" s="674"/>
      <c r="C352" s="875"/>
      <c r="D352" s="875"/>
      <c r="E352" s="890"/>
      <c r="F352" s="875"/>
      <c r="G352" s="875"/>
      <c r="H352" s="782"/>
      <c r="I352" s="782"/>
      <c r="J352" s="782"/>
      <c r="K352" s="673"/>
      <c r="L352" s="673"/>
      <c r="M352" s="778"/>
      <c r="N352" s="755"/>
      <c r="O352" s="678"/>
    </row>
    <row r="353" spans="1:31">
      <c r="A353" s="739">
        <v>46360</v>
      </c>
      <c r="B353" s="674"/>
      <c r="C353" s="875"/>
      <c r="D353" s="875"/>
      <c r="E353" s="890"/>
      <c r="F353" s="875"/>
      <c r="G353" s="875"/>
      <c r="H353" s="782"/>
      <c r="I353" s="782"/>
      <c r="J353" s="782"/>
      <c r="K353" s="782"/>
      <c r="L353" s="782"/>
      <c r="M353" s="779"/>
      <c r="N353" s="755"/>
      <c r="O353" s="678"/>
    </row>
    <row r="354" spans="1:31">
      <c r="A354" s="739">
        <v>46361</v>
      </c>
      <c r="B354" s="674"/>
      <c r="D354" s="875"/>
      <c r="E354" s="890"/>
      <c r="F354" s="875"/>
      <c r="G354" s="875"/>
      <c r="H354" s="782"/>
      <c r="I354" s="782"/>
      <c r="J354" s="782"/>
      <c r="K354" s="782"/>
      <c r="L354" s="782"/>
      <c r="M354" s="779"/>
      <c r="N354" s="755"/>
      <c r="O354" s="678"/>
    </row>
    <row r="355" spans="1:31">
      <c r="A355" s="739">
        <v>46362</v>
      </c>
      <c r="B355" s="674"/>
      <c r="C355" s="875"/>
      <c r="D355" s="875"/>
      <c r="E355" s="890"/>
      <c r="F355" s="875"/>
      <c r="G355" s="875"/>
      <c r="H355" s="782"/>
      <c r="I355" s="782"/>
      <c r="J355" s="782"/>
      <c r="K355" s="782"/>
      <c r="L355" s="782"/>
      <c r="M355" s="779"/>
      <c r="N355" s="755"/>
      <c r="O355" s="678"/>
    </row>
    <row r="356" spans="1:31">
      <c r="A356" s="739">
        <v>46363</v>
      </c>
      <c r="B356" s="674"/>
      <c r="C356" s="875"/>
      <c r="D356" s="875"/>
      <c r="E356" s="890"/>
      <c r="F356" s="875"/>
      <c r="G356" s="875"/>
      <c r="H356" s="782"/>
      <c r="I356" s="782"/>
      <c r="J356" s="782"/>
      <c r="K356" s="782"/>
      <c r="L356" s="782"/>
      <c r="M356" s="779"/>
      <c r="N356" s="755"/>
      <c r="O356" s="678"/>
    </row>
    <row r="357" spans="1:31">
      <c r="A357" s="739">
        <v>46364</v>
      </c>
      <c r="B357" s="674"/>
      <c r="C357" s="875"/>
      <c r="D357" s="875"/>
      <c r="E357" s="890"/>
      <c r="F357" s="875"/>
      <c r="G357" s="875"/>
      <c r="H357" s="782"/>
      <c r="I357" s="782"/>
      <c r="J357" s="782"/>
      <c r="K357" s="782"/>
      <c r="L357" s="782"/>
      <c r="M357" s="779"/>
      <c r="N357" s="755"/>
      <c r="O357" s="678"/>
    </row>
    <row r="358" spans="1:31">
      <c r="A358" s="739">
        <v>46365</v>
      </c>
      <c r="B358" s="674"/>
      <c r="C358" s="875"/>
      <c r="D358" s="875"/>
      <c r="E358" s="890"/>
      <c r="F358" s="875"/>
      <c r="G358" s="875"/>
      <c r="H358" s="782"/>
      <c r="I358" s="782"/>
      <c r="J358" s="782"/>
      <c r="K358" s="782"/>
      <c r="L358" s="782"/>
      <c r="M358" s="779"/>
      <c r="N358" s="755"/>
      <c r="O358" s="678"/>
    </row>
    <row r="359" spans="1:31">
      <c r="A359" s="739">
        <v>46366</v>
      </c>
      <c r="B359" s="674"/>
      <c r="C359" s="875"/>
      <c r="D359" s="875"/>
      <c r="E359" s="890"/>
      <c r="F359" s="875"/>
      <c r="G359" s="875"/>
      <c r="H359" s="782"/>
      <c r="I359" s="782"/>
      <c r="J359" s="782"/>
      <c r="K359" s="782"/>
      <c r="L359" s="782"/>
      <c r="M359" s="779"/>
      <c r="N359" s="755"/>
      <c r="O359" s="678"/>
    </row>
    <row r="360" spans="1:31" ht="16.5" customHeight="1">
      <c r="A360" s="739">
        <v>46367</v>
      </c>
      <c r="B360" s="674"/>
      <c r="C360" s="875"/>
      <c r="D360" s="875"/>
      <c r="E360" s="890"/>
      <c r="F360" s="875"/>
      <c r="G360" s="875"/>
      <c r="H360" s="782"/>
      <c r="I360" s="782"/>
      <c r="J360" s="782"/>
      <c r="K360" s="782"/>
      <c r="L360" s="782"/>
      <c r="M360" s="779"/>
      <c r="N360" s="755"/>
      <c r="O360" s="678"/>
    </row>
    <row r="361" spans="1:31">
      <c r="A361" s="739">
        <v>46368</v>
      </c>
      <c r="B361" s="674"/>
      <c r="C361" s="875"/>
      <c r="D361" s="875"/>
      <c r="E361" s="890"/>
      <c r="F361" s="875"/>
      <c r="G361" s="875"/>
      <c r="H361" s="782"/>
      <c r="I361" s="782"/>
      <c r="J361" s="782"/>
      <c r="K361" s="782"/>
      <c r="L361" s="782"/>
      <c r="M361" s="779"/>
      <c r="N361" s="755"/>
      <c r="O361" s="678"/>
    </row>
    <row r="362" spans="1:31">
      <c r="A362" s="739">
        <v>46369</v>
      </c>
      <c r="B362" s="674"/>
      <c r="C362" s="875"/>
      <c r="D362" s="875"/>
      <c r="E362" s="890"/>
      <c r="F362" s="875"/>
      <c r="G362" s="875"/>
      <c r="H362" s="782"/>
      <c r="I362" s="782"/>
      <c r="J362" s="782"/>
      <c r="K362" s="782"/>
      <c r="L362" s="782"/>
      <c r="M362" s="779"/>
      <c r="N362" s="755"/>
      <c r="O362" s="678"/>
    </row>
    <row r="363" spans="1:31" ht="17.25" thickBot="1">
      <c r="A363" s="739">
        <v>46370</v>
      </c>
      <c r="B363" s="674"/>
      <c r="C363" s="875"/>
      <c r="D363" s="875"/>
      <c r="E363" s="890"/>
      <c r="F363" s="875"/>
      <c r="G363" s="875"/>
      <c r="H363" s="782"/>
      <c r="I363" s="782"/>
      <c r="J363" s="782"/>
      <c r="K363" s="782"/>
      <c r="L363" s="782"/>
      <c r="M363" s="779"/>
      <c r="N363" s="755"/>
      <c r="O363" s="678"/>
    </row>
    <row r="364" spans="1:31">
      <c r="A364" s="739">
        <v>46371</v>
      </c>
      <c r="B364" s="674"/>
      <c r="C364" s="875"/>
      <c r="E364" s="875"/>
      <c r="F364" s="875"/>
      <c r="G364" s="875"/>
      <c r="H364" s="782"/>
      <c r="I364" s="782"/>
      <c r="J364" s="782"/>
      <c r="K364" s="782"/>
      <c r="L364" s="782"/>
      <c r="M364" s="779"/>
      <c r="N364" s="755"/>
      <c r="O364" s="678"/>
      <c r="R364" s="1188" t="s">
        <v>624</v>
      </c>
      <c r="S364" s="1191" t="s">
        <v>286</v>
      </c>
      <c r="T364" s="1192"/>
      <c r="U364" s="1192"/>
      <c r="V364" s="1192"/>
      <c r="W364" s="1193"/>
      <c r="X364" s="1191" t="s">
        <v>751</v>
      </c>
      <c r="Y364" s="1193"/>
      <c r="Z364" s="1191" t="s">
        <v>730</v>
      </c>
      <c r="AA364" s="1193"/>
      <c r="AB364" s="1191" t="s">
        <v>745</v>
      </c>
      <c r="AC364" s="1193"/>
      <c r="AD364" s="1191" t="s">
        <v>539</v>
      </c>
      <c r="AE364" s="1193"/>
    </row>
    <row r="365" spans="1:31" ht="16.5" customHeight="1">
      <c r="A365" s="739">
        <v>46372</v>
      </c>
      <c r="B365" s="674"/>
      <c r="C365" s="875"/>
      <c r="D365" s="875"/>
      <c r="E365" s="875"/>
      <c r="F365" s="875"/>
      <c r="G365" s="875"/>
      <c r="H365" s="782"/>
      <c r="I365" s="782"/>
      <c r="J365" s="782"/>
      <c r="K365" s="782"/>
      <c r="L365" s="782"/>
      <c r="M365" s="775"/>
      <c r="N365" s="755"/>
      <c r="O365" s="678"/>
      <c r="R365" s="1189"/>
      <c r="S365" s="1194" t="s">
        <v>746</v>
      </c>
      <c r="T365" s="1195"/>
      <c r="U365" s="1196"/>
      <c r="V365" s="1197" t="s">
        <v>750</v>
      </c>
      <c r="W365" s="1188" t="s">
        <v>744</v>
      </c>
      <c r="X365" s="1199" t="s">
        <v>746</v>
      </c>
      <c r="Y365" s="1188" t="s">
        <v>744</v>
      </c>
      <c r="Z365" s="1199" t="s">
        <v>746</v>
      </c>
      <c r="AA365" s="1188" t="s">
        <v>744</v>
      </c>
      <c r="AB365" s="1199" t="s">
        <v>746</v>
      </c>
      <c r="AC365" s="1188" t="s">
        <v>744</v>
      </c>
      <c r="AD365" s="1199" t="s">
        <v>746</v>
      </c>
      <c r="AE365" s="1188" t="s">
        <v>744</v>
      </c>
    </row>
    <row r="366" spans="1:31">
      <c r="A366" s="739">
        <v>46373</v>
      </c>
      <c r="B366" s="674"/>
      <c r="C366" s="875"/>
      <c r="D366" s="875"/>
      <c r="E366" s="875"/>
      <c r="F366" s="875"/>
      <c r="G366" s="875"/>
      <c r="H366" s="782"/>
      <c r="I366" s="782"/>
      <c r="J366" s="782"/>
      <c r="K366" s="782"/>
      <c r="L366" s="782"/>
      <c r="M366" s="775"/>
      <c r="N366" s="755"/>
      <c r="O366" s="678"/>
      <c r="R366" s="1190"/>
      <c r="S366" s="704" t="s">
        <v>735</v>
      </c>
      <c r="T366" s="705" t="s">
        <v>736</v>
      </c>
      <c r="U366" s="705" t="s">
        <v>737</v>
      </c>
      <c r="V366" s="1198"/>
      <c r="W366" s="1190"/>
      <c r="X366" s="1200"/>
      <c r="Y366" s="1190"/>
      <c r="Z366" s="1200"/>
      <c r="AA366" s="1190"/>
      <c r="AB366" s="1200"/>
      <c r="AC366" s="1190"/>
      <c r="AD366" s="1200"/>
      <c r="AE366" s="1190"/>
    </row>
    <row r="367" spans="1:31">
      <c r="A367" s="739">
        <v>46374</v>
      </c>
      <c r="B367" s="674"/>
      <c r="C367" s="875"/>
      <c r="D367" s="875"/>
      <c r="E367" s="875"/>
      <c r="F367" s="875"/>
      <c r="G367" s="875"/>
      <c r="H367" s="782"/>
      <c r="I367" s="674"/>
      <c r="J367" s="782"/>
      <c r="K367" s="782"/>
      <c r="L367" s="782"/>
      <c r="M367" s="775"/>
      <c r="N367" s="755"/>
      <c r="O367" s="678"/>
      <c r="R367" s="692" t="s">
        <v>36</v>
      </c>
      <c r="S367" s="711"/>
      <c r="T367" s="712"/>
      <c r="U367" s="712"/>
      <c r="V367" s="713">
        <f>IFERROR(T367/U367,0)</f>
        <v>0</v>
      </c>
      <c r="W367" s="714"/>
      <c r="X367" s="711"/>
      <c r="Y367" s="714"/>
      <c r="Z367" s="711"/>
      <c r="AA367" s="714"/>
      <c r="AB367" s="711"/>
      <c r="AC367" s="714"/>
      <c r="AD367" s="711"/>
      <c r="AE367" s="714"/>
    </row>
    <row r="368" spans="1:31">
      <c r="A368" s="739">
        <v>46375</v>
      </c>
      <c r="B368" s="674"/>
      <c r="C368" s="875"/>
      <c r="D368" s="875"/>
      <c r="E368" s="875"/>
      <c r="F368" s="875"/>
      <c r="G368" s="875"/>
      <c r="H368" s="782"/>
      <c r="I368" s="782"/>
      <c r="J368" s="782"/>
      <c r="K368" s="782"/>
      <c r="L368" s="782"/>
      <c r="M368" s="775"/>
      <c r="N368" s="755"/>
      <c r="O368" s="678"/>
      <c r="R368" s="692" t="s">
        <v>738</v>
      </c>
      <c r="S368" s="711"/>
      <c r="T368" s="712"/>
      <c r="U368" s="712">
        <f t="shared" ref="U368:U378" si="33">S368+T368</f>
        <v>0</v>
      </c>
      <c r="V368" s="713">
        <f t="shared" ref="V368:V378" si="34">IFERROR(T368/U368,0)</f>
        <v>0</v>
      </c>
      <c r="W368" s="714"/>
      <c r="X368" s="711"/>
      <c r="Y368" s="714"/>
      <c r="Z368" s="711"/>
      <c r="AA368" s="714"/>
      <c r="AB368" s="711"/>
      <c r="AC368" s="714"/>
      <c r="AD368" s="711"/>
      <c r="AE368" s="714"/>
    </row>
    <row r="369" spans="1:31">
      <c r="A369" s="739">
        <v>46376</v>
      </c>
      <c r="B369" s="674"/>
      <c r="C369" s="875"/>
      <c r="D369" s="875"/>
      <c r="E369" s="875"/>
      <c r="F369" s="875"/>
      <c r="G369" s="875"/>
      <c r="H369" s="782"/>
      <c r="I369" s="782"/>
      <c r="J369" s="782"/>
      <c r="K369" s="782"/>
      <c r="L369" s="782"/>
      <c r="M369" s="775"/>
      <c r="N369" s="755"/>
      <c r="O369" s="678"/>
      <c r="R369" s="692" t="s">
        <v>508</v>
      </c>
      <c r="S369" s="711"/>
      <c r="T369" s="712"/>
      <c r="U369" s="712">
        <f t="shared" si="33"/>
        <v>0</v>
      </c>
      <c r="V369" s="713">
        <f t="shared" si="34"/>
        <v>0</v>
      </c>
      <c r="W369" s="714"/>
      <c r="X369" s="711"/>
      <c r="Y369" s="714"/>
      <c r="Z369" s="711"/>
      <c r="AA369" s="714"/>
      <c r="AB369" s="711"/>
      <c r="AC369" s="714"/>
      <c r="AD369" s="711"/>
      <c r="AE369" s="714"/>
    </row>
    <row r="370" spans="1:31">
      <c r="A370" s="739">
        <v>46377</v>
      </c>
      <c r="B370" s="674"/>
      <c r="C370" s="875"/>
      <c r="D370" s="875"/>
      <c r="E370" s="875"/>
      <c r="F370" s="875"/>
      <c r="G370" s="875"/>
      <c r="H370" s="782"/>
      <c r="I370" s="782"/>
      <c r="J370" s="782"/>
      <c r="K370" s="782"/>
      <c r="L370" s="782"/>
      <c r="M370" s="775"/>
      <c r="N370" s="755"/>
      <c r="O370" s="678"/>
      <c r="R370" s="692" t="s">
        <v>727</v>
      </c>
      <c r="S370" s="711"/>
      <c r="T370" s="712"/>
      <c r="U370" s="712">
        <f t="shared" si="33"/>
        <v>0</v>
      </c>
      <c r="V370" s="713">
        <f t="shared" si="34"/>
        <v>0</v>
      </c>
      <c r="W370" s="714"/>
      <c r="X370" s="711"/>
      <c r="Y370" s="714"/>
      <c r="Z370" s="711"/>
      <c r="AA370" s="714"/>
      <c r="AB370" s="711"/>
      <c r="AC370" s="714"/>
      <c r="AD370" s="711"/>
      <c r="AE370" s="714"/>
    </row>
    <row r="371" spans="1:31">
      <c r="A371" s="739">
        <v>46378</v>
      </c>
      <c r="B371" s="674"/>
      <c r="C371" s="875"/>
      <c r="D371" s="875"/>
      <c r="E371" s="874"/>
      <c r="F371" s="875"/>
      <c r="G371" s="875"/>
      <c r="H371" s="782"/>
      <c r="I371" s="674"/>
      <c r="J371" s="674"/>
      <c r="K371" s="782"/>
      <c r="L371" s="782"/>
      <c r="M371" s="775"/>
      <c r="N371" s="755"/>
      <c r="O371" s="678"/>
      <c r="R371" s="692" t="s">
        <v>728</v>
      </c>
      <c r="S371" s="711"/>
      <c r="T371" s="712"/>
      <c r="U371" s="712">
        <f t="shared" si="33"/>
        <v>0</v>
      </c>
      <c r="V371" s="713">
        <f t="shared" si="34"/>
        <v>0</v>
      </c>
      <c r="W371" s="714"/>
      <c r="X371" s="711"/>
      <c r="Y371" s="714"/>
      <c r="Z371" s="711"/>
      <c r="AA371" s="714"/>
      <c r="AB371" s="711"/>
      <c r="AC371" s="714"/>
      <c r="AD371" s="711"/>
      <c r="AE371" s="714"/>
    </row>
    <row r="372" spans="1:31">
      <c r="A372" s="739">
        <v>46379</v>
      </c>
      <c r="B372" s="674"/>
      <c r="C372" s="875"/>
      <c r="D372" s="875"/>
      <c r="E372" s="874"/>
      <c r="F372" s="875"/>
      <c r="G372" s="875"/>
      <c r="H372" s="782"/>
      <c r="I372" s="674"/>
      <c r="J372" s="674"/>
      <c r="K372" s="782"/>
      <c r="L372" s="782"/>
      <c r="M372" s="775"/>
      <c r="N372" s="755"/>
      <c r="O372" s="678"/>
      <c r="R372" s="692" t="s">
        <v>175</v>
      </c>
      <c r="S372" s="711"/>
      <c r="T372" s="712"/>
      <c r="U372" s="712">
        <f t="shared" si="33"/>
        <v>0</v>
      </c>
      <c r="V372" s="713">
        <f t="shared" si="34"/>
        <v>0</v>
      </c>
      <c r="W372" s="714"/>
      <c r="X372" s="711"/>
      <c r="Y372" s="714"/>
      <c r="Z372" s="711"/>
      <c r="AA372" s="714"/>
      <c r="AB372" s="711"/>
      <c r="AC372" s="714"/>
      <c r="AD372" s="711"/>
      <c r="AE372" s="714"/>
    </row>
    <row r="373" spans="1:31">
      <c r="A373" s="739">
        <v>46380</v>
      </c>
      <c r="B373" s="674"/>
      <c r="C373" s="674"/>
      <c r="D373" s="674"/>
      <c r="E373" s="674"/>
      <c r="F373" s="782"/>
      <c r="G373" s="782"/>
      <c r="H373" s="782"/>
      <c r="I373" s="674"/>
      <c r="J373" s="674"/>
      <c r="K373" s="782"/>
      <c r="L373" s="782"/>
      <c r="M373" s="775"/>
      <c r="N373" s="755"/>
      <c r="O373" s="678"/>
      <c r="R373" s="692" t="s">
        <v>537</v>
      </c>
      <c r="S373" s="711"/>
      <c r="T373" s="712"/>
      <c r="U373" s="712">
        <f t="shared" si="33"/>
        <v>0</v>
      </c>
      <c r="V373" s="713">
        <f t="shared" si="34"/>
        <v>0</v>
      </c>
      <c r="W373" s="714"/>
      <c r="X373" s="711"/>
      <c r="Y373" s="714"/>
      <c r="Z373" s="711"/>
      <c r="AA373" s="714"/>
      <c r="AB373" s="711"/>
      <c r="AC373" s="714"/>
      <c r="AD373" s="711"/>
      <c r="AE373" s="714"/>
    </row>
    <row r="374" spans="1:31">
      <c r="A374" s="739">
        <v>46381</v>
      </c>
      <c r="B374" s="674"/>
      <c r="C374" s="674"/>
      <c r="D374" s="674"/>
      <c r="E374" s="674"/>
      <c r="F374" s="782"/>
      <c r="G374" s="782"/>
      <c r="H374" s="782"/>
      <c r="I374" s="674"/>
      <c r="J374" s="674"/>
      <c r="K374" s="782"/>
      <c r="L374" s="782"/>
      <c r="M374" s="775"/>
      <c r="N374" s="755"/>
      <c r="O374" s="678"/>
      <c r="R374" s="692" t="s">
        <v>739</v>
      </c>
      <c r="S374" s="711"/>
      <c r="T374" s="712"/>
      <c r="U374" s="712">
        <f t="shared" si="33"/>
        <v>0</v>
      </c>
      <c r="V374" s="713">
        <f t="shared" si="34"/>
        <v>0</v>
      </c>
      <c r="W374" s="714"/>
      <c r="X374" s="711"/>
      <c r="Y374" s="714"/>
      <c r="Z374" s="711"/>
      <c r="AA374" s="714"/>
      <c r="AB374" s="711"/>
      <c r="AC374" s="714"/>
      <c r="AD374" s="711"/>
      <c r="AE374" s="714"/>
    </row>
    <row r="375" spans="1:31">
      <c r="A375" s="739">
        <v>46382</v>
      </c>
      <c r="B375" s="674"/>
      <c r="C375" s="674"/>
      <c r="D375" s="674"/>
      <c r="E375" s="674"/>
      <c r="F375" s="782"/>
      <c r="G375" s="782"/>
      <c r="H375" s="782"/>
      <c r="I375" s="674"/>
      <c r="J375" s="674"/>
      <c r="K375" s="674"/>
      <c r="L375" s="674"/>
      <c r="M375" s="775"/>
      <c r="N375" s="755"/>
      <c r="O375" s="678"/>
      <c r="R375" s="692" t="s">
        <v>740</v>
      </c>
      <c r="S375" s="711"/>
      <c r="T375" s="712"/>
      <c r="U375" s="712">
        <f t="shared" si="33"/>
        <v>0</v>
      </c>
      <c r="V375" s="713">
        <f t="shared" si="34"/>
        <v>0</v>
      </c>
      <c r="W375" s="714"/>
      <c r="X375" s="711"/>
      <c r="Y375" s="714"/>
      <c r="Z375" s="711"/>
      <c r="AA375" s="714"/>
      <c r="AB375" s="711"/>
      <c r="AC375" s="714"/>
      <c r="AD375" s="711"/>
      <c r="AE375" s="714"/>
    </row>
    <row r="376" spans="1:31">
      <c r="A376" s="739">
        <v>46383</v>
      </c>
      <c r="B376" s="694"/>
      <c r="C376" s="694"/>
      <c r="D376" s="694"/>
      <c r="E376" s="674"/>
      <c r="F376" s="783"/>
      <c r="G376" s="783"/>
      <c r="H376" s="783"/>
      <c r="I376" s="674"/>
      <c r="J376" s="694"/>
      <c r="K376" s="694"/>
      <c r="L376" s="694"/>
      <c r="M376" s="776"/>
      <c r="N376" s="755"/>
      <c r="O376" s="678"/>
      <c r="R376" s="692" t="s">
        <v>741</v>
      </c>
      <c r="S376" s="711"/>
      <c r="T376" s="712"/>
      <c r="U376" s="712">
        <f t="shared" si="33"/>
        <v>0</v>
      </c>
      <c r="V376" s="713">
        <f t="shared" si="34"/>
        <v>0</v>
      </c>
      <c r="W376" s="715"/>
      <c r="X376" s="711"/>
      <c r="Y376" s="715"/>
      <c r="Z376" s="711"/>
      <c r="AA376" s="715"/>
      <c r="AB376" s="711"/>
      <c r="AC376" s="715"/>
      <c r="AD376" s="711"/>
      <c r="AE376" s="715"/>
    </row>
    <row r="377" spans="1:31">
      <c r="A377" s="739">
        <v>46384</v>
      </c>
      <c r="B377" s="694"/>
      <c r="C377" s="694"/>
      <c r="D377" s="694"/>
      <c r="E377" s="674"/>
      <c r="F377" s="784"/>
      <c r="G377" s="784"/>
      <c r="H377" s="784"/>
      <c r="I377" s="695"/>
      <c r="J377" s="695"/>
      <c r="K377" s="695"/>
      <c r="L377" s="695"/>
      <c r="M377" s="777"/>
      <c r="N377" s="755"/>
      <c r="O377" s="678"/>
      <c r="R377" s="692" t="s">
        <v>538</v>
      </c>
      <c r="S377" s="711"/>
      <c r="T377" s="712"/>
      <c r="U377" s="712">
        <f t="shared" si="33"/>
        <v>0</v>
      </c>
      <c r="V377" s="713">
        <f t="shared" si="34"/>
        <v>0</v>
      </c>
      <c r="W377" s="715"/>
      <c r="X377" s="711"/>
      <c r="Y377" s="715"/>
      <c r="Z377" s="711"/>
      <c r="AA377" s="715"/>
      <c r="AB377" s="711"/>
      <c r="AC377" s="715"/>
      <c r="AD377" s="711"/>
      <c r="AE377" s="715"/>
    </row>
    <row r="378" spans="1:31" ht="17.25" thickBot="1">
      <c r="A378" s="739">
        <v>46385</v>
      </c>
      <c r="B378" s="695"/>
      <c r="C378" s="695"/>
      <c r="D378" s="695"/>
      <c r="E378" s="674"/>
      <c r="F378" s="785"/>
      <c r="G378" s="785"/>
      <c r="H378" s="785"/>
      <c r="I378" s="674"/>
      <c r="J378" s="676"/>
      <c r="K378" s="676"/>
      <c r="L378" s="676"/>
      <c r="M378" s="756"/>
      <c r="N378" s="755"/>
      <c r="O378" s="678"/>
      <c r="R378" s="692" t="s">
        <v>742</v>
      </c>
      <c r="S378" s="716"/>
      <c r="T378" s="717"/>
      <c r="U378" s="717">
        <f t="shared" si="33"/>
        <v>0</v>
      </c>
      <c r="V378" s="713">
        <f t="shared" si="34"/>
        <v>0</v>
      </c>
      <c r="W378" s="718"/>
      <c r="X378" s="716"/>
      <c r="Y378" s="718"/>
      <c r="Z378" s="716"/>
      <c r="AA378" s="718"/>
      <c r="AB378" s="716"/>
      <c r="AC378" s="718"/>
      <c r="AD378" s="716"/>
      <c r="AE378" s="718"/>
    </row>
    <row r="379" spans="1:31">
      <c r="A379" s="739">
        <v>46386</v>
      </c>
      <c r="B379" s="695"/>
      <c r="C379" s="695"/>
      <c r="D379" s="695"/>
      <c r="E379" s="674"/>
      <c r="F379" s="785"/>
      <c r="G379" s="785"/>
      <c r="H379" s="785"/>
      <c r="I379" s="674"/>
      <c r="J379" s="676"/>
      <c r="K379" s="676"/>
      <c r="L379" s="676"/>
      <c r="M379" s="756"/>
      <c r="N379" s="755"/>
      <c r="O379" s="678"/>
      <c r="R379" s="701" t="s">
        <v>737</v>
      </c>
      <c r="S379" s="719">
        <f>SUM(S367:S378)</f>
        <v>0</v>
      </c>
      <c r="T379" s="719">
        <f>SUM(T367:T378)</f>
        <v>0</v>
      </c>
      <c r="U379" s="719">
        <f>SUM(S379:T379)</f>
        <v>0</v>
      </c>
      <c r="V379" s="720">
        <f>IFERROR(T379/U379,0)</f>
        <v>0</v>
      </c>
      <c r="W379" s="721"/>
      <c r="X379" s="719">
        <f>SUM(X367:X378)</f>
        <v>0</v>
      </c>
      <c r="Y379" s="721"/>
      <c r="Z379" s="719">
        <f>SUM(Z367:Z378)</f>
        <v>0</v>
      </c>
      <c r="AA379" s="721"/>
      <c r="AB379" s="719">
        <f>SUM(AB367:AB378)</f>
        <v>0</v>
      </c>
      <c r="AC379" s="721"/>
      <c r="AD379" s="719">
        <f>SUM(AD367:AD378)</f>
        <v>0</v>
      </c>
      <c r="AE379" s="721"/>
    </row>
    <row r="380" spans="1:31" ht="17.25" thickBot="1">
      <c r="A380" s="739">
        <v>46387</v>
      </c>
      <c r="B380" s="695"/>
      <c r="C380" s="784"/>
      <c r="D380" s="784"/>
      <c r="E380" s="674"/>
      <c r="F380" s="785"/>
      <c r="G380" s="785"/>
      <c r="H380" s="785"/>
      <c r="I380" s="782"/>
      <c r="J380" s="785"/>
      <c r="K380" s="676"/>
      <c r="L380" s="676"/>
      <c r="M380" s="756"/>
      <c r="N380" s="755"/>
      <c r="O380" s="678"/>
    </row>
    <row r="381" spans="1:31" ht="17.25" thickBot="1">
      <c r="A381" s="753" t="s">
        <v>737</v>
      </c>
      <c r="B381" s="688">
        <f t="shared" ref="B381:L381" si="35">SUM(B350:B380)</f>
        <v>0</v>
      </c>
      <c r="C381" s="688">
        <f t="shared" si="35"/>
        <v>0</v>
      </c>
      <c r="D381" s="688">
        <f t="shared" si="35"/>
        <v>0</v>
      </c>
      <c r="E381" s="688">
        <f t="shared" si="35"/>
        <v>0</v>
      </c>
      <c r="F381" s="688">
        <f t="shared" si="35"/>
        <v>0</v>
      </c>
      <c r="G381" s="688">
        <f t="shared" si="35"/>
        <v>0</v>
      </c>
      <c r="H381" s="688">
        <f t="shared" si="35"/>
        <v>0</v>
      </c>
      <c r="I381" s="689">
        <f t="shared" si="35"/>
        <v>0</v>
      </c>
      <c r="J381" s="689">
        <f t="shared" si="35"/>
        <v>0</v>
      </c>
      <c r="K381" s="689">
        <f t="shared" si="35"/>
        <v>0</v>
      </c>
      <c r="L381" s="689">
        <f t="shared" si="35"/>
        <v>0</v>
      </c>
      <c r="M381" s="757">
        <f>SUM(M351:M380)</f>
        <v>0</v>
      </c>
      <c r="N381" s="757">
        <f>SUM(N350:N380)</f>
        <v>0</v>
      </c>
      <c r="O381" s="757">
        <f>M381+N381</f>
        <v>0</v>
      </c>
    </row>
  </sheetData>
  <mergeCells count="218">
    <mergeCell ref="R332:R334"/>
    <mergeCell ref="S332:W332"/>
    <mergeCell ref="X332:Y332"/>
    <mergeCell ref="Z332:AA332"/>
    <mergeCell ref="AB332:AC332"/>
    <mergeCell ref="AD332:AE332"/>
    <mergeCell ref="S333:U333"/>
    <mergeCell ref="V333:V334"/>
    <mergeCell ref="W333:W334"/>
    <mergeCell ref="X333:X334"/>
    <mergeCell ref="Y333:Y334"/>
    <mergeCell ref="Z333:Z334"/>
    <mergeCell ref="AA333:AA334"/>
    <mergeCell ref="AB333:AB334"/>
    <mergeCell ref="AC333:AC334"/>
    <mergeCell ref="AD333:AD334"/>
    <mergeCell ref="AE333:AE334"/>
    <mergeCell ref="R302:R304"/>
    <mergeCell ref="S302:W302"/>
    <mergeCell ref="X302:Y302"/>
    <mergeCell ref="Z302:AA302"/>
    <mergeCell ref="AB302:AC302"/>
    <mergeCell ref="AD302:AE302"/>
    <mergeCell ref="S303:U303"/>
    <mergeCell ref="V303:V304"/>
    <mergeCell ref="W303:W304"/>
    <mergeCell ref="X303:X304"/>
    <mergeCell ref="Y303:Y304"/>
    <mergeCell ref="Z303:Z304"/>
    <mergeCell ref="AA303:AA304"/>
    <mergeCell ref="AB303:AB304"/>
    <mergeCell ref="AC303:AC304"/>
    <mergeCell ref="AD303:AD304"/>
    <mergeCell ref="AE303:AE304"/>
    <mergeCell ref="AE240:AE241"/>
    <mergeCell ref="V240:V241"/>
    <mergeCell ref="W240:W241"/>
    <mergeCell ref="X240:X241"/>
    <mergeCell ref="Y240:Y241"/>
    <mergeCell ref="Z240:Z241"/>
    <mergeCell ref="AA240:AA241"/>
    <mergeCell ref="AB240:AB241"/>
    <mergeCell ref="AC240:AC241"/>
    <mergeCell ref="AD240:AD241"/>
    <mergeCell ref="R239:R241"/>
    <mergeCell ref="S239:W239"/>
    <mergeCell ref="X239:Y239"/>
    <mergeCell ref="Z239:AA239"/>
    <mergeCell ref="AB239:AC239"/>
    <mergeCell ref="AD239:AE239"/>
    <mergeCell ref="S240:U240"/>
    <mergeCell ref="R201:R203"/>
    <mergeCell ref="S201:W201"/>
    <mergeCell ref="X201:Y201"/>
    <mergeCell ref="Z201:AA201"/>
    <mergeCell ref="AB201:AC201"/>
    <mergeCell ref="AD201:AE201"/>
    <mergeCell ref="S202:U202"/>
    <mergeCell ref="V202:V203"/>
    <mergeCell ref="W202:W203"/>
    <mergeCell ref="X202:X203"/>
    <mergeCell ref="Y202:Y203"/>
    <mergeCell ref="Z202:Z203"/>
    <mergeCell ref="AA202:AA203"/>
    <mergeCell ref="AB202:AB203"/>
    <mergeCell ref="AC202:AC203"/>
    <mergeCell ref="AD202:AD203"/>
    <mergeCell ref="AE202:AE203"/>
    <mergeCell ref="AB38:AC38"/>
    <mergeCell ref="AD38:AE38"/>
    <mergeCell ref="S39:U39"/>
    <mergeCell ref="V39:V40"/>
    <mergeCell ref="W39:W40"/>
    <mergeCell ref="X39:X40"/>
    <mergeCell ref="Y39:Y40"/>
    <mergeCell ref="Z39:Z40"/>
    <mergeCell ref="AA39:AA40"/>
    <mergeCell ref="AB39:AB40"/>
    <mergeCell ref="AC39:AC40"/>
    <mergeCell ref="AD39:AD40"/>
    <mergeCell ref="AE39:AE40"/>
    <mergeCell ref="A2:A3"/>
    <mergeCell ref="B2:C2"/>
    <mergeCell ref="D2:E2"/>
    <mergeCell ref="F2:G2"/>
    <mergeCell ref="I2:I3"/>
    <mergeCell ref="R38:R40"/>
    <mergeCell ref="S38:W38"/>
    <mergeCell ref="X38:Y38"/>
    <mergeCell ref="Z38:AA38"/>
    <mergeCell ref="B1:H1"/>
    <mergeCell ref="AD6:AE6"/>
    <mergeCell ref="Z7:Z8"/>
    <mergeCell ref="AA7:AA8"/>
    <mergeCell ref="AB7:AB8"/>
    <mergeCell ref="AE7:AE8"/>
    <mergeCell ref="AD7:AD8"/>
    <mergeCell ref="S7:U7"/>
    <mergeCell ref="V7:V8"/>
    <mergeCell ref="W7:W8"/>
    <mergeCell ref="X7:X8"/>
    <mergeCell ref="Y7:Y8"/>
    <mergeCell ref="J2:J3"/>
    <mergeCell ref="P2:P3"/>
    <mergeCell ref="S6:W6"/>
    <mergeCell ref="X6:Y6"/>
    <mergeCell ref="Z6:AA6"/>
    <mergeCell ref="AC7:AC8"/>
    <mergeCell ref="R6:R8"/>
    <mergeCell ref="M1:O1"/>
    <mergeCell ref="K2:K3"/>
    <mergeCell ref="M2:M3"/>
    <mergeCell ref="N2:N3"/>
    <mergeCell ref="O2:O3"/>
    <mergeCell ref="AB6:AC6"/>
    <mergeCell ref="L2:L3"/>
    <mergeCell ref="R99:R101"/>
    <mergeCell ref="S99:W99"/>
    <mergeCell ref="X99:Y99"/>
    <mergeCell ref="Z99:AA99"/>
    <mergeCell ref="AB99:AC99"/>
    <mergeCell ref="AD67:AE67"/>
    <mergeCell ref="S68:U68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R67:R69"/>
    <mergeCell ref="S67:W67"/>
    <mergeCell ref="X67:Y67"/>
    <mergeCell ref="Z67:AA67"/>
    <mergeCell ref="AB67:AC67"/>
    <mergeCell ref="AD99:AE99"/>
    <mergeCell ref="S100:U100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R161:R163"/>
    <mergeCell ref="S161:W161"/>
    <mergeCell ref="X161:Y161"/>
    <mergeCell ref="Z161:AA161"/>
    <mergeCell ref="AB161:AC161"/>
    <mergeCell ref="AD131:AE131"/>
    <mergeCell ref="S132:U132"/>
    <mergeCell ref="V132:V133"/>
    <mergeCell ref="W132:W133"/>
    <mergeCell ref="X132:X133"/>
    <mergeCell ref="Y132:Y133"/>
    <mergeCell ref="Z132:Z133"/>
    <mergeCell ref="AA132:AA133"/>
    <mergeCell ref="AB132:AB133"/>
    <mergeCell ref="AC132:AC133"/>
    <mergeCell ref="AD132:AD133"/>
    <mergeCell ref="AE132:AE133"/>
    <mergeCell ref="R131:R133"/>
    <mergeCell ref="S131:W131"/>
    <mergeCell ref="X131:Y131"/>
    <mergeCell ref="Z131:AA131"/>
    <mergeCell ref="AB131:AC131"/>
    <mergeCell ref="AD161:AE161"/>
    <mergeCell ref="S162:U162"/>
    <mergeCell ref="AE162:AE163"/>
    <mergeCell ref="V162:V163"/>
    <mergeCell ref="W162:W163"/>
    <mergeCell ref="X162:X163"/>
    <mergeCell ref="Y162:Y163"/>
    <mergeCell ref="Z162:Z163"/>
    <mergeCell ref="AA162:AA163"/>
    <mergeCell ref="AB162:AB163"/>
    <mergeCell ref="AC162:AC163"/>
    <mergeCell ref="AD162:AD163"/>
    <mergeCell ref="R270:R272"/>
    <mergeCell ref="S270:W270"/>
    <mergeCell ref="X270:Y270"/>
    <mergeCell ref="Z270:AA270"/>
    <mergeCell ref="AB270:AC270"/>
    <mergeCell ref="AD270:AE270"/>
    <mergeCell ref="S271:U271"/>
    <mergeCell ref="V271:V272"/>
    <mergeCell ref="W271:W272"/>
    <mergeCell ref="X271:X272"/>
    <mergeCell ref="Y271:Y272"/>
    <mergeCell ref="Z271:Z272"/>
    <mergeCell ref="AA271:AA272"/>
    <mergeCell ref="AB271:AB272"/>
    <mergeCell ref="AC271:AC272"/>
    <mergeCell ref="AD271:AD272"/>
    <mergeCell ref="AE271:AE272"/>
    <mergeCell ref="R364:R366"/>
    <mergeCell ref="S364:W364"/>
    <mergeCell ref="X364:Y364"/>
    <mergeCell ref="Z364:AA364"/>
    <mergeCell ref="AB364:AC364"/>
    <mergeCell ref="AD364:AE364"/>
    <mergeCell ref="S365:U365"/>
    <mergeCell ref="V365:V366"/>
    <mergeCell ref="W365:W366"/>
    <mergeCell ref="X365:X366"/>
    <mergeCell ref="Y365:Y366"/>
    <mergeCell ref="Z365:Z366"/>
    <mergeCell ref="AA365:AA366"/>
    <mergeCell ref="AB365:AB366"/>
    <mergeCell ref="AC365:AC366"/>
    <mergeCell ref="AD365:AD366"/>
    <mergeCell ref="AE365:AE366"/>
  </mergeCells>
  <phoneticPr fontId="10" type="noConversion"/>
  <pageMargins left="0.7" right="0.7" top="0.75" bottom="0.75" header="0.3" footer="0.3"/>
  <pageSetup paperSize="9" scale="10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K22"/>
  <sheetViews>
    <sheetView workbookViewId="0">
      <selection activeCell="F26" sqref="F26"/>
    </sheetView>
  </sheetViews>
  <sheetFormatPr defaultRowHeight="16.5"/>
  <cols>
    <col min="2" max="2" width="12.5" customWidth="1"/>
    <col min="3" max="3" width="22.625" bestFit="1" customWidth="1"/>
    <col min="4" max="5" width="8.375" style="823" bestFit="1" customWidth="1"/>
    <col min="6" max="6" width="15.125" style="816" customWidth="1"/>
    <col min="7" max="7" width="13" style="816" customWidth="1"/>
    <col min="8" max="8" width="9" style="823"/>
    <col min="9" max="9" width="9.375" style="865" bestFit="1" customWidth="1"/>
    <col min="10" max="10" width="12.125" style="834" customWidth="1"/>
  </cols>
  <sheetData>
    <row r="3" spans="2:11">
      <c r="B3" s="48" t="s">
        <v>0</v>
      </c>
      <c r="C3" s="48" t="s">
        <v>767</v>
      </c>
      <c r="D3" s="820" t="s">
        <v>772</v>
      </c>
      <c r="E3" s="820" t="s">
        <v>773</v>
      </c>
      <c r="F3" s="815" t="s">
        <v>768</v>
      </c>
      <c r="G3" s="815" t="s">
        <v>775</v>
      </c>
      <c r="H3" s="820" t="s">
        <v>769</v>
      </c>
      <c r="I3" s="820" t="s">
        <v>770</v>
      </c>
      <c r="J3" s="815" t="s">
        <v>774</v>
      </c>
      <c r="K3" s="48" t="s">
        <v>771</v>
      </c>
    </row>
    <row r="4" spans="2:11">
      <c r="B4" s="818" t="s">
        <v>852</v>
      </c>
      <c r="C4" s="819"/>
      <c r="D4" s="821"/>
      <c r="E4" s="821"/>
      <c r="F4" s="824"/>
      <c r="G4" s="824"/>
      <c r="H4" s="821"/>
      <c r="I4" s="821"/>
      <c r="J4" s="830"/>
      <c r="K4" s="819"/>
    </row>
    <row r="5" spans="2:11">
      <c r="B5" s="402" t="s">
        <v>188</v>
      </c>
      <c r="C5" s="703" t="s">
        <v>790</v>
      </c>
      <c r="D5" s="978">
        <v>46000</v>
      </c>
      <c r="E5" s="822">
        <v>46000</v>
      </c>
      <c r="F5" s="831">
        <v>46032</v>
      </c>
      <c r="G5" s="831">
        <v>46045</v>
      </c>
      <c r="H5" s="827">
        <v>46000</v>
      </c>
      <c r="I5" s="860">
        <v>46000</v>
      </c>
      <c r="J5" s="831"/>
      <c r="K5" s="831"/>
    </row>
    <row r="6" spans="2:11">
      <c r="B6" s="814"/>
      <c r="C6" s="822"/>
      <c r="D6" s="831"/>
      <c r="E6" s="831"/>
      <c r="F6" s="831"/>
      <c r="G6" s="831"/>
      <c r="I6" s="860"/>
      <c r="J6" s="831"/>
      <c r="K6" s="835"/>
    </row>
    <row r="7" spans="2:11">
      <c r="B7" s="825"/>
      <c r="C7" s="822"/>
      <c r="D7" s="831"/>
      <c r="E7" s="831"/>
      <c r="F7" s="831"/>
      <c r="G7" s="831"/>
      <c r="I7" s="861"/>
      <c r="J7" s="831"/>
      <c r="K7" s="835"/>
    </row>
    <row r="8" spans="2:11">
      <c r="B8" s="814"/>
      <c r="C8" s="822"/>
      <c r="D8" s="831"/>
      <c r="E8" s="831"/>
      <c r="F8" s="831"/>
      <c r="G8" s="831"/>
      <c r="H8" s="827"/>
      <c r="I8" s="860"/>
      <c r="J8" s="831"/>
      <c r="K8" s="835"/>
    </row>
    <row r="9" spans="2:11">
      <c r="B9" s="818" t="s">
        <v>853</v>
      </c>
      <c r="C9" s="819"/>
      <c r="D9" s="821"/>
      <c r="E9" s="821"/>
      <c r="F9" s="832"/>
      <c r="G9" s="832"/>
      <c r="H9" s="858"/>
      <c r="I9" s="862"/>
      <c r="J9" s="832"/>
      <c r="K9" s="826"/>
    </row>
    <row r="10" spans="2:11">
      <c r="B10" s="812" t="s">
        <v>187</v>
      </c>
      <c r="C10" s="812" t="s">
        <v>932</v>
      </c>
      <c r="D10" s="822">
        <v>73000</v>
      </c>
      <c r="E10" s="822">
        <v>73727</v>
      </c>
      <c r="F10" s="833">
        <v>46053</v>
      </c>
      <c r="G10" s="833">
        <v>46061</v>
      </c>
      <c r="H10" s="829">
        <v>58278</v>
      </c>
      <c r="I10" s="863">
        <v>58278</v>
      </c>
      <c r="J10" s="831"/>
      <c r="K10" s="835"/>
    </row>
    <row r="11" spans="2:11">
      <c r="B11" s="814" t="s">
        <v>182</v>
      </c>
      <c r="C11" s="814" t="s">
        <v>931</v>
      </c>
      <c r="D11" s="822">
        <v>20000</v>
      </c>
      <c r="E11" s="822">
        <v>22252</v>
      </c>
      <c r="F11" s="833">
        <v>46069</v>
      </c>
      <c r="G11" s="833">
        <v>46073</v>
      </c>
      <c r="H11" s="829">
        <v>20560</v>
      </c>
      <c r="I11" s="863">
        <v>20560</v>
      </c>
      <c r="J11" s="831"/>
      <c r="K11" s="831"/>
    </row>
    <row r="12" spans="2:11">
      <c r="B12" s="817" t="s">
        <v>854</v>
      </c>
      <c r="C12" s="819"/>
      <c r="D12" s="821"/>
      <c r="E12" s="821"/>
      <c r="F12" s="832"/>
      <c r="G12" s="832"/>
      <c r="H12" s="828"/>
      <c r="I12" s="862"/>
      <c r="J12" s="832"/>
      <c r="K12" s="826"/>
    </row>
    <row r="13" spans="2:11">
      <c r="B13" s="812"/>
      <c r="C13" s="813"/>
      <c r="D13" s="822"/>
      <c r="E13" s="822"/>
      <c r="F13" s="833"/>
      <c r="G13" s="833"/>
      <c r="H13" s="829"/>
      <c r="I13" s="864"/>
      <c r="J13" s="831"/>
      <c r="K13" s="831"/>
    </row>
    <row r="14" spans="2:11">
      <c r="B14" s="814"/>
      <c r="C14" s="814"/>
      <c r="D14" s="822"/>
      <c r="E14" s="822"/>
      <c r="F14" s="833"/>
      <c r="G14" s="833"/>
      <c r="H14" s="829"/>
      <c r="I14" s="864"/>
      <c r="J14" s="831"/>
      <c r="K14" s="831"/>
    </row>
    <row r="15" spans="2:11">
      <c r="B15" s="814"/>
      <c r="C15" s="814"/>
      <c r="D15" s="822"/>
      <c r="E15" s="822"/>
      <c r="F15" s="833"/>
      <c r="G15" s="833"/>
      <c r="H15" s="829"/>
      <c r="I15" s="864"/>
      <c r="J15" s="831"/>
      <c r="K15" s="831"/>
    </row>
    <row r="16" spans="2:11">
      <c r="B16" s="814"/>
      <c r="C16" s="814"/>
      <c r="D16" s="822"/>
      <c r="E16" s="822"/>
      <c r="F16" s="833"/>
      <c r="G16" s="833"/>
      <c r="H16" s="829"/>
      <c r="I16" s="863"/>
      <c r="J16" s="831"/>
      <c r="K16" s="831"/>
    </row>
    <row r="17" spans="2:11">
      <c r="B17" s="817" t="s">
        <v>855</v>
      </c>
    </row>
    <row r="18" spans="2:11">
      <c r="B18" s="822"/>
      <c r="C18" s="822"/>
      <c r="D18" s="833"/>
      <c r="E18" s="833"/>
      <c r="F18" s="833"/>
      <c r="G18" s="833"/>
      <c r="H18" s="829"/>
      <c r="I18" s="864"/>
      <c r="J18" s="831"/>
      <c r="K18" s="831"/>
    </row>
    <row r="19" spans="2:11">
      <c r="B19" s="822"/>
      <c r="C19" s="822"/>
      <c r="D19" s="833"/>
      <c r="E19" s="833"/>
      <c r="F19" s="833"/>
      <c r="G19" s="833"/>
      <c r="H19" s="829"/>
      <c r="I19" s="864"/>
      <c r="J19" s="831"/>
      <c r="K19" s="831"/>
    </row>
    <row r="20" spans="2:11">
      <c r="B20" s="822"/>
      <c r="C20" s="822"/>
      <c r="D20" s="833"/>
      <c r="E20" s="833"/>
      <c r="F20" s="833"/>
      <c r="G20" s="833"/>
      <c r="H20" s="829"/>
      <c r="I20" s="864"/>
      <c r="J20" s="831"/>
      <c r="K20" s="831"/>
    </row>
    <row r="21" spans="2:11">
      <c r="B21" s="814"/>
      <c r="C21" s="814"/>
      <c r="D21" s="822"/>
      <c r="E21" s="822"/>
      <c r="F21" s="833"/>
      <c r="G21" s="833"/>
      <c r="H21" s="829"/>
      <c r="I21" s="864"/>
      <c r="J21" s="831"/>
      <c r="K21" s="831"/>
    </row>
    <row r="22" spans="2:11">
      <c r="B22" s="814"/>
      <c r="C22" s="814"/>
      <c r="D22" s="822"/>
      <c r="E22" s="822"/>
      <c r="F22" s="833"/>
      <c r="G22" s="833"/>
      <c r="H22" s="829"/>
      <c r="I22" s="864"/>
      <c r="J22" s="831"/>
      <c r="K22" s="831"/>
    </row>
  </sheetData>
  <phoneticPr fontId="10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heck Box 1">
              <controlPr defaultSize="0" autoFill="0" autoLine="0" autoPict="0">
                <anchor moveWithCells="1">
                  <from>
                    <xdr:col>9</xdr:col>
                    <xdr:colOff>219075</xdr:colOff>
                    <xdr:row>4</xdr:row>
                    <xdr:rowOff>9525</xdr:rowOff>
                  </from>
                  <to>
                    <xdr:col>9</xdr:col>
                    <xdr:colOff>561975</xdr:colOff>
                    <xdr:row>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2" r:id="rId5" name="Check Box 16">
              <controlPr defaultSize="0" autoFill="0" autoLine="0" autoPict="0">
                <anchor moveWithCells="1">
                  <from>
                    <xdr:col>9</xdr:col>
                    <xdr:colOff>219075</xdr:colOff>
                    <xdr:row>5</xdr:row>
                    <xdr:rowOff>9525</xdr:rowOff>
                  </from>
                  <to>
                    <xdr:col>9</xdr:col>
                    <xdr:colOff>561975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3" r:id="rId6" name="Check Box 17">
              <controlPr defaultSize="0" autoFill="0" autoLine="0" autoPict="0">
                <anchor moveWithCells="1">
                  <from>
                    <xdr:col>9</xdr:col>
                    <xdr:colOff>219075</xdr:colOff>
                    <xdr:row>6</xdr:row>
                    <xdr:rowOff>9525</xdr:rowOff>
                  </from>
                  <to>
                    <xdr:col>9</xdr:col>
                    <xdr:colOff>561975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4" r:id="rId7" name="Check Box 18">
              <controlPr defaultSize="0" autoFill="0" autoLine="0" autoPict="0">
                <anchor moveWithCells="1">
                  <from>
                    <xdr:col>9</xdr:col>
                    <xdr:colOff>219075</xdr:colOff>
                    <xdr:row>7</xdr:row>
                    <xdr:rowOff>9525</xdr:rowOff>
                  </from>
                  <to>
                    <xdr:col>9</xdr:col>
                    <xdr:colOff>561975</xdr:colOff>
                    <xdr:row>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6" r:id="rId8" name="Check Box 20">
              <controlPr defaultSize="0" autoFill="0" autoLine="0" autoPict="0">
                <anchor moveWithCells="1">
                  <from>
                    <xdr:col>9</xdr:col>
                    <xdr:colOff>219075</xdr:colOff>
                    <xdr:row>9</xdr:row>
                    <xdr:rowOff>9525</xdr:rowOff>
                  </from>
                  <to>
                    <xdr:col>9</xdr:col>
                    <xdr:colOff>561975</xdr:colOff>
                    <xdr:row>10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8" r:id="rId9" name="Check Box 22">
              <controlPr defaultSize="0" autoFill="0" autoLine="0" autoPict="0">
                <anchor moveWithCells="1">
                  <from>
                    <xdr:col>9</xdr:col>
                    <xdr:colOff>219075</xdr:colOff>
                    <xdr:row>10</xdr:row>
                    <xdr:rowOff>9525</xdr:rowOff>
                  </from>
                  <to>
                    <xdr:col>9</xdr:col>
                    <xdr:colOff>561975</xdr:colOff>
                    <xdr:row>11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9" r:id="rId10" name="Check Box 23">
              <controlPr defaultSize="0" autoFill="0" autoLine="0" autoPict="0">
                <anchor moveWithCells="1">
                  <from>
                    <xdr:col>9</xdr:col>
                    <xdr:colOff>219075</xdr:colOff>
                    <xdr:row>12</xdr:row>
                    <xdr:rowOff>9525</xdr:rowOff>
                  </from>
                  <to>
                    <xdr:col>9</xdr:col>
                    <xdr:colOff>561975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1" r:id="rId11" name="Check Box 25">
              <controlPr defaultSize="0" autoFill="0" autoLine="0" autoPict="0">
                <anchor moveWithCells="1">
                  <from>
                    <xdr:col>9</xdr:col>
                    <xdr:colOff>219075</xdr:colOff>
                    <xdr:row>13</xdr:row>
                    <xdr:rowOff>9525</xdr:rowOff>
                  </from>
                  <to>
                    <xdr:col>9</xdr:col>
                    <xdr:colOff>561975</xdr:colOff>
                    <xdr:row>14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2" r:id="rId12" name="Check Box 26">
              <controlPr defaultSize="0" autoFill="0" autoLine="0" autoPict="0">
                <anchor moveWithCells="1">
                  <from>
                    <xdr:col>9</xdr:col>
                    <xdr:colOff>219075</xdr:colOff>
                    <xdr:row>14</xdr:row>
                    <xdr:rowOff>9525</xdr:rowOff>
                  </from>
                  <to>
                    <xdr:col>9</xdr:col>
                    <xdr:colOff>561975</xdr:colOff>
                    <xdr:row>15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3" r:id="rId13" name="Check Box 27">
              <controlPr defaultSize="0" autoFill="0" autoLine="0" autoPict="0">
                <anchor moveWithCells="1">
                  <from>
                    <xdr:col>9</xdr:col>
                    <xdr:colOff>219075</xdr:colOff>
                    <xdr:row>15</xdr:row>
                    <xdr:rowOff>9525</xdr:rowOff>
                  </from>
                  <to>
                    <xdr:col>9</xdr:col>
                    <xdr:colOff>561975</xdr:colOff>
                    <xdr:row>16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8" r:id="rId14" name="Check Box 42">
              <controlPr defaultSize="0" autoFill="0" autoLine="0" autoPict="0">
                <anchor moveWithCells="1">
                  <from>
                    <xdr:col>10</xdr:col>
                    <xdr:colOff>133350</xdr:colOff>
                    <xdr:row>4</xdr:row>
                    <xdr:rowOff>0</xdr:rowOff>
                  </from>
                  <to>
                    <xdr:col>10</xdr:col>
                    <xdr:colOff>476250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1" r:id="rId15" name="Check Box 45">
              <controlPr defaultSize="0" autoFill="0" autoLine="0" autoPict="0">
                <anchor moveWithCells="1">
                  <from>
                    <xdr:col>10</xdr:col>
                    <xdr:colOff>133350</xdr:colOff>
                    <xdr:row>5</xdr:row>
                    <xdr:rowOff>0</xdr:rowOff>
                  </from>
                  <to>
                    <xdr:col>10</xdr:col>
                    <xdr:colOff>476250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2" r:id="rId16" name="Check Box 46">
              <controlPr defaultSize="0" autoFill="0" autoLine="0" autoPict="0">
                <anchor moveWithCells="1">
                  <from>
                    <xdr:col>10</xdr:col>
                    <xdr:colOff>133350</xdr:colOff>
                    <xdr:row>6</xdr:row>
                    <xdr:rowOff>0</xdr:rowOff>
                  </from>
                  <to>
                    <xdr:col>10</xdr:col>
                    <xdr:colOff>476250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3" r:id="rId17" name="Check Box 47">
              <controlPr defaultSize="0" autoFill="0" autoLine="0" autoPict="0">
                <anchor moveWithCells="1">
                  <from>
                    <xdr:col>10</xdr:col>
                    <xdr:colOff>133350</xdr:colOff>
                    <xdr:row>7</xdr:row>
                    <xdr:rowOff>0</xdr:rowOff>
                  </from>
                  <to>
                    <xdr:col>10</xdr:col>
                    <xdr:colOff>476250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9" r:id="rId18" name="Check Box 53">
              <controlPr defaultSize="0" autoFill="0" autoLine="0" autoPict="0">
                <anchor moveWithCells="1">
                  <from>
                    <xdr:col>10</xdr:col>
                    <xdr:colOff>133350</xdr:colOff>
                    <xdr:row>9</xdr:row>
                    <xdr:rowOff>0</xdr:rowOff>
                  </from>
                  <to>
                    <xdr:col>10</xdr:col>
                    <xdr:colOff>476250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2" r:id="rId19" name="Check Box 56">
              <controlPr defaultSize="0" autoFill="0" autoLine="0" autoPict="0">
                <anchor moveWithCells="1">
                  <from>
                    <xdr:col>10</xdr:col>
                    <xdr:colOff>133350</xdr:colOff>
                    <xdr:row>10</xdr:row>
                    <xdr:rowOff>0</xdr:rowOff>
                  </from>
                  <to>
                    <xdr:col>10</xdr:col>
                    <xdr:colOff>476250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3" r:id="rId20" name="Check Box 57">
              <controlPr defaultSize="0" autoFill="0" autoLine="0" autoPict="0">
                <anchor moveWithCells="1">
                  <from>
                    <xdr:col>10</xdr:col>
                    <xdr:colOff>133350</xdr:colOff>
                    <xdr:row>12</xdr:row>
                    <xdr:rowOff>0</xdr:rowOff>
                  </from>
                  <to>
                    <xdr:col>10</xdr:col>
                    <xdr:colOff>476250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5" r:id="rId21" name="Check Box 59">
              <controlPr defaultSize="0" autoFill="0" autoLine="0" autoPict="0">
                <anchor moveWithCells="1">
                  <from>
                    <xdr:col>10</xdr:col>
                    <xdr:colOff>133350</xdr:colOff>
                    <xdr:row>13</xdr:row>
                    <xdr:rowOff>0</xdr:rowOff>
                  </from>
                  <to>
                    <xdr:col>10</xdr:col>
                    <xdr:colOff>476250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6" r:id="rId22" name="Check Box 60">
              <controlPr defaultSize="0" autoFill="0" autoLine="0" autoPict="0">
                <anchor moveWithCells="1">
                  <from>
                    <xdr:col>10</xdr:col>
                    <xdr:colOff>133350</xdr:colOff>
                    <xdr:row>14</xdr:row>
                    <xdr:rowOff>0</xdr:rowOff>
                  </from>
                  <to>
                    <xdr:col>10</xdr:col>
                    <xdr:colOff>476250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7" r:id="rId23" name="Check Box 61">
              <controlPr defaultSize="0" autoFill="0" autoLine="0" autoPict="0">
                <anchor moveWithCells="1">
                  <from>
                    <xdr:col>10</xdr:col>
                    <xdr:colOff>133350</xdr:colOff>
                    <xdr:row>15</xdr:row>
                    <xdr:rowOff>0</xdr:rowOff>
                  </from>
                  <to>
                    <xdr:col>10</xdr:col>
                    <xdr:colOff>476250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8" r:id="rId24" name="Check Box 62">
              <controlPr defaultSize="0" autoFill="0" autoLine="0" autoPict="0">
                <anchor moveWithCells="1">
                  <from>
                    <xdr:col>9</xdr:col>
                    <xdr:colOff>219075</xdr:colOff>
                    <xdr:row>17</xdr:row>
                    <xdr:rowOff>9525</xdr:rowOff>
                  </from>
                  <to>
                    <xdr:col>9</xdr:col>
                    <xdr:colOff>561975</xdr:colOff>
                    <xdr:row>18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9" r:id="rId25" name="Check Box 63">
              <controlPr defaultSize="0" autoFill="0" autoLine="0" autoPict="0">
                <anchor moveWithCells="1">
                  <from>
                    <xdr:col>9</xdr:col>
                    <xdr:colOff>219075</xdr:colOff>
                    <xdr:row>18</xdr:row>
                    <xdr:rowOff>9525</xdr:rowOff>
                  </from>
                  <to>
                    <xdr:col>9</xdr:col>
                    <xdr:colOff>561975</xdr:colOff>
                    <xdr:row>19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0" r:id="rId26" name="Check Box 64">
              <controlPr defaultSize="0" autoFill="0" autoLine="0" autoPict="0">
                <anchor moveWithCells="1">
                  <from>
                    <xdr:col>9</xdr:col>
                    <xdr:colOff>219075</xdr:colOff>
                    <xdr:row>19</xdr:row>
                    <xdr:rowOff>9525</xdr:rowOff>
                  </from>
                  <to>
                    <xdr:col>9</xdr:col>
                    <xdr:colOff>561975</xdr:colOff>
                    <xdr:row>20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1" r:id="rId27" name="Check Box 65">
              <controlPr defaultSize="0" autoFill="0" autoLine="0" autoPict="0">
                <anchor moveWithCells="1">
                  <from>
                    <xdr:col>9</xdr:col>
                    <xdr:colOff>219075</xdr:colOff>
                    <xdr:row>20</xdr:row>
                    <xdr:rowOff>9525</xdr:rowOff>
                  </from>
                  <to>
                    <xdr:col>9</xdr:col>
                    <xdr:colOff>561975</xdr:colOff>
                    <xdr:row>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2" r:id="rId28" name="Check Box 66">
              <controlPr defaultSize="0" autoFill="0" autoLine="0" autoPict="0">
                <anchor moveWithCells="1">
                  <from>
                    <xdr:col>9</xdr:col>
                    <xdr:colOff>219075</xdr:colOff>
                    <xdr:row>21</xdr:row>
                    <xdr:rowOff>9525</xdr:rowOff>
                  </from>
                  <to>
                    <xdr:col>9</xdr:col>
                    <xdr:colOff>561975</xdr:colOff>
                    <xdr:row>22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3" r:id="rId29" name="Check Box 67">
              <controlPr defaultSize="0" autoFill="0" autoLine="0" autoPict="0">
                <anchor moveWithCells="1">
                  <from>
                    <xdr:col>10</xdr:col>
                    <xdr:colOff>133350</xdr:colOff>
                    <xdr:row>17</xdr:row>
                    <xdr:rowOff>0</xdr:rowOff>
                  </from>
                  <to>
                    <xdr:col>10</xdr:col>
                    <xdr:colOff>476250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4" r:id="rId30" name="Check Box 68">
              <controlPr defaultSize="0" autoFill="0" autoLine="0" autoPict="0">
                <anchor moveWithCells="1">
                  <from>
                    <xdr:col>10</xdr:col>
                    <xdr:colOff>133350</xdr:colOff>
                    <xdr:row>18</xdr:row>
                    <xdr:rowOff>0</xdr:rowOff>
                  </from>
                  <to>
                    <xdr:col>10</xdr:col>
                    <xdr:colOff>476250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5" r:id="rId31" name="Check Box 69">
              <controlPr defaultSize="0" autoFill="0" autoLine="0" autoPict="0">
                <anchor moveWithCells="1">
                  <from>
                    <xdr:col>10</xdr:col>
                    <xdr:colOff>133350</xdr:colOff>
                    <xdr:row>19</xdr:row>
                    <xdr:rowOff>0</xdr:rowOff>
                  </from>
                  <to>
                    <xdr:col>10</xdr:col>
                    <xdr:colOff>476250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6" r:id="rId32" name="Check Box 70">
              <controlPr defaultSize="0" autoFill="0" autoLine="0" autoPict="0">
                <anchor moveWithCells="1">
                  <from>
                    <xdr:col>10</xdr:col>
                    <xdr:colOff>133350</xdr:colOff>
                    <xdr:row>20</xdr:row>
                    <xdr:rowOff>0</xdr:rowOff>
                  </from>
                  <to>
                    <xdr:col>10</xdr:col>
                    <xdr:colOff>476250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7" r:id="rId33" name="Check Box 71">
              <controlPr defaultSize="0" autoFill="0" autoLine="0" autoPict="0">
                <anchor moveWithCells="1">
                  <from>
                    <xdr:col>10</xdr:col>
                    <xdr:colOff>133350</xdr:colOff>
                    <xdr:row>21</xdr:row>
                    <xdr:rowOff>0</xdr:rowOff>
                  </from>
                  <to>
                    <xdr:col>10</xdr:col>
                    <xdr:colOff>476250</xdr:colOff>
                    <xdr:row>22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38A41-084F-414D-A2CE-600056A6BF47}">
  <sheetPr>
    <pageSetUpPr fitToPage="1"/>
  </sheetPr>
  <dimension ref="A1:BA190"/>
  <sheetViews>
    <sheetView showGridLines="0" topLeftCell="B1" zoomScale="85" zoomScaleNormal="85" zoomScaleSheetLayoutView="55" workbookViewId="0">
      <pane ySplit="3" topLeftCell="A20" activePane="bottomLeft" state="frozen"/>
      <selection activeCell="E166" sqref="E166"/>
      <selection pane="bottomLeft" activeCell="AR37" sqref="AR37"/>
    </sheetView>
  </sheetViews>
  <sheetFormatPr defaultColWidth="8" defaultRowHeight="17.45" customHeight="1" outlineLevelRow="1" outlineLevelCol="1"/>
  <cols>
    <col min="1" max="1" width="10.25" style="838" hidden="1" customWidth="1"/>
    <col min="2" max="2" width="1.75" style="57" customWidth="1"/>
    <col min="3" max="3" width="11.625" style="57" customWidth="1"/>
    <col min="4" max="4" width="19.125" style="57" customWidth="1"/>
    <col min="5" max="5" width="10.875" style="238" customWidth="1"/>
    <col min="6" max="6" width="10.125" style="238" customWidth="1"/>
    <col min="7" max="7" width="10.375" style="238" customWidth="1"/>
    <col min="8" max="8" width="10.125" style="238" customWidth="1"/>
    <col min="9" max="9" width="10.375" style="238" hidden="1" customWidth="1" outlineLevel="1" collapsed="1"/>
    <col min="10" max="10" width="10.125" style="238" customWidth="1" collapsed="1"/>
    <col min="11" max="11" width="10" style="238" customWidth="1"/>
    <col min="12" max="12" width="10" style="239" bestFit="1" customWidth="1"/>
    <col min="13" max="16" width="9.125" style="239" hidden="1" customWidth="1" outlineLevel="1"/>
    <col min="17" max="17" width="9.875" style="239" hidden="1" customWidth="1" outlineLevel="1"/>
    <col min="18" max="18" width="8.25" style="239" customWidth="1" collapsed="1"/>
    <col min="19" max="19" width="10" style="240" customWidth="1"/>
    <col min="20" max="20" width="9.25" style="240" customWidth="1"/>
    <col min="21" max="21" width="10" style="240" customWidth="1"/>
    <col min="22" max="22" width="8.25" style="241" customWidth="1"/>
    <col min="23" max="23" width="9.5" style="88" customWidth="1"/>
    <col min="24" max="25" width="8.375" style="242" customWidth="1"/>
    <col min="26" max="26" width="8.375" style="57" customWidth="1"/>
    <col min="27" max="27" width="8.375" style="243" customWidth="1"/>
    <col min="28" max="28" width="8.5" style="243" hidden="1" customWidth="1" outlineLevel="1"/>
    <col min="29" max="29" width="9" style="243" hidden="1" customWidth="1" outlineLevel="1"/>
    <col min="30" max="30" width="9.375" style="243" hidden="1" customWidth="1" outlineLevel="1"/>
    <col min="31" max="31" width="9.125" style="243" hidden="1" customWidth="1" outlineLevel="1"/>
    <col min="32" max="32" width="8.125" style="243" hidden="1" customWidth="1" outlineLevel="1"/>
    <col min="33" max="34" width="10.375" style="243" hidden="1" customWidth="1" outlineLevel="1"/>
    <col min="35" max="35" width="8.25" style="243" hidden="1" customWidth="1" outlineLevel="1"/>
    <col min="36" max="37" width="10.375" style="243" hidden="1" customWidth="1" outlineLevel="1"/>
    <col min="38" max="38" width="8.125" style="243" hidden="1" customWidth="1" outlineLevel="1"/>
    <col min="39" max="39" width="10.375" style="241" hidden="1" customWidth="1" outlineLevel="1"/>
    <col min="40" max="40" width="8.375" style="241" customWidth="1" collapsed="1"/>
    <col min="41" max="41" width="8.375" style="241" customWidth="1"/>
    <col min="42" max="43" width="8.375" style="88" customWidth="1"/>
    <col min="44" max="44" width="43.625" style="240" customWidth="1"/>
    <col min="45" max="45" width="3.625" style="57" customWidth="1"/>
    <col min="46" max="46" width="9.125" style="57" customWidth="1"/>
    <col min="47" max="48" width="8" style="57" customWidth="1"/>
    <col min="49" max="52" width="10.625" style="57" customWidth="1"/>
    <col min="53" max="54" width="8" style="57" customWidth="1"/>
    <col min="55" max="58" width="3.625" style="57" customWidth="1"/>
    <col min="59" max="16384" width="8" style="57"/>
  </cols>
  <sheetData>
    <row r="1" spans="1:53" ht="15" customHeight="1" thickBot="1"/>
    <row r="2" spans="1:53" ht="30" customHeight="1">
      <c r="C2" s="1123" t="s">
        <v>408</v>
      </c>
      <c r="D2" s="1124"/>
      <c r="E2" s="1124"/>
      <c r="F2" s="1124"/>
      <c r="G2" s="1124"/>
      <c r="H2" s="1124"/>
      <c r="I2" s="1124"/>
      <c r="J2" s="1124"/>
      <c r="K2" s="1124"/>
      <c r="L2" s="1124"/>
      <c r="M2" s="1124"/>
      <c r="N2" s="1124"/>
      <c r="O2" s="1124"/>
      <c r="P2" s="1124"/>
      <c r="Q2" s="1124"/>
      <c r="R2" s="1124"/>
      <c r="S2" s="1124"/>
      <c r="T2" s="1124"/>
      <c r="U2" s="1124"/>
      <c r="V2" s="1124"/>
      <c r="W2" s="1124"/>
      <c r="X2" s="1124"/>
      <c r="Y2" s="1124"/>
      <c r="Z2" s="1124"/>
      <c r="AA2" s="1124"/>
      <c r="AB2" s="1124"/>
      <c r="AC2" s="1124"/>
      <c r="AD2" s="1124"/>
      <c r="AE2" s="1124"/>
      <c r="AF2" s="1124"/>
      <c r="AG2" s="1124"/>
      <c r="AH2" s="1124"/>
      <c r="AI2" s="1124"/>
      <c r="AJ2" s="1124"/>
      <c r="AK2" s="1124"/>
      <c r="AL2" s="1124"/>
      <c r="AM2" s="1124"/>
      <c r="AN2" s="1124"/>
      <c r="AO2" s="1124"/>
      <c r="AP2" s="1124"/>
      <c r="AQ2" s="1124"/>
      <c r="AR2" s="1125"/>
    </row>
    <row r="3" spans="1:53" s="244" customFormat="1" ht="30" customHeight="1" thickBot="1">
      <c r="A3" s="839" t="s">
        <v>24</v>
      </c>
      <c r="C3" s="48" t="s">
        <v>0</v>
      </c>
      <c r="D3" s="49" t="s">
        <v>1</v>
      </c>
      <c r="E3" s="50" t="s">
        <v>136</v>
      </c>
      <c r="F3" s="50" t="s">
        <v>135</v>
      </c>
      <c r="G3" s="50" t="s">
        <v>133</v>
      </c>
      <c r="H3" s="50" t="s">
        <v>24</v>
      </c>
      <c r="I3" s="50" t="s">
        <v>134</v>
      </c>
      <c r="J3" s="51" t="s">
        <v>5</v>
      </c>
      <c r="K3" s="51" t="s">
        <v>757</v>
      </c>
      <c r="L3" s="52" t="s">
        <v>26</v>
      </c>
      <c r="M3" s="52" t="s">
        <v>34</v>
      </c>
      <c r="N3" s="52" t="s">
        <v>33</v>
      </c>
      <c r="O3" s="52" t="s">
        <v>32</v>
      </c>
      <c r="P3" s="52" t="s">
        <v>756</v>
      </c>
      <c r="Q3" s="52" t="s">
        <v>48</v>
      </c>
      <c r="R3" s="52" t="s">
        <v>211</v>
      </c>
      <c r="S3" s="53" t="s">
        <v>21</v>
      </c>
      <c r="T3" s="53" t="s">
        <v>22</v>
      </c>
      <c r="U3" s="53" t="s">
        <v>23</v>
      </c>
      <c r="V3" s="53" t="s">
        <v>8</v>
      </c>
      <c r="W3" s="49" t="s">
        <v>9</v>
      </c>
      <c r="X3" s="54" t="s">
        <v>10</v>
      </c>
      <c r="Y3" s="54" t="s">
        <v>11</v>
      </c>
      <c r="Z3" s="49" t="s">
        <v>12</v>
      </c>
      <c r="AA3" s="55" t="s">
        <v>13</v>
      </c>
      <c r="AB3" s="55" t="s">
        <v>39</v>
      </c>
      <c r="AC3" s="55" t="s">
        <v>47</v>
      </c>
      <c r="AD3" s="55" t="s">
        <v>40</v>
      </c>
      <c r="AE3" s="55" t="s">
        <v>49</v>
      </c>
      <c r="AF3" s="55" t="s">
        <v>41</v>
      </c>
      <c r="AG3" s="55" t="s">
        <v>42</v>
      </c>
      <c r="AH3" s="55" t="s">
        <v>43</v>
      </c>
      <c r="AI3" s="55" t="s">
        <v>50</v>
      </c>
      <c r="AJ3" s="55" t="s">
        <v>44</v>
      </c>
      <c r="AK3" s="55" t="s">
        <v>45</v>
      </c>
      <c r="AL3" s="55" t="s">
        <v>46</v>
      </c>
      <c r="AM3" s="53" t="s">
        <v>566</v>
      </c>
      <c r="AN3" s="210" t="s">
        <v>143</v>
      </c>
      <c r="AO3" s="210" t="s">
        <v>144</v>
      </c>
      <c r="AP3" s="49" t="s">
        <v>17</v>
      </c>
      <c r="AQ3" s="446" t="s">
        <v>229</v>
      </c>
      <c r="AR3" s="56" t="s">
        <v>14</v>
      </c>
      <c r="AW3" s="245"/>
      <c r="AX3" s="245"/>
      <c r="AY3" s="119" t="s">
        <v>69</v>
      </c>
      <c r="AZ3" s="119" t="s">
        <v>70</v>
      </c>
    </row>
    <row r="4" spans="1:53" ht="24.95" hidden="1" customHeight="1" thickBot="1">
      <c r="C4" s="246" t="s">
        <v>818</v>
      </c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8"/>
      <c r="AU4" s="239"/>
      <c r="AW4" s="120"/>
      <c r="AX4" s="120"/>
      <c r="AY4" s="121"/>
      <c r="AZ4" s="121"/>
    </row>
    <row r="5" spans="1:53" ht="24.75" hidden="1" customHeight="1" thickBot="1">
      <c r="C5" s="725" t="s">
        <v>182</v>
      </c>
      <c r="D5" s="724" t="s">
        <v>789</v>
      </c>
      <c r="E5" s="726">
        <v>45996</v>
      </c>
      <c r="F5" s="866">
        <v>46000.087500000001</v>
      </c>
      <c r="G5" s="866">
        <v>46000.125</v>
      </c>
      <c r="H5" s="866">
        <v>46000.663194444445</v>
      </c>
      <c r="I5" s="866">
        <v>46000.701388888891</v>
      </c>
      <c r="J5" s="727">
        <f>IFERROR(F5-E5," ")</f>
        <v>4.0875000000014552</v>
      </c>
      <c r="K5" s="728">
        <f>H5-G5</f>
        <v>0.53819444444525288</v>
      </c>
      <c r="L5" s="729">
        <v>17160</v>
      </c>
      <c r="M5" s="855"/>
      <c r="N5" s="855">
        <v>17180</v>
      </c>
      <c r="O5" s="855">
        <f>+M5+N5</f>
        <v>17180</v>
      </c>
      <c r="P5" s="855"/>
      <c r="Q5" s="856"/>
      <c r="R5" s="729" t="s">
        <v>278</v>
      </c>
      <c r="S5" s="722" t="s">
        <v>183</v>
      </c>
      <c r="T5" s="722" t="s">
        <v>354</v>
      </c>
      <c r="U5" s="722" t="s">
        <v>228</v>
      </c>
      <c r="V5" s="722" t="s">
        <v>181</v>
      </c>
      <c r="W5" s="722" t="s">
        <v>184</v>
      </c>
      <c r="X5" s="790">
        <v>75395</v>
      </c>
      <c r="Y5" s="735">
        <v>39643</v>
      </c>
      <c r="Z5" s="872">
        <v>224.95</v>
      </c>
      <c r="AA5" s="872">
        <v>13.84</v>
      </c>
      <c r="AB5" s="723"/>
      <c r="AC5" s="723"/>
      <c r="AD5" s="723"/>
      <c r="AE5" s="723"/>
      <c r="AF5" s="723"/>
      <c r="AG5" s="723"/>
      <c r="AH5" s="723"/>
      <c r="AI5" s="723"/>
      <c r="AJ5" s="723"/>
      <c r="AK5" s="723"/>
      <c r="AL5" s="723"/>
      <c r="AM5" s="722"/>
      <c r="AN5" s="722" t="s">
        <v>802</v>
      </c>
      <c r="AO5" s="722" t="s">
        <v>796</v>
      </c>
      <c r="AP5" s="724"/>
      <c r="AQ5" s="724"/>
      <c r="AR5" s="754"/>
      <c r="AT5" s="82" t="str">
        <f t="shared" ref="AT5:AT6" si="0">C5</f>
        <v>OCI SE</v>
      </c>
      <c r="AU5" s="311"/>
      <c r="AV5" s="82"/>
      <c r="AW5" s="218"/>
      <c r="AX5" s="218"/>
      <c r="AY5" s="219"/>
      <c r="AZ5" s="219"/>
      <c r="BA5" s="136"/>
    </row>
    <row r="6" spans="1:53" ht="24.75" hidden="1" customHeight="1">
      <c r="C6" s="725" t="s">
        <v>185</v>
      </c>
      <c r="D6" s="724" t="s">
        <v>787</v>
      </c>
      <c r="E6" s="726">
        <v>45997</v>
      </c>
      <c r="F6" s="866">
        <v>46000.804166666669</v>
      </c>
      <c r="G6" s="866">
        <v>46000.861111111109</v>
      </c>
      <c r="H6" s="866">
        <v>46003.5</v>
      </c>
      <c r="I6" s="866">
        <v>46003.586805555555</v>
      </c>
      <c r="J6" s="727">
        <f>IFERROR(F6-E6," ")</f>
        <v>3.8041666666686069</v>
      </c>
      <c r="K6" s="728">
        <f>H6-G6</f>
        <v>2.6388888888905058</v>
      </c>
      <c r="L6" s="729">
        <v>77000</v>
      </c>
      <c r="M6" s="855"/>
      <c r="N6" s="855">
        <v>77000</v>
      </c>
      <c r="O6" s="855">
        <f t="shared" ref="O6:O9" si="1">+M6+N6</f>
        <v>77000</v>
      </c>
      <c r="P6" s="855"/>
      <c r="Q6" s="856"/>
      <c r="R6" s="729" t="s">
        <v>278</v>
      </c>
      <c r="S6" s="722" t="s">
        <v>183</v>
      </c>
      <c r="T6" s="883" t="s">
        <v>766</v>
      </c>
      <c r="U6" s="883" t="s">
        <v>779</v>
      </c>
      <c r="V6" s="722" t="s">
        <v>181</v>
      </c>
      <c r="W6" s="722" t="s">
        <v>184</v>
      </c>
      <c r="X6" s="883">
        <v>79454</v>
      </c>
      <c r="Y6" s="883">
        <v>43498</v>
      </c>
      <c r="Z6" s="883">
        <v>229</v>
      </c>
      <c r="AA6" s="893">
        <v>14.62</v>
      </c>
      <c r="AB6" s="857"/>
      <c r="AC6" s="857"/>
      <c r="AD6" s="857"/>
      <c r="AE6" s="857"/>
      <c r="AF6" s="857"/>
      <c r="AG6" s="857"/>
      <c r="AH6" s="857"/>
      <c r="AI6" s="857"/>
      <c r="AJ6" s="857"/>
      <c r="AK6" s="857"/>
      <c r="AL6" s="857"/>
      <c r="AM6" s="868"/>
      <c r="AN6" s="883" t="s">
        <v>411</v>
      </c>
      <c r="AO6" s="883" t="s">
        <v>801</v>
      </c>
      <c r="AP6" s="724"/>
      <c r="AQ6" s="724"/>
      <c r="AR6" s="754"/>
      <c r="AT6" s="82" t="str">
        <f t="shared" si="0"/>
        <v>남동발전</v>
      </c>
      <c r="AU6" s="311">
        <f t="shared" ref="AU6" si="2">L6</f>
        <v>77000</v>
      </c>
      <c r="AV6" s="82"/>
      <c r="AW6" s="218">
        <f t="shared" ref="AW6:AX6" si="3">IF(M6=0,0,1)</f>
        <v>0</v>
      </c>
      <c r="AX6" s="218">
        <f t="shared" si="3"/>
        <v>1</v>
      </c>
      <c r="AY6" s="219">
        <f>IF(AW6+AX6=2,0.5,AW6)</f>
        <v>0</v>
      </c>
      <c r="AZ6" s="219">
        <f>IF(AW6+AX6=2,0.5,AX6)</f>
        <v>1</v>
      </c>
      <c r="BA6" s="136">
        <f>AY6+AZ6</f>
        <v>1</v>
      </c>
    </row>
    <row r="7" spans="1:53" ht="24.75" hidden="1" customHeight="1">
      <c r="C7" s="725" t="s">
        <v>194</v>
      </c>
      <c r="D7" s="724" t="s">
        <v>793</v>
      </c>
      <c r="E7" s="726">
        <v>46005.583333333336</v>
      </c>
      <c r="F7" s="866">
        <v>46012.709027777775</v>
      </c>
      <c r="G7" s="866">
        <v>46012.868055555555</v>
      </c>
      <c r="H7" s="866">
        <v>46016.388888888891</v>
      </c>
      <c r="I7" s="866">
        <v>46016.4375</v>
      </c>
      <c r="J7" s="727">
        <f>IFERROR(F7-E7," ")</f>
        <v>7.1256944444394321</v>
      </c>
      <c r="K7" s="728">
        <f>H7-G7</f>
        <v>3.5208333333357587</v>
      </c>
      <c r="L7" s="729">
        <v>72700</v>
      </c>
      <c r="M7" s="855"/>
      <c r="N7" s="855">
        <v>72706</v>
      </c>
      <c r="O7" s="855">
        <f t="shared" si="1"/>
        <v>72706</v>
      </c>
      <c r="P7" s="855"/>
      <c r="Q7" s="856"/>
      <c r="R7" s="729" t="s">
        <v>278</v>
      </c>
      <c r="S7" s="722" t="s">
        <v>183</v>
      </c>
      <c r="T7" s="722" t="s">
        <v>791</v>
      </c>
      <c r="U7" s="722" t="s">
        <v>228</v>
      </c>
      <c r="V7" s="722" t="s">
        <v>781</v>
      </c>
      <c r="W7" s="722" t="s">
        <v>184</v>
      </c>
      <c r="X7" s="883">
        <v>75804</v>
      </c>
      <c r="Y7" s="883">
        <v>38871</v>
      </c>
      <c r="Z7" s="883">
        <v>225</v>
      </c>
      <c r="AA7" s="893">
        <v>13.99</v>
      </c>
      <c r="AB7" s="723"/>
      <c r="AC7" s="723"/>
      <c r="AD7" s="723"/>
      <c r="AE7" s="723"/>
      <c r="AF7" s="723"/>
      <c r="AG7" s="723"/>
      <c r="AH7" s="723"/>
      <c r="AI7" s="723"/>
      <c r="AJ7" s="723"/>
      <c r="AK7" s="723"/>
      <c r="AL7" s="723"/>
      <c r="AM7" s="722"/>
      <c r="AN7" s="883" t="s">
        <v>797</v>
      </c>
      <c r="AO7" s="883" t="s">
        <v>798</v>
      </c>
      <c r="AP7" s="724"/>
      <c r="AQ7" s="724"/>
      <c r="AR7" s="754"/>
      <c r="AT7" s="82" t="str">
        <f>C7</f>
        <v>SGC에너지</v>
      </c>
      <c r="AU7" s="311"/>
      <c r="AV7" s="82"/>
      <c r="AW7" s="218"/>
      <c r="AX7" s="218"/>
      <c r="AY7" s="219"/>
      <c r="AZ7" s="219"/>
      <c r="BA7" s="136"/>
    </row>
    <row r="8" spans="1:53" ht="24.75" hidden="1" customHeight="1" thickBot="1">
      <c r="C8" s="725" t="s">
        <v>777</v>
      </c>
      <c r="D8" s="724" t="s">
        <v>805</v>
      </c>
      <c r="E8" s="726">
        <v>46006.120833333334</v>
      </c>
      <c r="F8" s="866">
        <v>46016.508333333331</v>
      </c>
      <c r="G8" s="866">
        <v>46016.565972222219</v>
      </c>
      <c r="H8" s="866">
        <v>46020.09375</v>
      </c>
      <c r="I8" s="866">
        <v>46020.138888888891</v>
      </c>
      <c r="J8" s="727">
        <f>IFERROR(F8-E8," ")</f>
        <v>10.38749999999709</v>
      </c>
      <c r="K8" s="728">
        <f>H8-G8</f>
        <v>3.5277777777810115</v>
      </c>
      <c r="L8" s="729">
        <v>55000</v>
      </c>
      <c r="M8" s="855"/>
      <c r="N8" s="855">
        <v>55003</v>
      </c>
      <c r="O8" s="855">
        <f t="shared" si="1"/>
        <v>55003</v>
      </c>
      <c r="P8" s="855"/>
      <c r="Q8" s="856"/>
      <c r="R8" s="729" t="s">
        <v>278</v>
      </c>
      <c r="S8" s="722" t="s">
        <v>475</v>
      </c>
      <c r="T8" s="722" t="s">
        <v>786</v>
      </c>
      <c r="U8" s="722" t="s">
        <v>810</v>
      </c>
      <c r="V8" s="722" t="s">
        <v>181</v>
      </c>
      <c r="W8" s="722" t="s">
        <v>184</v>
      </c>
      <c r="X8" s="790" t="s">
        <v>219</v>
      </c>
      <c r="Y8" s="790" t="s">
        <v>219</v>
      </c>
      <c r="Z8" s="790" t="s">
        <v>219</v>
      </c>
      <c r="AA8" s="886" t="s">
        <v>219</v>
      </c>
      <c r="AB8" s="723"/>
      <c r="AC8" s="723"/>
      <c r="AD8" s="723"/>
      <c r="AE8" s="723"/>
      <c r="AF8" s="723"/>
      <c r="AG8" s="723"/>
      <c r="AH8" s="723"/>
      <c r="AI8" s="723"/>
      <c r="AJ8" s="723"/>
      <c r="AK8" s="723"/>
      <c r="AL8" s="723"/>
      <c r="AM8" s="722"/>
      <c r="AN8" s="790" t="s">
        <v>219</v>
      </c>
      <c r="AO8" s="790" t="s">
        <v>219</v>
      </c>
      <c r="AP8" s="724"/>
      <c r="AQ8" s="724"/>
      <c r="AR8" s="754" t="s">
        <v>811</v>
      </c>
      <c r="AT8" s="82" t="str">
        <f>C8</f>
        <v>포스코</v>
      </c>
      <c r="AU8" s="311"/>
      <c r="AV8" s="82"/>
      <c r="AW8" s="218"/>
      <c r="AX8" s="218"/>
      <c r="AY8" s="219"/>
      <c r="AZ8" s="219"/>
      <c r="BA8" s="136"/>
    </row>
    <row r="9" spans="1:53" ht="24.75" hidden="1" customHeight="1">
      <c r="C9" s="725" t="s">
        <v>188</v>
      </c>
      <c r="D9" s="724" t="s">
        <v>788</v>
      </c>
      <c r="E9" s="726">
        <v>46008.712500000001</v>
      </c>
      <c r="F9" s="866">
        <v>46020.1875</v>
      </c>
      <c r="G9" s="866">
        <v>46020.243055555555</v>
      </c>
      <c r="H9" s="866">
        <v>46021.402777777781</v>
      </c>
      <c r="I9" s="866">
        <v>46021.458333333336</v>
      </c>
      <c r="J9" s="727">
        <f>IFERROR(F9-E9," ")</f>
        <v>11.474999999998545</v>
      </c>
      <c r="K9" s="728">
        <f>H9-G9</f>
        <v>1.1597222222262644</v>
      </c>
      <c r="L9" s="729">
        <v>20000</v>
      </c>
      <c r="M9" s="855"/>
      <c r="N9" s="855">
        <v>22000</v>
      </c>
      <c r="O9" s="855">
        <f t="shared" si="1"/>
        <v>22000</v>
      </c>
      <c r="P9" s="855"/>
      <c r="Q9" s="856"/>
      <c r="R9" s="729" t="s">
        <v>278</v>
      </c>
      <c r="S9" s="722" t="s">
        <v>183</v>
      </c>
      <c r="T9" s="722" t="s">
        <v>762</v>
      </c>
      <c r="U9" s="722" t="s">
        <v>792</v>
      </c>
      <c r="V9" s="722" t="s">
        <v>375</v>
      </c>
      <c r="W9" s="722" t="s">
        <v>193</v>
      </c>
      <c r="X9" s="790">
        <v>28282</v>
      </c>
      <c r="Y9" s="735">
        <v>17025</v>
      </c>
      <c r="Z9" s="872">
        <v>169.37</v>
      </c>
      <c r="AA9" s="872">
        <v>9.8190000000000008</v>
      </c>
      <c r="AB9" s="857"/>
      <c r="AC9" s="857"/>
      <c r="AD9" s="857"/>
      <c r="AE9" s="857"/>
      <c r="AF9" s="857"/>
      <c r="AG9" s="857"/>
      <c r="AH9" s="857"/>
      <c r="AI9" s="857"/>
      <c r="AJ9" s="857"/>
      <c r="AK9" s="857"/>
      <c r="AL9" s="857"/>
      <c r="AM9" s="868"/>
      <c r="AN9" s="722" t="s">
        <v>799</v>
      </c>
      <c r="AO9" s="722" t="s">
        <v>800</v>
      </c>
      <c r="AP9" s="724"/>
      <c r="AQ9" s="724"/>
      <c r="AR9" s="754"/>
      <c r="AT9" s="82" t="str">
        <f>C9</f>
        <v>SNNC</v>
      </c>
      <c r="AU9" s="311">
        <f>L9</f>
        <v>20000</v>
      </c>
      <c r="AV9" s="82"/>
      <c r="AW9" s="218">
        <f>IF(M9=0,0,1)</f>
        <v>0</v>
      </c>
      <c r="AX9" s="218">
        <f>IF(N9=0,0,1)</f>
        <v>1</v>
      </c>
      <c r="AY9" s="219">
        <f>IF(AW9+AX9=2,0.5,AW9)</f>
        <v>0</v>
      </c>
      <c r="AZ9" s="219">
        <f>IF(AW9+AX9=2,0.5,AX9)</f>
        <v>1</v>
      </c>
      <c r="BA9" s="136">
        <f>AY9+AZ9</f>
        <v>1</v>
      </c>
    </row>
    <row r="10" spans="1:53" s="82" customFormat="1" ht="14.25" hidden="1" thickBot="1">
      <c r="A10" s="840"/>
      <c r="C10" s="479"/>
      <c r="D10" s="480"/>
      <c r="E10" s="481"/>
      <c r="F10" s="481"/>
      <c r="G10" s="481"/>
      <c r="H10" s="481"/>
      <c r="I10" s="481"/>
      <c r="J10" s="482">
        <f>IFERROR(AVERAGE(J5:J9),0)</f>
        <v>7.3759722222210256</v>
      </c>
      <c r="K10" s="482">
        <f>IFERROR(AVERAGE(K5:K9),0)</f>
        <v>2.2770833333357587</v>
      </c>
      <c r="L10" s="483">
        <f>SUM(L5:L9)</f>
        <v>241860</v>
      </c>
      <c r="M10" s="484">
        <f>SUM(M5:M9)</f>
        <v>0</v>
      </c>
      <c r="N10" s="484">
        <f>SUM(N5:N9)</f>
        <v>243889</v>
      </c>
      <c r="O10" s="483">
        <f>SUM(O5:O9)</f>
        <v>243889</v>
      </c>
      <c r="P10" s="483"/>
      <c r="Q10" s="483"/>
      <c r="R10" s="485"/>
      <c r="S10" s="480"/>
      <c r="T10" s="480"/>
      <c r="U10" s="486"/>
      <c r="V10" s="487"/>
      <c r="W10" s="486"/>
      <c r="X10" s="488"/>
      <c r="Y10" s="488"/>
      <c r="Z10" s="489"/>
      <c r="AA10" s="490"/>
      <c r="AB10" s="490"/>
      <c r="AC10" s="490"/>
      <c r="AD10" s="490"/>
      <c r="AE10" s="490"/>
      <c r="AF10" s="490"/>
      <c r="AG10" s="490"/>
      <c r="AH10" s="490"/>
      <c r="AI10" s="490"/>
      <c r="AJ10" s="490"/>
      <c r="AK10" s="490"/>
      <c r="AL10" s="490"/>
      <c r="AM10" s="491"/>
      <c r="AN10" s="491"/>
      <c r="AO10" s="491"/>
      <c r="AP10" s="487"/>
      <c r="AQ10" s="487"/>
      <c r="AR10" s="492"/>
      <c r="AT10" s="82">
        <f t="shared" ref="AT10:AT48" si="4">C10</f>
        <v>0</v>
      </c>
      <c r="AU10" s="311">
        <f t="shared" ref="AU10:AU19" si="5">L10</f>
        <v>241860</v>
      </c>
      <c r="AW10" s="218">
        <f t="shared" ref="AW10:AX31" si="6">IF(M10=0,0,1)</f>
        <v>0</v>
      </c>
      <c r="AX10" s="218">
        <f t="shared" si="6"/>
        <v>1</v>
      </c>
      <c r="AY10" s="219">
        <f t="shared" ref="AY10:AY69" si="7">IF(AW10+AX10=2,0.5,AW10)</f>
        <v>0</v>
      </c>
      <c r="AZ10" s="219">
        <f t="shared" ref="AZ10:AZ69" si="8">IF(AW10+AX10=2,0.5,AX10)</f>
        <v>1</v>
      </c>
      <c r="BA10" s="136">
        <f t="shared" ref="BA10:BA69" si="9">AY10+AZ10</f>
        <v>1</v>
      </c>
    </row>
    <row r="11" spans="1:53" s="82" customFormat="1" ht="24.95" customHeight="1" thickBot="1">
      <c r="A11" s="840"/>
      <c r="C11" s="644" t="s">
        <v>819</v>
      </c>
      <c r="D11" s="645"/>
      <c r="E11" s="645"/>
      <c r="F11" s="645"/>
      <c r="G11" s="645"/>
      <c r="H11" s="645"/>
      <c r="I11" s="645"/>
      <c r="J11" s="645"/>
      <c r="K11" s="645"/>
      <c r="L11" s="645"/>
      <c r="M11" s="645"/>
      <c r="N11" s="645"/>
      <c r="O11" s="645"/>
      <c r="P11" s="645"/>
      <c r="Q11" s="645"/>
      <c r="R11" s="645"/>
      <c r="S11" s="645"/>
      <c r="T11" s="645"/>
      <c r="U11" s="646"/>
      <c r="V11" s="645"/>
      <c r="W11" s="645"/>
      <c r="X11" s="645"/>
      <c r="Y11" s="645"/>
      <c r="Z11" s="647"/>
      <c r="AA11" s="645"/>
      <c r="AB11" s="645"/>
      <c r="AC11" s="645"/>
      <c r="AD11" s="645"/>
      <c r="AE11" s="645"/>
      <c r="AF11" s="645"/>
      <c r="AG11" s="645"/>
      <c r="AH11" s="645"/>
      <c r="AI11" s="645"/>
      <c r="AJ11" s="645"/>
      <c r="AK11" s="645"/>
      <c r="AL11" s="645"/>
      <c r="AM11" s="645"/>
      <c r="AN11" s="645"/>
      <c r="AO11" s="645"/>
      <c r="AP11" s="645"/>
      <c r="AQ11" s="645"/>
      <c r="AR11" s="648"/>
      <c r="AT11" s="82" t="str">
        <f t="shared" si="4"/>
        <v>2026년 1월 반입 선박리스트</v>
      </c>
      <c r="AU11" s="311">
        <f t="shared" si="5"/>
        <v>0</v>
      </c>
      <c r="AW11" s="218">
        <f t="shared" si="6"/>
        <v>0</v>
      </c>
      <c r="AX11" s="218">
        <f t="shared" si="6"/>
        <v>0</v>
      </c>
      <c r="AY11" s="219">
        <f t="shared" si="7"/>
        <v>0</v>
      </c>
      <c r="AZ11" s="219">
        <f t="shared" si="8"/>
        <v>0</v>
      </c>
      <c r="BA11" s="136">
        <f t="shared" si="9"/>
        <v>0</v>
      </c>
    </row>
    <row r="12" spans="1:53" s="82" customFormat="1" ht="13.5">
      <c r="A12" s="840"/>
      <c r="C12" s="1126" t="s">
        <v>777</v>
      </c>
      <c r="D12" s="1128" t="s">
        <v>804</v>
      </c>
      <c r="E12" s="1130">
        <v>46016.275000000001</v>
      </c>
      <c r="F12" s="1130">
        <v>46026.333333333336</v>
      </c>
      <c r="G12" s="1130">
        <v>46026.534722222219</v>
      </c>
      <c r="H12" s="1130">
        <v>46029.822916666664</v>
      </c>
      <c r="I12" s="1130">
        <v>46029.875</v>
      </c>
      <c r="J12" s="1132">
        <f>+F12-E12</f>
        <v>10.058333333334303</v>
      </c>
      <c r="K12" s="1134">
        <f>+H12-G12</f>
        <v>3.2881944444452529</v>
      </c>
      <c r="L12" s="729">
        <v>47250</v>
      </c>
      <c r="M12" s="730"/>
      <c r="N12" s="1135">
        <v>75355</v>
      </c>
      <c r="O12" s="1135">
        <f>+M12+N12</f>
        <v>75355</v>
      </c>
      <c r="P12" s="730"/>
      <c r="Q12" s="731"/>
      <c r="R12" s="1117" t="s">
        <v>122</v>
      </c>
      <c r="S12" s="1113" t="s">
        <v>448</v>
      </c>
      <c r="T12" s="722" t="s">
        <v>812</v>
      </c>
      <c r="U12" s="1113" t="s">
        <v>815</v>
      </c>
      <c r="V12" s="1113" t="s">
        <v>375</v>
      </c>
      <c r="W12" s="1113" t="s">
        <v>184</v>
      </c>
      <c r="X12" s="1117">
        <v>81272.399999999994</v>
      </c>
      <c r="Y12" s="1117">
        <v>43301</v>
      </c>
      <c r="Z12" s="1118">
        <v>229</v>
      </c>
      <c r="AA12" s="1120">
        <v>14.45</v>
      </c>
      <c r="AB12" s="736"/>
      <c r="AC12" s="736"/>
      <c r="AD12" s="737"/>
      <c r="AE12" s="734"/>
      <c r="AF12" s="738"/>
      <c r="AG12" s="733"/>
      <c r="AH12" s="733"/>
      <c r="AI12" s="733"/>
      <c r="AJ12" s="733"/>
      <c r="AK12" s="733"/>
      <c r="AL12" s="733"/>
      <c r="AM12" s="722"/>
      <c r="AN12" s="1113" t="s">
        <v>817</v>
      </c>
      <c r="AO12" s="1113" t="s">
        <v>816</v>
      </c>
      <c r="AP12" s="732" t="s">
        <v>850</v>
      </c>
      <c r="AQ12" s="732"/>
      <c r="AR12" s="1115" t="s">
        <v>849</v>
      </c>
      <c r="AT12" s="82" t="str">
        <f t="shared" si="4"/>
        <v>포스코</v>
      </c>
      <c r="AU12" s="311">
        <f t="shared" si="5"/>
        <v>47250</v>
      </c>
      <c r="AW12" s="218"/>
      <c r="AX12" s="218"/>
      <c r="AY12" s="219"/>
      <c r="AZ12" s="219"/>
      <c r="BA12" s="136"/>
    </row>
    <row r="13" spans="1:53" s="82" customFormat="1" ht="13.5">
      <c r="A13" s="840"/>
      <c r="C13" s="1127"/>
      <c r="D13" s="1129"/>
      <c r="E13" s="1131"/>
      <c r="F13" s="1131"/>
      <c r="G13" s="1131"/>
      <c r="H13" s="1131"/>
      <c r="I13" s="1131"/>
      <c r="J13" s="1133"/>
      <c r="K13" s="1122"/>
      <c r="L13" s="729">
        <v>28562</v>
      </c>
      <c r="M13" s="730"/>
      <c r="N13" s="1136"/>
      <c r="O13" s="1136"/>
      <c r="P13" s="730"/>
      <c r="Q13" s="731"/>
      <c r="R13" s="1096"/>
      <c r="S13" s="1114"/>
      <c r="T13" s="867" t="s">
        <v>813</v>
      </c>
      <c r="U13" s="1114"/>
      <c r="V13" s="1114"/>
      <c r="W13" s="1114"/>
      <c r="X13" s="1096"/>
      <c r="Y13" s="1096"/>
      <c r="Z13" s="1119"/>
      <c r="AA13" s="1121"/>
      <c r="AB13" s="736"/>
      <c r="AC13" s="736"/>
      <c r="AD13" s="737"/>
      <c r="AE13" s="734"/>
      <c r="AF13" s="738"/>
      <c r="AG13" s="733"/>
      <c r="AH13" s="733"/>
      <c r="AI13" s="733"/>
      <c r="AJ13" s="733"/>
      <c r="AK13" s="733"/>
      <c r="AL13" s="733"/>
      <c r="AM13" s="722"/>
      <c r="AN13" s="1114"/>
      <c r="AO13" s="1114"/>
      <c r="AP13" s="732" t="s">
        <v>851</v>
      </c>
      <c r="AQ13" s="732"/>
      <c r="AR13" s="1116"/>
      <c r="AT13" s="82">
        <f t="shared" si="4"/>
        <v>0</v>
      </c>
      <c r="AU13" s="311">
        <f t="shared" si="5"/>
        <v>28562</v>
      </c>
      <c r="AW13" s="218"/>
      <c r="AX13" s="218"/>
      <c r="AY13" s="219"/>
      <c r="AZ13" s="219"/>
      <c r="BA13" s="136"/>
    </row>
    <row r="14" spans="1:53" s="102" customFormat="1" ht="24.95" customHeight="1">
      <c r="A14" s="841"/>
      <c r="C14" s="725" t="s">
        <v>188</v>
      </c>
      <c r="D14" s="976" t="s">
        <v>790</v>
      </c>
      <c r="E14" s="726">
        <v>46019.666666666664</v>
      </c>
      <c r="F14" s="726">
        <v>46030.0625</v>
      </c>
      <c r="G14" s="726">
        <v>46030.163194444445</v>
      </c>
      <c r="H14" s="726">
        <v>46032.173611111109</v>
      </c>
      <c r="I14" s="726">
        <v>46032.25</v>
      </c>
      <c r="J14" s="727">
        <f>+F14-E14</f>
        <v>10.395833333335759</v>
      </c>
      <c r="K14" s="728">
        <f>+H14-G14</f>
        <v>2.0104166666642413</v>
      </c>
      <c r="L14" s="977">
        <v>46000</v>
      </c>
      <c r="M14" s="730"/>
      <c r="N14" s="730">
        <v>46000</v>
      </c>
      <c r="O14" s="730">
        <f>+M14+N14</f>
        <v>46000</v>
      </c>
      <c r="P14" s="730"/>
      <c r="Q14" s="731"/>
      <c r="R14" s="729" t="s">
        <v>122</v>
      </c>
      <c r="S14" s="722" t="s">
        <v>189</v>
      </c>
      <c r="T14" s="867" t="s">
        <v>762</v>
      </c>
      <c r="U14" s="722" t="s">
        <v>190</v>
      </c>
      <c r="V14" s="732" t="s">
        <v>181</v>
      </c>
      <c r="W14" s="722" t="s">
        <v>782</v>
      </c>
      <c r="X14" s="790">
        <v>63494</v>
      </c>
      <c r="Y14" s="735">
        <v>36449</v>
      </c>
      <c r="Z14" s="872">
        <v>199.9</v>
      </c>
      <c r="AA14" s="872">
        <v>18.5</v>
      </c>
      <c r="AB14" s="736"/>
      <c r="AC14" s="736"/>
      <c r="AD14" s="737"/>
      <c r="AE14" s="734"/>
      <c r="AF14" s="738"/>
      <c r="AG14" s="733"/>
      <c r="AH14" s="733"/>
      <c r="AI14" s="733"/>
      <c r="AJ14" s="733"/>
      <c r="AK14" s="733"/>
      <c r="AL14" s="733"/>
      <c r="AM14" s="722"/>
      <c r="AN14" s="722" t="s">
        <v>794</v>
      </c>
      <c r="AO14" s="722" t="s">
        <v>795</v>
      </c>
      <c r="AP14" s="724"/>
      <c r="AQ14" s="724"/>
      <c r="AR14" s="754"/>
      <c r="AT14" s="82" t="str">
        <f t="shared" si="4"/>
        <v>SNNC</v>
      </c>
      <c r="AU14" s="311">
        <f t="shared" si="5"/>
        <v>46000</v>
      </c>
      <c r="AV14" s="82"/>
      <c r="AW14" s="218">
        <f t="shared" ref="AW14:AX14" si="10">IF(M14=0,0,1)</f>
        <v>0</v>
      </c>
      <c r="AX14" s="218">
        <f t="shared" si="10"/>
        <v>1</v>
      </c>
      <c r="AY14" s="219">
        <f t="shared" ref="AY14" si="11">IF(AW14+AX14=2,0.5,AW14)</f>
        <v>0</v>
      </c>
      <c r="AZ14" s="219">
        <f t="shared" ref="AZ14" si="12">IF(AW14+AX14=2,0.5,AX14)</f>
        <v>1</v>
      </c>
      <c r="BA14" s="136">
        <f t="shared" ref="BA14" si="13">AY14+AZ14</f>
        <v>1</v>
      </c>
    </row>
    <row r="15" spans="1:53" s="895" customFormat="1" ht="24.95" customHeight="1">
      <c r="A15" s="894"/>
      <c r="C15" s="725" t="s">
        <v>185</v>
      </c>
      <c r="D15" s="724" t="s">
        <v>809</v>
      </c>
      <c r="E15" s="726">
        <v>46034.125</v>
      </c>
      <c r="F15" s="980">
        <v>46049.241666666669</v>
      </c>
      <c r="G15" s="980">
        <v>46049.611111111109</v>
      </c>
      <c r="H15" s="980">
        <v>46052.090277777781</v>
      </c>
      <c r="I15" s="980"/>
      <c r="J15" s="727">
        <f>+F15-E15</f>
        <v>15.116666666668607</v>
      </c>
      <c r="K15" s="728">
        <f>+H15-G15</f>
        <v>2.4791666666715173</v>
      </c>
      <c r="L15" s="981">
        <v>67000</v>
      </c>
      <c r="M15" s="981"/>
      <c r="N15" s="982">
        <v>67000</v>
      </c>
      <c r="O15" s="730">
        <f>+M15+N15</f>
        <v>67000</v>
      </c>
      <c r="P15" s="982"/>
      <c r="Q15" s="983"/>
      <c r="R15" s="729" t="s">
        <v>122</v>
      </c>
      <c r="S15" s="984" t="s">
        <v>183</v>
      </c>
      <c r="T15" s="985" t="s">
        <v>458</v>
      </c>
      <c r="U15" s="985" t="s">
        <v>183</v>
      </c>
      <c r="V15" s="985" t="s">
        <v>833</v>
      </c>
      <c r="W15" s="985" t="s">
        <v>184</v>
      </c>
      <c r="X15" s="790">
        <v>81704.600000000006</v>
      </c>
      <c r="Y15" s="985" t="s">
        <v>219</v>
      </c>
      <c r="Z15" s="985">
        <v>229</v>
      </c>
      <c r="AA15" s="985">
        <v>14.7</v>
      </c>
      <c r="AB15" s="986"/>
      <c r="AC15" s="986"/>
      <c r="AD15" s="987"/>
      <c r="AE15" s="988"/>
      <c r="AF15" s="989"/>
      <c r="AG15" s="990"/>
      <c r="AH15" s="990"/>
      <c r="AI15" s="990"/>
      <c r="AJ15" s="990"/>
      <c r="AK15" s="990"/>
      <c r="AL15" s="990"/>
      <c r="AM15" s="991"/>
      <c r="AN15" s="985" t="s">
        <v>814</v>
      </c>
      <c r="AO15" s="790" t="s">
        <v>215</v>
      </c>
      <c r="AP15" s="992" t="s">
        <v>880</v>
      </c>
      <c r="AQ15" s="993"/>
      <c r="AR15" s="754"/>
      <c r="AT15" s="82" t="str">
        <f t="shared" si="4"/>
        <v>남동발전</v>
      </c>
      <c r="AU15" s="311">
        <f t="shared" si="5"/>
        <v>67000</v>
      </c>
      <c r="AV15" s="914"/>
      <c r="AW15" s="916"/>
      <c r="AX15" s="916"/>
      <c r="AY15" s="917"/>
      <c r="AZ15" s="917"/>
      <c r="BA15" s="918"/>
    </row>
    <row r="16" spans="1:53" s="895" customFormat="1" ht="24.95" customHeight="1" collapsed="1">
      <c r="A16" s="894"/>
      <c r="C16" s="896"/>
      <c r="D16" s="897"/>
      <c r="E16" s="898"/>
      <c r="F16" s="899"/>
      <c r="G16" s="899"/>
      <c r="H16" s="899"/>
      <c r="I16" s="899"/>
      <c r="J16" s="900"/>
      <c r="K16" s="901"/>
      <c r="L16" s="902"/>
      <c r="M16" s="902"/>
      <c r="N16" s="903"/>
      <c r="O16" s="67">
        <f t="shared" ref="O16" si="14">+M16+N16</f>
        <v>0</v>
      </c>
      <c r="P16" s="904"/>
      <c r="Q16" s="905"/>
      <c r="R16" s="407"/>
      <c r="S16" s="906"/>
      <c r="T16" s="907"/>
      <c r="U16" s="907"/>
      <c r="V16" s="907"/>
      <c r="W16" s="919"/>
      <c r="X16" s="920"/>
      <c r="Y16" s="921"/>
      <c r="Z16" s="892"/>
      <c r="AA16" s="892"/>
      <c r="AB16" s="908"/>
      <c r="AC16" s="908"/>
      <c r="AD16" s="909"/>
      <c r="AE16" s="910"/>
      <c r="AF16" s="911"/>
      <c r="AG16" s="912"/>
      <c r="AH16" s="912"/>
      <c r="AI16" s="912"/>
      <c r="AJ16" s="912"/>
      <c r="AK16" s="912"/>
      <c r="AL16" s="912"/>
      <c r="AM16" s="913"/>
      <c r="AN16" s="888"/>
      <c r="AO16" s="888"/>
      <c r="AP16" s="400"/>
      <c r="AQ16" s="897"/>
      <c r="AR16" s="401"/>
      <c r="AT16" s="82">
        <f t="shared" si="4"/>
        <v>0</v>
      </c>
      <c r="AU16" s="311">
        <f t="shared" si="5"/>
        <v>0</v>
      </c>
      <c r="AV16" s="914"/>
      <c r="AW16" s="916"/>
      <c r="AX16" s="916"/>
      <c r="AY16" s="917"/>
      <c r="AZ16" s="917"/>
      <c r="BA16" s="918"/>
    </row>
    <row r="17" spans="1:53" s="82" customFormat="1" ht="24.95" customHeight="1" thickBot="1">
      <c r="A17" s="840"/>
      <c r="C17" s="90"/>
      <c r="D17" s="91"/>
      <c r="E17" s="92"/>
      <c r="F17" s="92"/>
      <c r="G17" s="92"/>
      <c r="H17" s="92"/>
      <c r="I17" s="92"/>
      <c r="J17" s="643">
        <f>IFERROR(AVERAGE(J12:J16),0)</f>
        <v>11.856944444446222</v>
      </c>
      <c r="K17" s="643">
        <f>IFERROR(AVERAGE(K12:K16),0)</f>
        <v>2.5925925925936704</v>
      </c>
      <c r="L17" s="95">
        <f>SUM(L12:L16)</f>
        <v>188812</v>
      </c>
      <c r="M17" s="95">
        <f>SUM(M12:M16)</f>
        <v>0</v>
      </c>
      <c r="N17" s="95">
        <f>SUM(N12:N16)</f>
        <v>188355</v>
      </c>
      <c r="O17" s="95">
        <f>SUM(O12:O16)</f>
        <v>188355</v>
      </c>
      <c r="P17" s="93"/>
      <c r="Q17" s="95"/>
      <c r="R17" s="95"/>
      <c r="S17" s="91"/>
      <c r="T17" s="91"/>
      <c r="U17" s="97"/>
      <c r="V17" s="96"/>
      <c r="W17" s="97"/>
      <c r="X17" s="98"/>
      <c r="Y17" s="98"/>
      <c r="Z17" s="207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100"/>
      <c r="AN17" s="100"/>
      <c r="AO17" s="100"/>
      <c r="AP17" s="96"/>
      <c r="AQ17" s="96"/>
      <c r="AR17" s="107"/>
      <c r="AT17" s="82">
        <f t="shared" si="4"/>
        <v>0</v>
      </c>
      <c r="AU17" s="311">
        <f t="shared" si="5"/>
        <v>188812</v>
      </c>
      <c r="AW17" s="218">
        <f t="shared" si="6"/>
        <v>0</v>
      </c>
      <c r="AX17" s="218">
        <f t="shared" si="6"/>
        <v>1</v>
      </c>
      <c r="AY17" s="219">
        <f t="shared" si="7"/>
        <v>0</v>
      </c>
      <c r="AZ17" s="219">
        <f t="shared" si="8"/>
        <v>1</v>
      </c>
      <c r="BA17" s="136">
        <f t="shared" si="9"/>
        <v>1</v>
      </c>
    </row>
    <row r="18" spans="1:53" s="82" customFormat="1" ht="24.95" customHeight="1" thickBot="1">
      <c r="A18" s="840"/>
      <c r="C18" s="644" t="s">
        <v>820</v>
      </c>
      <c r="D18" s="645"/>
      <c r="E18" s="645"/>
      <c r="F18" s="645"/>
      <c r="G18" s="645"/>
      <c r="H18" s="645"/>
      <c r="I18" s="645"/>
      <c r="J18" s="645"/>
      <c r="K18" s="645"/>
      <c r="L18" s="645"/>
      <c r="M18" s="696"/>
      <c r="N18" s="696"/>
      <c r="O18" s="697"/>
      <c r="P18" s="696"/>
      <c r="Q18" s="645"/>
      <c r="R18" s="645"/>
      <c r="S18" s="645"/>
      <c r="T18" s="645"/>
      <c r="U18" s="646"/>
      <c r="V18" s="645"/>
      <c r="W18" s="645"/>
      <c r="X18" s="645"/>
      <c r="Y18" s="645"/>
      <c r="Z18" s="647"/>
      <c r="AA18" s="645"/>
      <c r="AB18" s="645"/>
      <c r="AC18" s="645"/>
      <c r="AD18" s="645"/>
      <c r="AE18" s="645"/>
      <c r="AF18" s="645"/>
      <c r="AG18" s="645"/>
      <c r="AH18" s="645"/>
      <c r="AI18" s="645"/>
      <c r="AJ18" s="645"/>
      <c r="AK18" s="645"/>
      <c r="AL18" s="645"/>
      <c r="AM18" s="645"/>
      <c r="AN18" s="645"/>
      <c r="AO18" s="645"/>
      <c r="AP18" s="645"/>
      <c r="AQ18" s="645"/>
      <c r="AR18" s="648"/>
      <c r="AT18" s="82" t="str">
        <f t="shared" si="4"/>
        <v>2026년 2월 반입 선박리스트</v>
      </c>
      <c r="AU18" s="311">
        <f t="shared" si="5"/>
        <v>0</v>
      </c>
      <c r="AW18" s="218">
        <f t="shared" si="6"/>
        <v>0</v>
      </c>
      <c r="AX18" s="218">
        <f t="shared" si="6"/>
        <v>0</v>
      </c>
      <c r="AY18" s="219">
        <f t="shared" si="7"/>
        <v>0</v>
      </c>
      <c r="AZ18" s="219">
        <f t="shared" si="8"/>
        <v>0</v>
      </c>
      <c r="BA18" s="136">
        <f t="shared" si="9"/>
        <v>0</v>
      </c>
    </row>
    <row r="19" spans="1:53" s="102" customFormat="1" ht="24.95" customHeight="1">
      <c r="A19" s="841"/>
      <c r="C19" s="725" t="s">
        <v>187</v>
      </c>
      <c r="D19" s="976" t="s">
        <v>806</v>
      </c>
      <c r="E19" s="726">
        <v>46035.826388888891</v>
      </c>
      <c r="F19" s="726">
        <v>46052.25</v>
      </c>
      <c r="G19" s="726">
        <v>46052.350694444445</v>
      </c>
      <c r="H19" s="726">
        <v>46055.486111111109</v>
      </c>
      <c r="I19" s="726">
        <v>46055.534722222219</v>
      </c>
      <c r="J19" s="727">
        <f>+F19-E19</f>
        <v>16.423611111109494</v>
      </c>
      <c r="K19" s="728">
        <f>+H19-G19</f>
        <v>3.1354166666642413</v>
      </c>
      <c r="L19" s="977">
        <v>73000</v>
      </c>
      <c r="M19" s="730"/>
      <c r="N19" s="730">
        <v>73727</v>
      </c>
      <c r="O19" s="730">
        <f>+M19+N19</f>
        <v>73727</v>
      </c>
      <c r="P19" s="730"/>
      <c r="Q19" s="731"/>
      <c r="R19" s="729" t="s">
        <v>122</v>
      </c>
      <c r="S19" s="722" t="s">
        <v>183</v>
      </c>
      <c r="T19" s="867" t="s">
        <v>354</v>
      </c>
      <c r="U19" s="722" t="s">
        <v>228</v>
      </c>
      <c r="V19" s="732" t="s">
        <v>436</v>
      </c>
      <c r="W19" s="722" t="s">
        <v>184</v>
      </c>
      <c r="X19" s="790">
        <v>76212</v>
      </c>
      <c r="Y19" s="735">
        <v>42114</v>
      </c>
      <c r="Z19" s="872">
        <v>225</v>
      </c>
      <c r="AA19" s="872">
        <v>14.2</v>
      </c>
      <c r="AB19" s="736"/>
      <c r="AC19" s="736"/>
      <c r="AD19" s="737"/>
      <c r="AE19" s="734"/>
      <c r="AF19" s="738"/>
      <c r="AG19" s="733"/>
      <c r="AH19" s="733"/>
      <c r="AI19" s="733"/>
      <c r="AJ19" s="733"/>
      <c r="AK19" s="733"/>
      <c r="AL19" s="733"/>
      <c r="AM19" s="722"/>
      <c r="AN19" s="722" t="s">
        <v>807</v>
      </c>
      <c r="AO19" s="722" t="s">
        <v>808</v>
      </c>
      <c r="AP19" s="992" t="s">
        <v>881</v>
      </c>
      <c r="AQ19" s="724"/>
      <c r="AR19" s="754"/>
      <c r="AT19" s="82" t="str">
        <f t="shared" si="4"/>
        <v>한화에너지</v>
      </c>
      <c r="AU19" s="311">
        <f t="shared" si="5"/>
        <v>73000</v>
      </c>
      <c r="AV19" s="82"/>
      <c r="AW19" s="218">
        <f t="shared" si="6"/>
        <v>0</v>
      </c>
      <c r="AX19" s="218">
        <f t="shared" si="6"/>
        <v>1</v>
      </c>
      <c r="AY19" s="219">
        <f t="shared" si="7"/>
        <v>0</v>
      </c>
      <c r="AZ19" s="219">
        <f t="shared" si="8"/>
        <v>1</v>
      </c>
      <c r="BA19" s="136">
        <f t="shared" si="9"/>
        <v>1</v>
      </c>
    </row>
    <row r="20" spans="1:53" s="102" customFormat="1" ht="24.95" customHeight="1">
      <c r="A20" s="841"/>
      <c r="C20" s="402" t="s">
        <v>185</v>
      </c>
      <c r="D20" s="400" t="s">
        <v>567</v>
      </c>
      <c r="E20" s="403">
        <v>46060</v>
      </c>
      <c r="F20" s="403"/>
      <c r="G20" s="403"/>
      <c r="H20" s="403"/>
      <c r="I20" s="403"/>
      <c r="J20" s="405"/>
      <c r="K20" s="406"/>
      <c r="L20" s="69">
        <v>40000</v>
      </c>
      <c r="M20" s="408"/>
      <c r="N20" s="408"/>
      <c r="O20" s="67"/>
      <c r="P20" s="408"/>
      <c r="Q20" s="409"/>
      <c r="R20" s="407" t="s">
        <v>122</v>
      </c>
      <c r="S20" s="407" t="s">
        <v>183</v>
      </c>
      <c r="T20" s="315" t="s">
        <v>354</v>
      </c>
      <c r="U20" s="396"/>
      <c r="V20" s="414"/>
      <c r="W20" s="396" t="s">
        <v>858</v>
      </c>
      <c r="X20" s="780"/>
      <c r="Y20" s="415"/>
      <c r="Z20" s="891"/>
      <c r="AA20" s="891"/>
      <c r="AB20" s="376"/>
      <c r="AC20" s="376"/>
      <c r="AD20" s="377"/>
      <c r="AE20" s="378"/>
      <c r="AF20" s="412"/>
      <c r="AG20" s="411"/>
      <c r="AH20" s="411"/>
      <c r="AI20" s="411"/>
      <c r="AJ20" s="411"/>
      <c r="AK20" s="411"/>
      <c r="AL20" s="411"/>
      <c r="AM20" s="396"/>
      <c r="AN20" s="396"/>
      <c r="AO20" s="396"/>
      <c r="AP20" s="400"/>
      <c r="AQ20" s="400"/>
      <c r="AR20" s="401" t="s">
        <v>889</v>
      </c>
      <c r="AT20" s="82" t="str">
        <f>C20</f>
        <v>남동발전</v>
      </c>
      <c r="AU20" s="311">
        <f>L20</f>
        <v>40000</v>
      </c>
      <c r="AV20" s="82"/>
      <c r="AW20" s="218">
        <f>IF(M20=0,0,1)</f>
        <v>0</v>
      </c>
      <c r="AX20" s="218">
        <f>IF(N20=0,0,1)</f>
        <v>0</v>
      </c>
      <c r="AY20" s="219">
        <f>IF(AW20+AX20=2,0.5,AW20)</f>
        <v>0</v>
      </c>
      <c r="AZ20" s="219">
        <f>IF(AW20+AX20=2,0.5,AX20)</f>
        <v>0</v>
      </c>
      <c r="BA20" s="136">
        <f>AY20+AZ20</f>
        <v>0</v>
      </c>
    </row>
    <row r="21" spans="1:53" s="102" customFormat="1" ht="54">
      <c r="A21" s="841"/>
      <c r="C21" s="525" t="s">
        <v>777</v>
      </c>
      <c r="D21" s="524" t="s">
        <v>897</v>
      </c>
      <c r="E21" s="497"/>
      <c r="F21" s="497"/>
      <c r="G21" s="497"/>
      <c r="H21" s="497"/>
      <c r="I21" s="497"/>
      <c r="J21" s="526"/>
      <c r="K21" s="527"/>
      <c r="L21" s="561">
        <v>24785</v>
      </c>
      <c r="M21" s="529"/>
      <c r="N21" s="529"/>
      <c r="O21" s="529"/>
      <c r="P21" s="529"/>
      <c r="Q21" s="530"/>
      <c r="R21" s="528" t="s">
        <v>122</v>
      </c>
      <c r="S21" s="528" t="s">
        <v>448</v>
      </c>
      <c r="T21" s="994"/>
      <c r="U21" s="531"/>
      <c r="V21" s="535"/>
      <c r="W21" s="531"/>
      <c r="X21" s="995"/>
      <c r="Y21" s="996"/>
      <c r="Z21" s="997"/>
      <c r="AA21" s="997"/>
      <c r="AB21" s="553"/>
      <c r="AC21" s="553"/>
      <c r="AD21" s="554"/>
      <c r="AE21" s="537"/>
      <c r="AF21" s="555"/>
      <c r="AG21" s="533"/>
      <c r="AH21" s="533"/>
      <c r="AI21" s="533"/>
      <c r="AJ21" s="533"/>
      <c r="AK21" s="533"/>
      <c r="AL21" s="533"/>
      <c r="AM21" s="531"/>
      <c r="AN21" s="531"/>
      <c r="AO21" s="531"/>
      <c r="AP21" s="524"/>
      <c r="AQ21" s="524"/>
      <c r="AR21" s="1073" t="s">
        <v>905</v>
      </c>
      <c r="AT21" s="82"/>
      <c r="AU21" s="311"/>
      <c r="AV21" s="82"/>
      <c r="AW21" s="218"/>
      <c r="AX21" s="218"/>
      <c r="AY21" s="219"/>
      <c r="AZ21" s="219"/>
      <c r="BA21" s="136"/>
    </row>
    <row r="22" spans="1:53" s="102" customFormat="1" ht="24.95" customHeight="1">
      <c r="A22" s="841"/>
      <c r="C22" s="525" t="s">
        <v>777</v>
      </c>
      <c r="D22" s="524" t="s">
        <v>891</v>
      </c>
      <c r="E22" s="497">
        <v>46061</v>
      </c>
      <c r="F22" s="497"/>
      <c r="G22" s="497"/>
      <c r="H22" s="497"/>
      <c r="I22" s="497"/>
      <c r="J22" s="526"/>
      <c r="K22" s="527"/>
      <c r="L22" s="528">
        <v>40000</v>
      </c>
      <c r="M22" s="529"/>
      <c r="N22" s="529"/>
      <c r="O22" s="529"/>
      <c r="P22" s="529"/>
      <c r="Q22" s="530"/>
      <c r="R22" s="528" t="s">
        <v>122</v>
      </c>
      <c r="S22" s="528" t="s">
        <v>180</v>
      </c>
      <c r="T22" s="994" t="s">
        <v>882</v>
      </c>
      <c r="U22" s="531"/>
      <c r="V22" s="535"/>
      <c r="W22" s="531"/>
      <c r="X22" s="995"/>
      <c r="Y22" s="996"/>
      <c r="Z22" s="997"/>
      <c r="AA22" s="997"/>
      <c r="AB22" s="553"/>
      <c r="AC22" s="553"/>
      <c r="AD22" s="554"/>
      <c r="AE22" s="537"/>
      <c r="AF22" s="555"/>
      <c r="AG22" s="533"/>
      <c r="AH22" s="533"/>
      <c r="AI22" s="533"/>
      <c r="AJ22" s="533"/>
      <c r="AK22" s="533"/>
      <c r="AL22" s="533"/>
      <c r="AM22" s="531"/>
      <c r="AN22" s="531"/>
      <c r="AO22" s="531"/>
      <c r="AP22" s="524"/>
      <c r="AQ22" s="524"/>
      <c r="AR22" s="536" t="s">
        <v>902</v>
      </c>
      <c r="AT22" s="82"/>
      <c r="AU22" s="311"/>
      <c r="AV22" s="82"/>
      <c r="AW22" s="218"/>
      <c r="AX22" s="218"/>
      <c r="AY22" s="219"/>
      <c r="AZ22" s="219"/>
      <c r="BA22" s="136"/>
    </row>
    <row r="23" spans="1:53" s="102" customFormat="1" ht="24.95" customHeight="1">
      <c r="A23" s="841"/>
      <c r="C23" s="402" t="s">
        <v>194</v>
      </c>
      <c r="D23" s="400" t="s">
        <v>875</v>
      </c>
      <c r="E23" s="403">
        <v>46067</v>
      </c>
      <c r="F23" s="403"/>
      <c r="G23" s="403"/>
      <c r="H23" s="403"/>
      <c r="I23" s="403"/>
      <c r="J23" s="405"/>
      <c r="K23" s="406"/>
      <c r="L23" s="407">
        <v>70000</v>
      </c>
      <c r="M23" s="408"/>
      <c r="N23" s="408"/>
      <c r="O23" s="67"/>
      <c r="P23" s="408"/>
      <c r="Q23" s="409"/>
      <c r="R23" s="407" t="s">
        <v>122</v>
      </c>
      <c r="S23" s="407" t="s">
        <v>183</v>
      </c>
      <c r="T23" s="315" t="s">
        <v>458</v>
      </c>
      <c r="U23" s="396" t="s">
        <v>861</v>
      </c>
      <c r="V23" s="414"/>
      <c r="W23" s="396" t="s">
        <v>184</v>
      </c>
      <c r="X23" s="780">
        <v>79457</v>
      </c>
      <c r="Y23" s="415">
        <v>43498</v>
      </c>
      <c r="Z23" s="891">
        <v>229</v>
      </c>
      <c r="AA23" s="891">
        <v>14.62</v>
      </c>
      <c r="AB23" s="376"/>
      <c r="AC23" s="376"/>
      <c r="AD23" s="377"/>
      <c r="AE23" s="378"/>
      <c r="AF23" s="412"/>
      <c r="AG23" s="411"/>
      <c r="AH23" s="411"/>
      <c r="AI23" s="411"/>
      <c r="AJ23" s="411"/>
      <c r="AK23" s="411"/>
      <c r="AL23" s="411"/>
      <c r="AM23" s="396"/>
      <c r="AN23" s="396" t="s">
        <v>883</v>
      </c>
      <c r="AO23" s="396" t="s">
        <v>884</v>
      </c>
      <c r="AP23" s="400"/>
      <c r="AQ23" s="400"/>
      <c r="AR23" s="401"/>
      <c r="AT23" s="82" t="str">
        <f t="shared" ref="AT23:AT27" si="15">C23</f>
        <v>SGC에너지</v>
      </c>
      <c r="AU23" s="311">
        <f t="shared" ref="AU23:AU27" si="16">L23</f>
        <v>70000</v>
      </c>
      <c r="AV23" s="82"/>
      <c r="AW23" s="218">
        <f t="shared" si="6"/>
        <v>0</v>
      </c>
      <c r="AX23" s="218">
        <f t="shared" si="6"/>
        <v>0</v>
      </c>
      <c r="AY23" s="219">
        <f t="shared" si="7"/>
        <v>0</v>
      </c>
      <c r="AZ23" s="219">
        <f t="shared" si="8"/>
        <v>0</v>
      </c>
      <c r="BA23" s="136">
        <f t="shared" si="9"/>
        <v>0</v>
      </c>
    </row>
    <row r="24" spans="1:53" s="102" customFormat="1" ht="24.95" customHeight="1">
      <c r="A24" s="841"/>
      <c r="C24" s="402" t="s">
        <v>182</v>
      </c>
      <c r="D24" s="400" t="s">
        <v>856</v>
      </c>
      <c r="E24" s="403">
        <v>46068</v>
      </c>
      <c r="F24" s="403"/>
      <c r="G24" s="403"/>
      <c r="H24" s="403"/>
      <c r="I24" s="403"/>
      <c r="J24" s="405"/>
      <c r="K24" s="406"/>
      <c r="L24" s="407">
        <v>20000</v>
      </c>
      <c r="M24" s="408"/>
      <c r="N24" s="408"/>
      <c r="O24" s="67"/>
      <c r="P24" s="408"/>
      <c r="Q24" s="409"/>
      <c r="R24" s="407" t="s">
        <v>122</v>
      </c>
      <c r="S24" s="407" t="s">
        <v>183</v>
      </c>
      <c r="T24" s="396" t="s">
        <v>354</v>
      </c>
      <c r="U24" s="396" t="s">
        <v>857</v>
      </c>
      <c r="V24" s="414"/>
      <c r="W24" s="396" t="s">
        <v>858</v>
      </c>
      <c r="X24" s="780">
        <v>81585</v>
      </c>
      <c r="Y24" s="415">
        <v>44485</v>
      </c>
      <c r="Z24" s="891">
        <v>229</v>
      </c>
      <c r="AA24" s="891">
        <v>14.51</v>
      </c>
      <c r="AB24" s="376"/>
      <c r="AC24" s="376"/>
      <c r="AD24" s="377"/>
      <c r="AE24" s="378"/>
      <c r="AF24" s="412"/>
      <c r="AG24" s="411"/>
      <c r="AH24" s="411"/>
      <c r="AI24" s="411"/>
      <c r="AJ24" s="411"/>
      <c r="AK24" s="411"/>
      <c r="AL24" s="411"/>
      <c r="AM24" s="396"/>
      <c r="AN24" s="396" t="s">
        <v>859</v>
      </c>
      <c r="AO24" s="396" t="s">
        <v>860</v>
      </c>
      <c r="AP24" s="400"/>
      <c r="AQ24" s="400"/>
      <c r="AR24" s="401"/>
      <c r="AT24" s="82" t="str">
        <f t="shared" si="15"/>
        <v>OCI SE</v>
      </c>
      <c r="AU24" s="311">
        <f t="shared" si="16"/>
        <v>20000</v>
      </c>
      <c r="AV24" s="82"/>
      <c r="AW24" s="218">
        <f t="shared" si="6"/>
        <v>0</v>
      </c>
      <c r="AX24" s="218">
        <f t="shared" si="6"/>
        <v>0</v>
      </c>
      <c r="AY24" s="219">
        <f t="shared" si="7"/>
        <v>0</v>
      </c>
      <c r="AZ24" s="219">
        <f t="shared" si="8"/>
        <v>0</v>
      </c>
      <c r="BA24" s="136">
        <f t="shared" si="9"/>
        <v>0</v>
      </c>
    </row>
    <row r="25" spans="1:53" s="102" customFormat="1" ht="24.95" customHeight="1">
      <c r="A25" s="841"/>
      <c r="C25" s="525" t="s">
        <v>777</v>
      </c>
      <c r="D25" s="524" t="s">
        <v>890</v>
      </c>
      <c r="E25" s="497">
        <v>46070.083333333336</v>
      </c>
      <c r="F25" s="497"/>
      <c r="G25" s="497"/>
      <c r="H25" s="497"/>
      <c r="I25" s="497"/>
      <c r="J25" s="526"/>
      <c r="K25" s="527"/>
      <c r="L25" s="528">
        <v>40000</v>
      </c>
      <c r="M25" s="529"/>
      <c r="N25" s="529"/>
      <c r="O25" s="529">
        <f>+M25+N25</f>
        <v>0</v>
      </c>
      <c r="P25" s="529"/>
      <c r="Q25" s="530"/>
      <c r="R25" s="528" t="s">
        <v>122</v>
      </c>
      <c r="S25" s="531" t="s">
        <v>180</v>
      </c>
      <c r="T25" s="998" t="s">
        <v>867</v>
      </c>
      <c r="U25" s="531"/>
      <c r="V25" s="535"/>
      <c r="W25" s="531"/>
      <c r="X25" s="996"/>
      <c r="Y25" s="996"/>
      <c r="Z25" s="999"/>
      <c r="AA25" s="1000"/>
      <c r="AB25" s="553"/>
      <c r="AC25" s="553"/>
      <c r="AD25" s="554"/>
      <c r="AE25" s="537"/>
      <c r="AF25" s="555"/>
      <c r="AG25" s="533"/>
      <c r="AH25" s="533"/>
      <c r="AI25" s="533"/>
      <c r="AJ25" s="533"/>
      <c r="AK25" s="533"/>
      <c r="AL25" s="533"/>
      <c r="AM25" s="531"/>
      <c r="AN25" s="535"/>
      <c r="AO25" s="535"/>
      <c r="AP25" s="524"/>
      <c r="AQ25" s="524"/>
      <c r="AR25" s="536" t="s">
        <v>907</v>
      </c>
      <c r="AT25" s="82" t="str">
        <f>C25</f>
        <v>포스코</v>
      </c>
      <c r="AU25" s="311">
        <f>L25</f>
        <v>40000</v>
      </c>
      <c r="AV25" s="82"/>
      <c r="AW25" s="218">
        <f>IF(M25=0,0,1)</f>
        <v>0</v>
      </c>
      <c r="AX25" s="218">
        <f>IF(N25=0,0,1)</f>
        <v>0</v>
      </c>
      <c r="AY25" s="219">
        <f>IF(AW25+AX25=2,0.5,AW25)</f>
        <v>0</v>
      </c>
      <c r="AZ25" s="219">
        <f>IF(AW25+AX25=2,0.5,AX25)</f>
        <v>0</v>
      </c>
      <c r="BA25" s="136">
        <f>AY25+AZ25</f>
        <v>0</v>
      </c>
    </row>
    <row r="26" spans="1:53" s="102" customFormat="1" ht="24.95" customHeight="1">
      <c r="A26" s="841"/>
      <c r="C26" s="525" t="s">
        <v>777</v>
      </c>
      <c r="D26" s="524" t="s">
        <v>869</v>
      </c>
      <c r="E26" s="497">
        <v>46070</v>
      </c>
      <c r="F26" s="497"/>
      <c r="G26" s="497"/>
      <c r="H26" s="497"/>
      <c r="I26" s="497"/>
      <c r="J26" s="526"/>
      <c r="K26" s="527"/>
      <c r="L26" s="528">
        <v>35000</v>
      </c>
      <c r="M26" s="529"/>
      <c r="N26" s="529"/>
      <c r="O26" s="529">
        <f t="shared" ref="O26:O27" si="17">+M26+N26</f>
        <v>0</v>
      </c>
      <c r="P26" s="529"/>
      <c r="Q26" s="530"/>
      <c r="R26" s="528" t="s">
        <v>122</v>
      </c>
      <c r="S26" s="528"/>
      <c r="T26" s="531" t="s">
        <v>870</v>
      </c>
      <c r="U26" s="531"/>
      <c r="V26" s="535"/>
      <c r="W26" s="531"/>
      <c r="X26" s="996"/>
      <c r="Y26" s="996"/>
      <c r="Z26" s="999"/>
      <c r="AA26" s="1000"/>
      <c r="AB26" s="553"/>
      <c r="AC26" s="553"/>
      <c r="AD26" s="554"/>
      <c r="AE26" s="537"/>
      <c r="AF26" s="555"/>
      <c r="AG26" s="533"/>
      <c r="AH26" s="533"/>
      <c r="AI26" s="533"/>
      <c r="AJ26" s="533"/>
      <c r="AK26" s="533"/>
      <c r="AL26" s="533"/>
      <c r="AM26" s="531"/>
      <c r="AN26" s="535"/>
      <c r="AO26" s="535"/>
      <c r="AP26" s="524"/>
      <c r="AQ26" s="524"/>
      <c r="AR26" s="536" t="s">
        <v>876</v>
      </c>
      <c r="AT26" s="82" t="str">
        <f t="shared" si="15"/>
        <v>포스코</v>
      </c>
      <c r="AU26" s="311">
        <f t="shared" si="16"/>
        <v>35000</v>
      </c>
      <c r="AV26" s="82"/>
      <c r="AW26" s="218">
        <f t="shared" si="6"/>
        <v>0</v>
      </c>
      <c r="AX26" s="218">
        <f t="shared" si="6"/>
        <v>0</v>
      </c>
      <c r="AY26" s="219">
        <f t="shared" si="7"/>
        <v>0</v>
      </c>
      <c r="AZ26" s="219">
        <f t="shared" si="8"/>
        <v>0</v>
      </c>
      <c r="BA26" s="136">
        <f t="shared" si="9"/>
        <v>0</v>
      </c>
    </row>
    <row r="27" spans="1:53" s="102" customFormat="1" ht="24.95" customHeight="1">
      <c r="A27" s="841"/>
      <c r="C27" s="1049" t="s">
        <v>777</v>
      </c>
      <c r="D27" s="1050" t="s">
        <v>900</v>
      </c>
      <c r="E27" s="1051">
        <v>46073</v>
      </c>
      <c r="F27" s="1051"/>
      <c r="G27" s="1051"/>
      <c r="H27" s="1051"/>
      <c r="I27" s="1051"/>
      <c r="J27" s="1052"/>
      <c r="K27" s="1053"/>
      <c r="L27" s="1054" t="s">
        <v>920</v>
      </c>
      <c r="M27" s="1055"/>
      <c r="N27" s="1055"/>
      <c r="O27" s="1055">
        <f t="shared" si="17"/>
        <v>0</v>
      </c>
      <c r="P27" s="1055"/>
      <c r="Q27" s="1056"/>
      <c r="R27" s="1054" t="s">
        <v>122</v>
      </c>
      <c r="S27" s="1054"/>
      <c r="T27" s="1057" t="s">
        <v>901</v>
      </c>
      <c r="U27" s="1057"/>
      <c r="V27" s="1058"/>
      <c r="W27" s="1057"/>
      <c r="X27" s="1077">
        <v>85123</v>
      </c>
      <c r="Y27" s="1078"/>
      <c r="Z27" s="1079"/>
      <c r="AA27" s="1080"/>
      <c r="AB27" s="1061"/>
      <c r="AC27" s="1061"/>
      <c r="AD27" s="1062"/>
      <c r="AE27" s="1063"/>
      <c r="AF27" s="1064"/>
      <c r="AG27" s="1060"/>
      <c r="AH27" s="1060"/>
      <c r="AI27" s="1060"/>
      <c r="AJ27" s="1060"/>
      <c r="AK27" s="1060"/>
      <c r="AL27" s="1060"/>
      <c r="AM27" s="1057"/>
      <c r="AN27" s="1058"/>
      <c r="AO27" s="1058"/>
      <c r="AP27" s="1050"/>
      <c r="AQ27" s="1050"/>
      <c r="AR27" s="1067" t="s">
        <v>903</v>
      </c>
      <c r="AT27" s="82" t="str">
        <f t="shared" si="15"/>
        <v>포스코</v>
      </c>
      <c r="AU27" s="311" t="str">
        <f t="shared" si="16"/>
        <v>(0)25000</v>
      </c>
      <c r="AV27" s="82"/>
      <c r="AW27" s="218">
        <f t="shared" si="6"/>
        <v>0</v>
      </c>
      <c r="AX27" s="218">
        <f t="shared" si="6"/>
        <v>0</v>
      </c>
      <c r="AY27" s="219">
        <f t="shared" si="7"/>
        <v>0</v>
      </c>
      <c r="AZ27" s="219">
        <f t="shared" si="8"/>
        <v>0</v>
      </c>
      <c r="BA27" s="136">
        <f t="shared" si="9"/>
        <v>0</v>
      </c>
    </row>
    <row r="28" spans="1:53" s="102" customFormat="1" ht="24.95" customHeight="1">
      <c r="A28" s="841"/>
      <c r="C28" s="1049" t="s">
        <v>777</v>
      </c>
      <c r="D28" s="1050" t="s">
        <v>293</v>
      </c>
      <c r="E28" s="1051">
        <v>46077</v>
      </c>
      <c r="F28" s="1051"/>
      <c r="G28" s="1051"/>
      <c r="H28" s="1051"/>
      <c r="I28" s="1051"/>
      <c r="J28" s="1052"/>
      <c r="K28" s="1053"/>
      <c r="L28" s="1054" t="s">
        <v>904</v>
      </c>
      <c r="M28" s="1055"/>
      <c r="N28" s="1055"/>
      <c r="O28" s="1055">
        <f>+M28+N28</f>
        <v>0</v>
      </c>
      <c r="P28" s="1055"/>
      <c r="Q28" s="1056"/>
      <c r="R28" s="1054" t="s">
        <v>122</v>
      </c>
      <c r="S28" s="1054"/>
      <c r="T28" s="1057" t="s">
        <v>874</v>
      </c>
      <c r="U28" s="1057"/>
      <c r="V28" s="1058"/>
      <c r="W28" s="1057"/>
      <c r="X28" s="1074">
        <v>88125</v>
      </c>
      <c r="Y28" s="1054"/>
      <c r="Z28" s="1059"/>
      <c r="AA28" s="1060"/>
      <c r="AB28" s="1061"/>
      <c r="AC28" s="1061"/>
      <c r="AD28" s="1062"/>
      <c r="AE28" s="1063"/>
      <c r="AF28" s="1064"/>
      <c r="AG28" s="1060"/>
      <c r="AH28" s="1060"/>
      <c r="AI28" s="1060"/>
      <c r="AJ28" s="1060"/>
      <c r="AK28" s="1060"/>
      <c r="AL28" s="1060"/>
      <c r="AM28" s="1057"/>
      <c r="AN28" s="1057"/>
      <c r="AO28" s="1057"/>
      <c r="AP28" s="1050"/>
      <c r="AQ28" s="1050"/>
      <c r="AR28" s="1067" t="s">
        <v>898</v>
      </c>
      <c r="AT28" s="82" t="str">
        <f>C28</f>
        <v>포스코</v>
      </c>
      <c r="AU28" s="311" t="str">
        <f>L28</f>
        <v>(0)75000</v>
      </c>
      <c r="AV28" s="82"/>
      <c r="AW28" s="218">
        <f>IF(M28=0,0,1)</f>
        <v>0</v>
      </c>
      <c r="AX28" s="218">
        <f>IF(N28=0,0,1)</f>
        <v>0</v>
      </c>
      <c r="AY28" s="219">
        <f>IF(AW28+AX28=2,0.5,AW28)</f>
        <v>0</v>
      </c>
      <c r="AZ28" s="219">
        <f>IF(AW28+AX28=2,0.5,AX28)</f>
        <v>0</v>
      </c>
      <c r="BA28" s="136">
        <f>AY28+AZ28</f>
        <v>0</v>
      </c>
    </row>
    <row r="29" spans="1:53" s="102" customFormat="1" ht="24.95" customHeight="1">
      <c r="A29" s="841"/>
      <c r="C29" s="525" t="s">
        <v>777</v>
      </c>
      <c r="D29" s="524" t="s">
        <v>868</v>
      </c>
      <c r="E29" s="497">
        <v>46079</v>
      </c>
      <c r="F29" s="497"/>
      <c r="G29" s="497"/>
      <c r="H29" s="497"/>
      <c r="I29" s="497"/>
      <c r="J29" s="526"/>
      <c r="K29" s="527"/>
      <c r="L29" s="528">
        <v>60000</v>
      </c>
      <c r="M29" s="529"/>
      <c r="N29" s="529"/>
      <c r="O29" s="529">
        <f>+M29+N29</f>
        <v>0</v>
      </c>
      <c r="P29" s="529"/>
      <c r="Q29" s="530"/>
      <c r="R29" s="528" t="s">
        <v>122</v>
      </c>
      <c r="S29" s="528"/>
      <c r="T29" s="531" t="s">
        <v>871</v>
      </c>
      <c r="U29" s="531"/>
      <c r="V29" s="535"/>
      <c r="W29" s="531"/>
      <c r="X29" s="996"/>
      <c r="Y29" s="996"/>
      <c r="Z29" s="999"/>
      <c r="AA29" s="1000"/>
      <c r="AB29" s="553"/>
      <c r="AC29" s="553"/>
      <c r="AD29" s="554"/>
      <c r="AE29" s="537"/>
      <c r="AF29" s="555"/>
      <c r="AG29" s="533"/>
      <c r="AH29" s="533"/>
      <c r="AI29" s="533"/>
      <c r="AJ29" s="533"/>
      <c r="AK29" s="533"/>
      <c r="AL29" s="533"/>
      <c r="AM29" s="531"/>
      <c r="AN29" s="535"/>
      <c r="AO29" s="535"/>
      <c r="AP29" s="524"/>
      <c r="AQ29" s="524"/>
      <c r="AR29" s="536" t="s">
        <v>877</v>
      </c>
      <c r="AT29" s="82" t="str">
        <f>C29</f>
        <v>포스코</v>
      </c>
      <c r="AU29" s="311">
        <f>L29</f>
        <v>60000</v>
      </c>
      <c r="AV29" s="82"/>
      <c r="AW29" s="218">
        <f>IF(M29=0,0,1)</f>
        <v>0</v>
      </c>
      <c r="AX29" s="218">
        <f>IF(N29=0,0,1)</f>
        <v>0</v>
      </c>
      <c r="AY29" s="219">
        <f>IF(AW29+AX29=2,0.5,AW29)</f>
        <v>0</v>
      </c>
      <c r="AZ29" s="219">
        <f>IF(AW29+AX29=2,0.5,AX29)</f>
        <v>0</v>
      </c>
      <c r="BA29" s="136">
        <f>AY29+AZ29</f>
        <v>0</v>
      </c>
    </row>
    <row r="30" spans="1:53" s="82" customFormat="1" ht="24.95" customHeight="1" thickBot="1">
      <c r="A30" s="840"/>
      <c r="C30" s="108"/>
      <c r="D30" s="91"/>
      <c r="E30" s="92"/>
      <c r="F30" s="92"/>
      <c r="G30" s="92"/>
      <c r="H30" s="92"/>
      <c r="I30" s="92"/>
      <c r="J30" s="150">
        <f>IFERROR(AVERAGE(J26:J29),0)</f>
        <v>0</v>
      </c>
      <c r="K30" s="150">
        <f>IFERROR(AVERAGE(K26:K29),0)</f>
        <v>0</v>
      </c>
      <c r="L30" s="95">
        <f>SUM(L19:L29)</f>
        <v>402785</v>
      </c>
      <c r="M30" s="95">
        <f>SUM(M19:M29)</f>
        <v>0</v>
      </c>
      <c r="N30" s="95">
        <f>SUM(N19:N29)</f>
        <v>73727</v>
      </c>
      <c r="O30" s="95">
        <f>SUM(O19:O29)</f>
        <v>73727</v>
      </c>
      <c r="P30" s="93"/>
      <c r="Q30" s="95"/>
      <c r="R30" s="95"/>
      <c r="S30" s="91"/>
      <c r="T30" s="91"/>
      <c r="U30" s="97"/>
      <c r="V30" s="96"/>
      <c r="W30" s="97"/>
      <c r="X30" s="98"/>
      <c r="Y30" s="98"/>
      <c r="Z30" s="207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100"/>
      <c r="AN30" s="100"/>
      <c r="AO30" s="100"/>
      <c r="AP30" s="96"/>
      <c r="AQ30" s="96"/>
      <c r="AR30" s="109"/>
      <c r="AT30" s="82">
        <f t="shared" ref="AT30" si="18">C30</f>
        <v>0</v>
      </c>
      <c r="AU30" s="311">
        <f t="shared" ref="AU30:AU69" si="19">L30</f>
        <v>402785</v>
      </c>
      <c r="AW30" s="218">
        <f t="shared" ref="AW30:AX30" si="20">IF(M30=0,0,1)</f>
        <v>0</v>
      </c>
      <c r="AX30" s="218">
        <f t="shared" si="20"/>
        <v>1</v>
      </c>
      <c r="AY30" s="219">
        <f t="shared" ref="AY30" si="21">IF(AW30+AX30=2,0.5,AW30)</f>
        <v>0</v>
      </c>
      <c r="AZ30" s="219">
        <f t="shared" ref="AZ30" si="22">IF(AW30+AX30=2,0.5,AX30)</f>
        <v>1</v>
      </c>
      <c r="BA30" s="136">
        <f t="shared" ref="BA30" si="23">AY30+AZ30</f>
        <v>1</v>
      </c>
    </row>
    <row r="31" spans="1:53" s="82" customFormat="1" ht="24.95" customHeight="1" thickBot="1">
      <c r="A31" s="840"/>
      <c r="C31" s="644" t="s">
        <v>822</v>
      </c>
      <c r="D31" s="645"/>
      <c r="E31" s="645"/>
      <c r="F31" s="645"/>
      <c r="G31" s="645"/>
      <c r="H31" s="645"/>
      <c r="I31" s="645"/>
      <c r="J31" s="645"/>
      <c r="K31" s="645"/>
      <c r="L31" s="645"/>
      <c r="M31" s="696"/>
      <c r="N31" s="696"/>
      <c r="O31" s="696"/>
      <c r="P31" s="696"/>
      <c r="Q31" s="645"/>
      <c r="R31" s="645"/>
      <c r="S31" s="645"/>
      <c r="T31" s="645"/>
      <c r="U31" s="646"/>
      <c r="V31" s="645"/>
      <c r="W31" s="645"/>
      <c r="X31" s="645"/>
      <c r="Y31" s="645"/>
      <c r="Z31" s="647"/>
      <c r="AA31" s="645"/>
      <c r="AB31" s="645"/>
      <c r="AC31" s="645"/>
      <c r="AD31" s="645"/>
      <c r="AE31" s="645"/>
      <c r="AF31" s="645"/>
      <c r="AG31" s="645"/>
      <c r="AH31" s="645"/>
      <c r="AI31" s="645"/>
      <c r="AJ31" s="645"/>
      <c r="AK31" s="645"/>
      <c r="AL31" s="645"/>
      <c r="AM31" s="645"/>
      <c r="AN31" s="645"/>
      <c r="AO31" s="645"/>
      <c r="AP31" s="645"/>
      <c r="AQ31" s="645"/>
      <c r="AR31" s="648"/>
      <c r="AT31" s="82" t="str">
        <f t="shared" si="4"/>
        <v>2026년 3월 반입 예정 선박리스트</v>
      </c>
      <c r="AU31" s="311">
        <f t="shared" si="19"/>
        <v>0</v>
      </c>
      <c r="AW31" s="218">
        <f t="shared" si="6"/>
        <v>0</v>
      </c>
      <c r="AX31" s="218">
        <f t="shared" si="6"/>
        <v>0</v>
      </c>
      <c r="AY31" s="219">
        <f t="shared" si="7"/>
        <v>0</v>
      </c>
      <c r="AZ31" s="219">
        <f t="shared" si="8"/>
        <v>0</v>
      </c>
      <c r="BA31" s="136">
        <f t="shared" si="9"/>
        <v>0</v>
      </c>
    </row>
    <row r="32" spans="1:53" s="102" customFormat="1" ht="24.95" customHeight="1">
      <c r="A32" s="841"/>
      <c r="C32" s="402" t="s">
        <v>194</v>
      </c>
      <c r="D32" s="400" t="s">
        <v>219</v>
      </c>
      <c r="E32" s="403" t="s">
        <v>862</v>
      </c>
      <c r="F32" s="403"/>
      <c r="G32" s="403"/>
      <c r="H32" s="403"/>
      <c r="I32" s="403"/>
      <c r="J32" s="405"/>
      <c r="K32" s="406"/>
      <c r="L32" s="407">
        <v>70000</v>
      </c>
      <c r="M32" s="408"/>
      <c r="N32" s="408"/>
      <c r="O32" s="67">
        <f>+M32+N32</f>
        <v>0</v>
      </c>
      <c r="P32" s="408"/>
      <c r="Q32" s="409"/>
      <c r="R32" s="407" t="s">
        <v>122</v>
      </c>
      <c r="S32" s="396" t="s">
        <v>864</v>
      </c>
      <c r="T32" s="396" t="s">
        <v>863</v>
      </c>
      <c r="U32" s="396"/>
      <c r="V32" s="414"/>
      <c r="W32" s="396" t="s">
        <v>184</v>
      </c>
      <c r="X32" s="415"/>
      <c r="Y32" s="415"/>
      <c r="Z32" s="416"/>
      <c r="AA32" s="417"/>
      <c r="AB32" s="376"/>
      <c r="AC32" s="376"/>
      <c r="AD32" s="377"/>
      <c r="AE32" s="378"/>
      <c r="AF32" s="412"/>
      <c r="AG32" s="411"/>
      <c r="AH32" s="411"/>
      <c r="AI32" s="411"/>
      <c r="AJ32" s="411"/>
      <c r="AK32" s="411"/>
      <c r="AL32" s="411"/>
      <c r="AM32" s="396"/>
      <c r="AN32" s="414"/>
      <c r="AO32" s="414"/>
      <c r="AP32" s="400"/>
      <c r="AQ32" s="400"/>
      <c r="AR32" s="401"/>
      <c r="AT32" s="82" t="str">
        <f t="shared" si="4"/>
        <v>SGC에너지</v>
      </c>
      <c r="AU32" s="311">
        <f t="shared" si="19"/>
        <v>70000</v>
      </c>
      <c r="AV32" s="82"/>
      <c r="AW32" s="218"/>
      <c r="AX32" s="218"/>
      <c r="AY32" s="219"/>
      <c r="AZ32" s="219"/>
      <c r="BA32" s="136"/>
    </row>
    <row r="33" spans="1:53" s="1066" customFormat="1" ht="24.95" customHeight="1">
      <c r="A33" s="1065"/>
      <c r="C33" s="1049" t="s">
        <v>777</v>
      </c>
      <c r="D33" s="1050" t="s">
        <v>219</v>
      </c>
      <c r="E33" s="1051">
        <v>46092</v>
      </c>
      <c r="F33" s="1051"/>
      <c r="G33" s="1051"/>
      <c r="H33" s="1051"/>
      <c r="I33" s="1051"/>
      <c r="J33" s="1052"/>
      <c r="K33" s="1053"/>
      <c r="L33" s="1054" t="s">
        <v>896</v>
      </c>
      <c r="M33" s="1055"/>
      <c r="N33" s="1055"/>
      <c r="O33" s="1055">
        <f t="shared" ref="O33" si="24">+M33+N33</f>
        <v>0</v>
      </c>
      <c r="P33" s="1055"/>
      <c r="Q33" s="1056"/>
      <c r="R33" s="1054" t="s">
        <v>122</v>
      </c>
      <c r="S33" s="1054"/>
      <c r="T33" s="1057" t="s">
        <v>867</v>
      </c>
      <c r="U33" s="1057"/>
      <c r="V33" s="1058"/>
      <c r="W33" s="1057"/>
      <c r="X33" s="1054"/>
      <c r="Y33" s="1054"/>
      <c r="Z33" s="1059"/>
      <c r="AA33" s="1060"/>
      <c r="AB33" s="1061"/>
      <c r="AC33" s="1061"/>
      <c r="AD33" s="1062"/>
      <c r="AE33" s="1063"/>
      <c r="AF33" s="1064"/>
      <c r="AG33" s="1060"/>
      <c r="AH33" s="1060"/>
      <c r="AI33" s="1060"/>
      <c r="AJ33" s="1060"/>
      <c r="AK33" s="1060"/>
      <c r="AL33" s="1060"/>
      <c r="AM33" s="1057"/>
      <c r="AN33" s="1057"/>
      <c r="AO33" s="1057"/>
      <c r="AP33" s="1050"/>
      <c r="AQ33" s="1050"/>
      <c r="AR33" s="1067" t="s">
        <v>895</v>
      </c>
      <c r="AT33" s="1068" t="str">
        <f t="shared" si="4"/>
        <v>포스코</v>
      </c>
      <c r="AU33" s="1069" t="str">
        <f t="shared" si="19"/>
        <v>0(40,000)</v>
      </c>
      <c r="AV33" s="1068"/>
      <c r="AW33" s="1071">
        <f t="shared" ref="AW33:AX48" si="25">IF(M33=0,0,1)</f>
        <v>0</v>
      </c>
      <c r="AX33" s="1071">
        <f t="shared" si="25"/>
        <v>0</v>
      </c>
      <c r="AY33" s="1072">
        <f t="shared" ref="AY33:AY38" si="26">IF(AW33+AX33=2,0.5,AW33)</f>
        <v>0</v>
      </c>
      <c r="AZ33" s="1072">
        <f t="shared" ref="AZ33:AZ38" si="27">IF(AW33+AX33=2,0.5,AX33)</f>
        <v>0</v>
      </c>
      <c r="BA33" s="1070">
        <f t="shared" ref="BA33:BA38" si="28">AY33+AZ33</f>
        <v>0</v>
      </c>
    </row>
    <row r="34" spans="1:53" s="102" customFormat="1" ht="24.95" customHeight="1">
      <c r="A34" s="841"/>
      <c r="C34" s="525" t="s">
        <v>777</v>
      </c>
      <c r="D34" s="524" t="s">
        <v>219</v>
      </c>
      <c r="E34" s="497">
        <v>45731</v>
      </c>
      <c r="F34" s="497"/>
      <c r="G34" s="497"/>
      <c r="H34" s="497"/>
      <c r="I34" s="497"/>
      <c r="J34" s="526"/>
      <c r="K34" s="527"/>
      <c r="L34" s="528">
        <v>55000</v>
      </c>
      <c r="M34" s="529"/>
      <c r="N34" s="529"/>
      <c r="O34" s="529">
        <f>+M34+N34</f>
        <v>0</v>
      </c>
      <c r="P34" s="529"/>
      <c r="Q34" s="530"/>
      <c r="R34" s="528" t="s">
        <v>122</v>
      </c>
      <c r="S34" s="528"/>
      <c r="T34" s="531" t="s">
        <v>873</v>
      </c>
      <c r="U34" s="531"/>
      <c r="V34" s="535"/>
      <c r="W34" s="531"/>
      <c r="X34" s="528"/>
      <c r="Y34" s="528"/>
      <c r="Z34" s="532"/>
      <c r="AA34" s="533"/>
      <c r="AB34" s="553"/>
      <c r="AC34" s="553"/>
      <c r="AD34" s="554"/>
      <c r="AE34" s="537"/>
      <c r="AF34" s="555"/>
      <c r="AG34" s="533"/>
      <c r="AH34" s="533"/>
      <c r="AI34" s="533"/>
      <c r="AJ34" s="533"/>
      <c r="AK34" s="533"/>
      <c r="AL34" s="533"/>
      <c r="AM34" s="531"/>
      <c r="AN34" s="531"/>
      <c r="AO34" s="531"/>
      <c r="AP34" s="524"/>
      <c r="AQ34" s="524"/>
      <c r="AR34" s="536" t="s">
        <v>878</v>
      </c>
      <c r="AT34" s="82" t="str">
        <f>C34</f>
        <v>포스코</v>
      </c>
      <c r="AU34" s="311">
        <f>L34</f>
        <v>55000</v>
      </c>
      <c r="AV34" s="82"/>
      <c r="AW34" s="218">
        <f t="shared" si="25"/>
        <v>0</v>
      </c>
      <c r="AX34" s="218">
        <f t="shared" si="25"/>
        <v>0</v>
      </c>
      <c r="AY34" s="219">
        <f t="shared" si="26"/>
        <v>0</v>
      </c>
      <c r="AZ34" s="219">
        <f t="shared" si="27"/>
        <v>0</v>
      </c>
      <c r="BA34" s="136">
        <f t="shared" si="28"/>
        <v>0</v>
      </c>
    </row>
    <row r="35" spans="1:53" s="102" customFormat="1" ht="24.95" customHeight="1">
      <c r="A35" s="841"/>
      <c r="C35" s="402" t="s">
        <v>182</v>
      </c>
      <c r="D35" s="400" t="s">
        <v>219</v>
      </c>
      <c r="E35" s="403" t="s">
        <v>885</v>
      </c>
      <c r="F35" s="403"/>
      <c r="G35" s="403"/>
      <c r="H35" s="403"/>
      <c r="I35" s="403"/>
      <c r="J35" s="405"/>
      <c r="K35" s="406"/>
      <c r="L35" s="407">
        <v>20000</v>
      </c>
      <c r="M35" s="408"/>
      <c r="N35" s="408"/>
      <c r="O35" s="67"/>
      <c r="P35" s="408"/>
      <c r="Q35" s="409"/>
      <c r="R35" s="407" t="s">
        <v>122</v>
      </c>
      <c r="S35" s="407" t="s">
        <v>183</v>
      </c>
      <c r="T35" s="396" t="s">
        <v>228</v>
      </c>
      <c r="U35" s="396"/>
      <c r="V35" s="414"/>
      <c r="W35" s="396" t="s">
        <v>184</v>
      </c>
      <c r="X35" s="407"/>
      <c r="Y35" s="407"/>
      <c r="Z35" s="410"/>
      <c r="AA35" s="411"/>
      <c r="AB35" s="376"/>
      <c r="AC35" s="376"/>
      <c r="AD35" s="377"/>
      <c r="AE35" s="378"/>
      <c r="AF35" s="412"/>
      <c r="AG35" s="411"/>
      <c r="AH35" s="411"/>
      <c r="AI35" s="411"/>
      <c r="AJ35" s="411"/>
      <c r="AK35" s="411"/>
      <c r="AL35" s="411"/>
      <c r="AM35" s="396"/>
      <c r="AN35" s="396"/>
      <c r="AO35" s="396"/>
      <c r="AP35" s="400"/>
      <c r="AQ35" s="400"/>
      <c r="AR35" s="401"/>
      <c r="AT35" s="82" t="str">
        <f>C35</f>
        <v>OCI SE</v>
      </c>
      <c r="AU35" s="311">
        <f>L35</f>
        <v>20000</v>
      </c>
      <c r="AV35" s="82"/>
      <c r="AW35" s="218">
        <f t="shared" si="25"/>
        <v>0</v>
      </c>
      <c r="AX35" s="218">
        <f t="shared" si="25"/>
        <v>0</v>
      </c>
      <c r="AY35" s="219">
        <f t="shared" si="26"/>
        <v>0</v>
      </c>
      <c r="AZ35" s="219">
        <f t="shared" si="27"/>
        <v>0</v>
      </c>
      <c r="BA35" s="136">
        <f t="shared" si="28"/>
        <v>0</v>
      </c>
    </row>
    <row r="36" spans="1:53" s="102" customFormat="1" ht="24.95" customHeight="1">
      <c r="A36" s="841"/>
      <c r="C36" s="402" t="s">
        <v>188</v>
      </c>
      <c r="D36" s="400" t="s">
        <v>219</v>
      </c>
      <c r="E36" s="403" t="s">
        <v>865</v>
      </c>
      <c r="F36" s="403"/>
      <c r="G36" s="403"/>
      <c r="H36" s="403"/>
      <c r="I36" s="403"/>
      <c r="J36" s="405"/>
      <c r="K36" s="406"/>
      <c r="L36" s="407">
        <v>30000</v>
      </c>
      <c r="M36" s="408"/>
      <c r="N36" s="408"/>
      <c r="O36" s="67"/>
      <c r="P36" s="408"/>
      <c r="Q36" s="409"/>
      <c r="R36" s="407" t="s">
        <v>122</v>
      </c>
      <c r="S36" s="407" t="s">
        <v>448</v>
      </c>
      <c r="T36" s="396"/>
      <c r="U36" s="396"/>
      <c r="V36" s="414"/>
      <c r="W36" s="396" t="s">
        <v>184</v>
      </c>
      <c r="X36" s="407"/>
      <c r="Y36" s="407"/>
      <c r="Z36" s="410"/>
      <c r="AA36" s="411"/>
      <c r="AB36" s="376"/>
      <c r="AC36" s="376"/>
      <c r="AD36" s="377"/>
      <c r="AE36" s="378"/>
      <c r="AF36" s="412"/>
      <c r="AG36" s="411"/>
      <c r="AH36" s="411"/>
      <c r="AI36" s="411"/>
      <c r="AJ36" s="411"/>
      <c r="AK36" s="411"/>
      <c r="AL36" s="411"/>
      <c r="AM36" s="396"/>
      <c r="AN36" s="396"/>
      <c r="AO36" s="396"/>
      <c r="AP36" s="400"/>
      <c r="AQ36" s="400"/>
      <c r="AR36" s="401"/>
      <c r="AT36" s="82" t="str">
        <f t="shared" si="4"/>
        <v>SNNC</v>
      </c>
      <c r="AU36" s="311">
        <f t="shared" si="19"/>
        <v>30000</v>
      </c>
      <c r="AV36" s="82"/>
      <c r="AW36" s="218">
        <f t="shared" si="25"/>
        <v>0</v>
      </c>
      <c r="AX36" s="218">
        <f t="shared" si="25"/>
        <v>0</v>
      </c>
      <c r="AY36" s="219">
        <f t="shared" si="26"/>
        <v>0</v>
      </c>
      <c r="AZ36" s="219">
        <f t="shared" si="27"/>
        <v>0</v>
      </c>
      <c r="BA36" s="136">
        <f t="shared" si="28"/>
        <v>0</v>
      </c>
    </row>
    <row r="37" spans="1:53" s="102" customFormat="1" ht="24.95" customHeight="1">
      <c r="A37" s="841"/>
      <c r="C37" s="105" t="s">
        <v>185</v>
      </c>
      <c r="D37" s="400" t="s">
        <v>219</v>
      </c>
      <c r="E37" s="403">
        <v>46101</v>
      </c>
      <c r="F37" s="403"/>
      <c r="G37" s="403"/>
      <c r="H37" s="403"/>
      <c r="I37" s="403"/>
      <c r="J37" s="405"/>
      <c r="K37" s="406"/>
      <c r="L37" s="407">
        <v>77000</v>
      </c>
      <c r="M37" s="408"/>
      <c r="N37" s="408"/>
      <c r="O37" s="67"/>
      <c r="P37" s="408"/>
      <c r="Q37" s="409"/>
      <c r="R37" s="407" t="s">
        <v>122</v>
      </c>
      <c r="S37" s="407"/>
      <c r="T37" s="396"/>
      <c r="U37" s="396"/>
      <c r="V37" s="414"/>
      <c r="W37" s="396"/>
      <c r="X37" s="407"/>
      <c r="Y37" s="407"/>
      <c r="Z37" s="410"/>
      <c r="AA37" s="411"/>
      <c r="AB37" s="376"/>
      <c r="AC37" s="376"/>
      <c r="AD37" s="377"/>
      <c r="AE37" s="378"/>
      <c r="AF37" s="412"/>
      <c r="AG37" s="411"/>
      <c r="AH37" s="411"/>
      <c r="AI37" s="411"/>
      <c r="AJ37" s="411"/>
      <c r="AK37" s="411"/>
      <c r="AL37" s="411"/>
      <c r="AM37" s="396"/>
      <c r="AN37" s="396"/>
      <c r="AO37" s="396"/>
      <c r="AP37" s="400"/>
      <c r="AQ37" s="400"/>
      <c r="AR37" s="401"/>
      <c r="AT37" s="82" t="str">
        <f t="shared" si="4"/>
        <v>남동발전</v>
      </c>
      <c r="AU37" s="311">
        <f t="shared" si="19"/>
        <v>77000</v>
      </c>
      <c r="AV37" s="82"/>
      <c r="AW37" s="218">
        <f t="shared" si="25"/>
        <v>0</v>
      </c>
      <c r="AX37" s="218">
        <f t="shared" si="25"/>
        <v>0</v>
      </c>
      <c r="AY37" s="219">
        <f t="shared" si="26"/>
        <v>0</v>
      </c>
      <c r="AZ37" s="219">
        <f t="shared" si="27"/>
        <v>0</v>
      </c>
      <c r="BA37" s="136">
        <f t="shared" si="28"/>
        <v>0</v>
      </c>
    </row>
    <row r="38" spans="1:53" s="102" customFormat="1" ht="24.95" customHeight="1">
      <c r="A38" s="841"/>
      <c r="C38" s="525" t="s">
        <v>777</v>
      </c>
      <c r="D38" s="524" t="s">
        <v>219</v>
      </c>
      <c r="E38" s="497">
        <v>46101</v>
      </c>
      <c r="F38" s="497"/>
      <c r="G38" s="497"/>
      <c r="H38" s="497"/>
      <c r="I38" s="497"/>
      <c r="J38" s="526"/>
      <c r="K38" s="527"/>
      <c r="L38" s="528">
        <v>40000</v>
      </c>
      <c r="M38" s="529"/>
      <c r="N38" s="529"/>
      <c r="O38" s="529">
        <f t="shared" ref="O38" si="29">+M38+N38</f>
        <v>0</v>
      </c>
      <c r="P38" s="529"/>
      <c r="Q38" s="530"/>
      <c r="R38" s="528" t="s">
        <v>122</v>
      </c>
      <c r="S38" s="528"/>
      <c r="T38" s="531" t="s">
        <v>872</v>
      </c>
      <c r="U38" s="531"/>
      <c r="V38" s="535"/>
      <c r="W38" s="531"/>
      <c r="X38" s="528"/>
      <c r="Y38" s="528"/>
      <c r="Z38" s="532"/>
      <c r="AA38" s="533"/>
      <c r="AB38" s="553"/>
      <c r="AC38" s="553"/>
      <c r="AD38" s="554"/>
      <c r="AE38" s="537"/>
      <c r="AF38" s="555"/>
      <c r="AG38" s="533"/>
      <c r="AH38" s="533"/>
      <c r="AI38" s="533"/>
      <c r="AJ38" s="533"/>
      <c r="AK38" s="533"/>
      <c r="AL38" s="533"/>
      <c r="AM38" s="531"/>
      <c r="AN38" s="531"/>
      <c r="AO38" s="531"/>
      <c r="AP38" s="524"/>
      <c r="AQ38" s="524"/>
      <c r="AR38" s="536" t="s">
        <v>879</v>
      </c>
      <c r="AT38" s="82" t="str">
        <f t="shared" si="4"/>
        <v>포스코</v>
      </c>
      <c r="AU38" s="311">
        <f t="shared" si="19"/>
        <v>40000</v>
      </c>
      <c r="AV38" s="82"/>
      <c r="AW38" s="218">
        <f t="shared" si="25"/>
        <v>0</v>
      </c>
      <c r="AX38" s="218">
        <f t="shared" si="25"/>
        <v>0</v>
      </c>
      <c r="AY38" s="219">
        <f t="shared" si="26"/>
        <v>0</v>
      </c>
      <c r="AZ38" s="219">
        <f t="shared" si="27"/>
        <v>0</v>
      </c>
      <c r="BA38" s="136">
        <f t="shared" si="28"/>
        <v>0</v>
      </c>
    </row>
    <row r="39" spans="1:53" s="82" customFormat="1" ht="24.95" customHeight="1" thickBot="1">
      <c r="A39" s="840"/>
      <c r="C39" s="108"/>
      <c r="D39" s="91"/>
      <c r="E39" s="92"/>
      <c r="F39" s="92"/>
      <c r="G39" s="92"/>
      <c r="H39" s="92"/>
      <c r="I39" s="92"/>
      <c r="J39" s="150">
        <f>IFERROR(AVERAGE(J28:J38),0)</f>
        <v>0</v>
      </c>
      <c r="K39" s="150">
        <f>IFERROR(AVERAGE(K28:K38),0)</f>
        <v>0</v>
      </c>
      <c r="L39" s="95">
        <f>SUM(L32:L38)</f>
        <v>292000</v>
      </c>
      <c r="M39" s="95">
        <f>SUM(M28:M38)</f>
        <v>0</v>
      </c>
      <c r="N39" s="95">
        <f>SUM(N28:N38)</f>
        <v>73727</v>
      </c>
      <c r="O39" s="95">
        <f>SUM(O28:O38)</f>
        <v>73727</v>
      </c>
      <c r="P39" s="93"/>
      <c r="Q39" s="95"/>
      <c r="R39" s="95"/>
      <c r="S39" s="91"/>
      <c r="T39" s="91"/>
      <c r="U39" s="97"/>
      <c r="V39" s="96"/>
      <c r="W39" s="97"/>
      <c r="X39" s="98"/>
      <c r="Y39" s="98"/>
      <c r="Z39" s="207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100"/>
      <c r="AN39" s="100"/>
      <c r="AO39" s="100"/>
      <c r="AP39" s="96"/>
      <c r="AQ39" s="96"/>
      <c r="AR39" s="109"/>
      <c r="AT39" s="82">
        <f t="shared" si="4"/>
        <v>0</v>
      </c>
      <c r="AU39" s="311">
        <f t="shared" si="19"/>
        <v>292000</v>
      </c>
      <c r="AW39" s="218">
        <f t="shared" si="25"/>
        <v>0</v>
      </c>
      <c r="AX39" s="218">
        <f t="shared" si="25"/>
        <v>1</v>
      </c>
      <c r="AY39" s="219">
        <f t="shared" si="7"/>
        <v>0</v>
      </c>
      <c r="AZ39" s="219">
        <f t="shared" si="8"/>
        <v>1</v>
      </c>
      <c r="BA39" s="136">
        <f t="shared" si="9"/>
        <v>1</v>
      </c>
    </row>
    <row r="40" spans="1:53" s="82" customFormat="1" ht="24.95" hidden="1" customHeight="1" outlineLevel="1" thickBot="1">
      <c r="A40" s="840"/>
      <c r="C40" s="644" t="s">
        <v>821</v>
      </c>
      <c r="D40" s="645"/>
      <c r="E40" s="645"/>
      <c r="F40" s="645"/>
      <c r="G40" s="645"/>
      <c r="H40" s="645"/>
      <c r="I40" s="645"/>
      <c r="J40" s="645"/>
      <c r="K40" s="645"/>
      <c r="L40" s="645"/>
      <c r="M40" s="696"/>
      <c r="N40" s="696"/>
      <c r="O40" s="696"/>
      <c r="P40" s="696"/>
      <c r="Q40" s="645"/>
      <c r="R40" s="645"/>
      <c r="S40" s="645"/>
      <c r="T40" s="645"/>
      <c r="U40" s="646"/>
      <c r="V40" s="645"/>
      <c r="W40" s="645"/>
      <c r="X40" s="645"/>
      <c r="Y40" s="645"/>
      <c r="Z40" s="647"/>
      <c r="AA40" s="645"/>
      <c r="AB40" s="645"/>
      <c r="AC40" s="645"/>
      <c r="AD40" s="645"/>
      <c r="AE40" s="645"/>
      <c r="AF40" s="645"/>
      <c r="AG40" s="645"/>
      <c r="AH40" s="645"/>
      <c r="AI40" s="645"/>
      <c r="AJ40" s="645"/>
      <c r="AK40" s="645"/>
      <c r="AL40" s="645"/>
      <c r="AM40" s="645"/>
      <c r="AN40" s="645"/>
      <c r="AO40" s="645"/>
      <c r="AP40" s="645"/>
      <c r="AQ40" s="645"/>
      <c r="AR40" s="648"/>
      <c r="AT40" s="82" t="str">
        <f t="shared" si="4"/>
        <v>2026년 4월 반입 예정 선박리스트</v>
      </c>
      <c r="AU40" s="311">
        <f t="shared" si="19"/>
        <v>0</v>
      </c>
      <c r="AW40" s="218">
        <f t="shared" si="25"/>
        <v>0</v>
      </c>
      <c r="AX40" s="218">
        <f t="shared" si="25"/>
        <v>0</v>
      </c>
      <c r="AY40" s="219">
        <f t="shared" si="7"/>
        <v>0</v>
      </c>
      <c r="AZ40" s="219">
        <f t="shared" si="8"/>
        <v>0</v>
      </c>
      <c r="BA40" s="136">
        <f t="shared" si="9"/>
        <v>0</v>
      </c>
    </row>
    <row r="41" spans="1:53" s="82" customFormat="1" ht="24.95" hidden="1" customHeight="1" outlineLevel="1">
      <c r="A41" s="308"/>
      <c r="C41" s="923" t="s">
        <v>188</v>
      </c>
      <c r="D41" s="71"/>
      <c r="E41" s="64" t="s">
        <v>886</v>
      </c>
      <c r="F41" s="64"/>
      <c r="G41" s="64"/>
      <c r="H41" s="64"/>
      <c r="I41" s="64"/>
      <c r="J41" s="65"/>
      <c r="K41" s="66"/>
      <c r="L41" s="69">
        <v>55000</v>
      </c>
      <c r="M41" s="67"/>
      <c r="N41" s="67"/>
      <c r="O41" s="67">
        <f>+M41+N41</f>
        <v>0</v>
      </c>
      <c r="P41" s="67"/>
      <c r="Q41" s="69"/>
      <c r="R41" s="407" t="s">
        <v>122</v>
      </c>
      <c r="S41" s="70"/>
      <c r="T41" s="70" t="s">
        <v>448</v>
      </c>
      <c r="U41" s="70"/>
      <c r="V41" s="70"/>
      <c r="W41" s="70" t="s">
        <v>782</v>
      </c>
      <c r="X41" s="69"/>
      <c r="Y41" s="69"/>
      <c r="Z41" s="204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0"/>
      <c r="AN41" s="70"/>
      <c r="AO41" s="70"/>
      <c r="AP41" s="71"/>
      <c r="AQ41" s="71"/>
      <c r="AR41" s="104"/>
      <c r="AU41" s="311"/>
      <c r="AW41" s="218"/>
      <c r="AX41" s="218"/>
      <c r="AY41" s="219"/>
      <c r="AZ41" s="219"/>
      <c r="BA41" s="136"/>
    </row>
    <row r="42" spans="1:53" s="82" customFormat="1" ht="24.95" hidden="1" customHeight="1" outlineLevel="1">
      <c r="A42" s="308"/>
      <c r="C42" s="105" t="s">
        <v>222</v>
      </c>
      <c r="D42" s="71" t="s">
        <v>219</v>
      </c>
      <c r="E42" s="64" t="s">
        <v>866</v>
      </c>
      <c r="F42" s="64"/>
      <c r="G42" s="64"/>
      <c r="H42" s="64"/>
      <c r="I42" s="64"/>
      <c r="J42" s="65"/>
      <c r="K42" s="66"/>
      <c r="L42" s="69">
        <v>20000</v>
      </c>
      <c r="M42" s="67"/>
      <c r="N42" s="67"/>
      <c r="O42" s="67">
        <f t="shared" ref="O42:O46" si="30">+M42+N42</f>
        <v>0</v>
      </c>
      <c r="P42" s="67"/>
      <c r="Q42" s="68"/>
      <c r="R42" s="407" t="s">
        <v>122</v>
      </c>
      <c r="S42" s="70" t="s">
        <v>279</v>
      </c>
      <c r="T42" s="70" t="s">
        <v>597</v>
      </c>
      <c r="U42" s="70"/>
      <c r="V42" s="70"/>
      <c r="W42" s="70"/>
      <c r="X42" s="83"/>
      <c r="Y42" s="83"/>
      <c r="Z42" s="206"/>
      <c r="AA42" s="84"/>
      <c r="AB42" s="192"/>
      <c r="AC42" s="192"/>
      <c r="AD42" s="193"/>
      <c r="AE42" s="89"/>
      <c r="AF42" s="194"/>
      <c r="AG42" s="72"/>
      <c r="AH42" s="72"/>
      <c r="AI42" s="72"/>
      <c r="AJ42" s="72"/>
      <c r="AK42" s="72"/>
      <c r="AL42" s="72"/>
      <c r="AM42" s="70"/>
      <c r="AN42" s="83"/>
      <c r="AO42" s="83"/>
      <c r="AP42" s="71"/>
      <c r="AQ42" s="71"/>
      <c r="AR42" s="104"/>
      <c r="AU42" s="311"/>
      <c r="AW42" s="218"/>
      <c r="AX42" s="218"/>
      <c r="AY42" s="219"/>
      <c r="AZ42" s="219"/>
      <c r="BA42" s="136"/>
    </row>
    <row r="43" spans="1:53" s="82" customFormat="1" ht="24.95" hidden="1" customHeight="1" outlineLevel="1">
      <c r="A43" s="308"/>
      <c r="C43" s="105" t="s">
        <v>185</v>
      </c>
      <c r="D43" s="71"/>
      <c r="E43" s="64">
        <v>46132</v>
      </c>
      <c r="F43" s="64"/>
      <c r="G43" s="64"/>
      <c r="H43" s="64"/>
      <c r="I43" s="64"/>
      <c r="J43" s="65"/>
      <c r="K43" s="66"/>
      <c r="L43" s="69">
        <v>77000</v>
      </c>
      <c r="M43" s="67"/>
      <c r="N43" s="67"/>
      <c r="O43" s="67"/>
      <c r="P43" s="67"/>
      <c r="Q43" s="68"/>
      <c r="R43" s="407" t="s">
        <v>122</v>
      </c>
      <c r="S43" s="70"/>
      <c r="T43" s="70"/>
      <c r="U43" s="70"/>
      <c r="V43" s="70"/>
      <c r="W43" s="70"/>
      <c r="X43" s="83"/>
      <c r="Y43" s="83"/>
      <c r="Z43" s="206"/>
      <c r="AA43" s="84"/>
      <c r="AB43" s="192"/>
      <c r="AC43" s="192"/>
      <c r="AD43" s="193"/>
      <c r="AE43" s="89"/>
      <c r="AF43" s="194"/>
      <c r="AG43" s="72"/>
      <c r="AH43" s="72"/>
      <c r="AI43" s="72"/>
      <c r="AJ43" s="72"/>
      <c r="AK43" s="72"/>
      <c r="AL43" s="72"/>
      <c r="AM43" s="70"/>
      <c r="AN43" s="83"/>
      <c r="AO43" s="83"/>
      <c r="AP43" s="71"/>
      <c r="AQ43" s="71"/>
      <c r="AR43" s="104"/>
      <c r="AU43" s="311"/>
      <c r="AW43" s="218"/>
      <c r="AX43" s="218"/>
      <c r="AY43" s="219"/>
      <c r="AZ43" s="219"/>
      <c r="BA43" s="136"/>
    </row>
    <row r="44" spans="1:53" s="82" customFormat="1" ht="24.95" hidden="1" customHeight="1" outlineLevel="1">
      <c r="A44" s="308"/>
      <c r="C44" s="105" t="s">
        <v>182</v>
      </c>
      <c r="D44" s="71"/>
      <c r="E44" s="64" t="s">
        <v>887</v>
      </c>
      <c r="F44" s="64"/>
      <c r="G44" s="64"/>
      <c r="H44" s="64"/>
      <c r="I44" s="64"/>
      <c r="J44" s="65"/>
      <c r="K44" s="66"/>
      <c r="L44" s="407">
        <v>20000</v>
      </c>
      <c r="M44" s="67"/>
      <c r="N44" s="67"/>
      <c r="O44" s="67"/>
      <c r="P44" s="67"/>
      <c r="Q44" s="68"/>
      <c r="R44" s="407" t="s">
        <v>122</v>
      </c>
      <c r="S44" s="70" t="s">
        <v>183</v>
      </c>
      <c r="T44" s="70" t="s">
        <v>228</v>
      </c>
      <c r="U44" s="70"/>
      <c r="V44" s="70"/>
      <c r="W44" s="70" t="s">
        <v>184</v>
      </c>
      <c r="X44" s="83"/>
      <c r="Y44" s="83"/>
      <c r="Z44" s="206"/>
      <c r="AA44" s="84"/>
      <c r="AB44" s="192"/>
      <c r="AC44" s="192"/>
      <c r="AD44" s="193"/>
      <c r="AE44" s="89"/>
      <c r="AF44" s="194"/>
      <c r="AG44" s="72"/>
      <c r="AH44" s="72"/>
      <c r="AI44" s="72"/>
      <c r="AJ44" s="72"/>
      <c r="AK44" s="72"/>
      <c r="AL44" s="72"/>
      <c r="AM44" s="70"/>
      <c r="AN44" s="83"/>
      <c r="AO44" s="83"/>
      <c r="AP44" s="71"/>
      <c r="AQ44" s="71"/>
      <c r="AR44" s="104"/>
      <c r="AU44" s="311"/>
      <c r="AW44" s="218"/>
      <c r="AX44" s="218"/>
      <c r="AY44" s="219"/>
      <c r="AZ44" s="219"/>
      <c r="BA44" s="136"/>
    </row>
    <row r="45" spans="1:53" s="82" customFormat="1" ht="24.95" hidden="1" customHeight="1" outlineLevel="1">
      <c r="A45" s="308"/>
      <c r="C45" s="105"/>
      <c r="D45" s="71"/>
      <c r="E45" s="64"/>
      <c r="F45" s="64"/>
      <c r="G45" s="64"/>
      <c r="H45" s="64"/>
      <c r="I45" s="64"/>
      <c r="J45" s="65"/>
      <c r="K45" s="66"/>
      <c r="L45" s="69"/>
      <c r="M45" s="67"/>
      <c r="N45" s="67"/>
      <c r="O45" s="67">
        <f t="shared" si="30"/>
        <v>0</v>
      </c>
      <c r="P45" s="67"/>
      <c r="Q45" s="68"/>
      <c r="R45" s="69"/>
      <c r="S45" s="70"/>
      <c r="T45" s="70"/>
      <c r="U45" s="70"/>
      <c r="V45" s="70"/>
      <c r="W45" s="70"/>
      <c r="X45" s="69"/>
      <c r="Y45" s="69"/>
      <c r="Z45" s="204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0"/>
      <c r="AN45" s="70"/>
      <c r="AO45" s="70"/>
      <c r="AP45" s="71"/>
      <c r="AQ45" s="71"/>
      <c r="AR45" s="924"/>
      <c r="AU45" s="311"/>
      <c r="AW45" s="218"/>
      <c r="AX45" s="218"/>
      <c r="AY45" s="219"/>
      <c r="AZ45" s="219"/>
      <c r="BA45" s="136"/>
    </row>
    <row r="46" spans="1:53" s="82" customFormat="1" ht="24.95" hidden="1" customHeight="1" outlineLevel="1">
      <c r="A46" s="308"/>
      <c r="C46" s="63"/>
      <c r="D46" s="71"/>
      <c r="E46" s="64"/>
      <c r="F46" s="64"/>
      <c r="G46" s="64"/>
      <c r="H46" s="64"/>
      <c r="I46" s="64"/>
      <c r="J46" s="65"/>
      <c r="K46" s="66"/>
      <c r="L46" s="69"/>
      <c r="M46" s="67"/>
      <c r="N46" s="69"/>
      <c r="O46" s="67">
        <f t="shared" si="30"/>
        <v>0</v>
      </c>
      <c r="P46" s="67"/>
      <c r="Q46" s="68"/>
      <c r="R46" s="69"/>
      <c r="S46" s="70"/>
      <c r="T46" s="70"/>
      <c r="U46" s="70"/>
      <c r="V46" s="73"/>
      <c r="W46" s="70"/>
      <c r="X46" s="83"/>
      <c r="Y46" s="83"/>
      <c r="Z46" s="206"/>
      <c r="AA46" s="84"/>
      <c r="AB46" s="192"/>
      <c r="AC46" s="192"/>
      <c r="AD46" s="193"/>
      <c r="AE46" s="89"/>
      <c r="AF46" s="194"/>
      <c r="AG46" s="72"/>
      <c r="AH46" s="72"/>
      <c r="AI46" s="72"/>
      <c r="AJ46" s="64"/>
      <c r="AK46" s="64"/>
      <c r="AL46" s="72"/>
      <c r="AM46" s="70"/>
      <c r="AN46" s="70"/>
      <c r="AO46" s="70"/>
      <c r="AP46" s="73"/>
      <c r="AQ46" s="73"/>
      <c r="AR46" s="107"/>
      <c r="AU46" s="311"/>
      <c r="AW46" s="218"/>
      <c r="AX46" s="218"/>
      <c r="AY46" s="219"/>
      <c r="AZ46" s="219"/>
      <c r="BA46" s="136"/>
    </row>
    <row r="47" spans="1:53" s="82" customFormat="1" ht="24.95" hidden="1" customHeight="1" outlineLevel="1" thickBot="1">
      <c r="A47" s="840"/>
      <c r="C47" s="698"/>
      <c r="D47" s="91"/>
      <c r="E47" s="92"/>
      <c r="F47" s="92"/>
      <c r="G47" s="92"/>
      <c r="H47" s="92"/>
      <c r="I47" s="92"/>
      <c r="J47" s="150">
        <f>IFERROR(AVERAGE(J42:J46),0)</f>
        <v>0</v>
      </c>
      <c r="K47" s="150">
        <f>IFERROR(AVERAGE(K42:K46),0)</f>
        <v>0</v>
      </c>
      <c r="L47" s="95">
        <f>SUM(L41:L46)</f>
        <v>172000</v>
      </c>
      <c r="M47" s="95">
        <f t="shared" ref="M47:O47" si="31">SUM(M41:M46)</f>
        <v>0</v>
      </c>
      <c r="N47" s="95">
        <f t="shared" si="31"/>
        <v>0</v>
      </c>
      <c r="O47" s="95">
        <f t="shared" si="31"/>
        <v>0</v>
      </c>
      <c r="P47" s="93"/>
      <c r="Q47" s="95"/>
      <c r="R47" s="95"/>
      <c r="S47" s="91"/>
      <c r="T47" s="91"/>
      <c r="U47" s="97"/>
      <c r="V47" s="96"/>
      <c r="W47" s="97"/>
      <c r="X47" s="98"/>
      <c r="Y47" s="98"/>
      <c r="Z47" s="207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100"/>
      <c r="AN47" s="100"/>
      <c r="AO47" s="100"/>
      <c r="AP47" s="96"/>
      <c r="AQ47" s="96"/>
      <c r="AR47" s="699"/>
      <c r="AT47" s="82">
        <f t="shared" si="4"/>
        <v>0</v>
      </c>
      <c r="AU47" s="311">
        <f t="shared" si="19"/>
        <v>172000</v>
      </c>
      <c r="AW47" s="218">
        <f t="shared" si="25"/>
        <v>0</v>
      </c>
      <c r="AX47" s="218">
        <f t="shared" si="25"/>
        <v>0</v>
      </c>
      <c r="AY47" s="219">
        <f t="shared" si="7"/>
        <v>0</v>
      </c>
      <c r="AZ47" s="219">
        <f t="shared" si="8"/>
        <v>0</v>
      </c>
      <c r="BA47" s="136">
        <f t="shared" si="9"/>
        <v>0</v>
      </c>
    </row>
    <row r="48" spans="1:53" s="82" customFormat="1" ht="24.95" hidden="1" customHeight="1" outlineLevel="1" thickBot="1">
      <c r="A48" s="840"/>
      <c r="C48" s="644" t="s">
        <v>823</v>
      </c>
      <c r="D48" s="645"/>
      <c r="E48" s="645"/>
      <c r="F48" s="645"/>
      <c r="G48" s="645"/>
      <c r="H48" s="645"/>
      <c r="I48" s="645"/>
      <c r="J48" s="645"/>
      <c r="K48" s="645"/>
      <c r="L48" s="645"/>
      <c r="M48" s="696"/>
      <c r="N48" s="696"/>
      <c r="O48" s="696"/>
      <c r="P48" s="696"/>
      <c r="Q48" s="645"/>
      <c r="R48" s="645"/>
      <c r="S48" s="645"/>
      <c r="T48" s="645"/>
      <c r="U48" s="646"/>
      <c r="V48" s="645"/>
      <c r="W48" s="645"/>
      <c r="X48" s="645"/>
      <c r="Y48" s="645"/>
      <c r="Z48" s="647"/>
      <c r="AA48" s="645"/>
      <c r="AB48" s="645"/>
      <c r="AC48" s="645"/>
      <c r="AD48" s="645"/>
      <c r="AE48" s="645"/>
      <c r="AF48" s="645"/>
      <c r="AG48" s="645"/>
      <c r="AH48" s="645"/>
      <c r="AI48" s="645"/>
      <c r="AJ48" s="645"/>
      <c r="AK48" s="645"/>
      <c r="AL48" s="645"/>
      <c r="AM48" s="645"/>
      <c r="AN48" s="645"/>
      <c r="AO48" s="645"/>
      <c r="AP48" s="645"/>
      <c r="AQ48" s="645"/>
      <c r="AR48" s="648"/>
      <c r="AT48" s="82" t="str">
        <f t="shared" si="4"/>
        <v>2026년 5월 반입 예정 선박리스트</v>
      </c>
      <c r="AU48" s="311">
        <f t="shared" si="19"/>
        <v>0</v>
      </c>
      <c r="AW48" s="218">
        <f t="shared" si="25"/>
        <v>0</v>
      </c>
      <c r="AX48" s="218">
        <f t="shared" si="25"/>
        <v>0</v>
      </c>
      <c r="AY48" s="219">
        <f t="shared" si="7"/>
        <v>0</v>
      </c>
      <c r="AZ48" s="219">
        <f t="shared" si="8"/>
        <v>0</v>
      </c>
      <c r="BA48" s="136">
        <f t="shared" si="9"/>
        <v>0</v>
      </c>
    </row>
    <row r="49" spans="1:53" s="82" customFormat="1" ht="24.95" hidden="1" customHeight="1" outlineLevel="1">
      <c r="A49" s="840"/>
      <c r="C49" s="63" t="s">
        <v>182</v>
      </c>
      <c r="D49" s="71" t="s">
        <v>219</v>
      </c>
      <c r="E49" s="64" t="s">
        <v>888</v>
      </c>
      <c r="F49" s="64"/>
      <c r="G49" s="64"/>
      <c r="H49" s="64"/>
      <c r="I49" s="64"/>
      <c r="J49" s="65"/>
      <c r="K49" s="66"/>
      <c r="L49" s="407">
        <v>20000</v>
      </c>
      <c r="M49" s="67"/>
      <c r="N49" s="69"/>
      <c r="O49" s="67">
        <f t="shared" ref="O49:O52" si="32">+M49+N49</f>
        <v>0</v>
      </c>
      <c r="P49" s="67"/>
      <c r="Q49" s="69"/>
      <c r="R49" s="407" t="s">
        <v>122</v>
      </c>
      <c r="S49" s="70" t="s">
        <v>183</v>
      </c>
      <c r="T49" s="70" t="s">
        <v>228</v>
      </c>
      <c r="U49" s="70"/>
      <c r="V49" s="70"/>
      <c r="W49" s="70" t="s">
        <v>184</v>
      </c>
      <c r="X49" s="925"/>
      <c r="Y49" s="83"/>
      <c r="Z49" s="70"/>
      <c r="AA49" s="926"/>
      <c r="AB49" s="70"/>
      <c r="AC49" s="70"/>
      <c r="AD49" s="193"/>
      <c r="AE49" s="89"/>
      <c r="AF49" s="194"/>
      <c r="AG49" s="72"/>
      <c r="AH49" s="72"/>
      <c r="AI49" s="72"/>
      <c r="AJ49" s="72"/>
      <c r="AK49" s="72"/>
      <c r="AL49" s="72"/>
      <c r="AM49" s="70"/>
      <c r="AN49" s="70"/>
      <c r="AO49" s="70"/>
      <c r="AP49" s="87"/>
      <c r="AQ49" s="71"/>
      <c r="AR49" s="927"/>
      <c r="AU49" s="311"/>
      <c r="AW49" s="218"/>
      <c r="AX49" s="218"/>
      <c r="AY49" s="219"/>
      <c r="AZ49" s="219"/>
      <c r="BA49" s="136"/>
    </row>
    <row r="50" spans="1:53" s="82" customFormat="1" ht="24.95" hidden="1" customHeight="1" outlineLevel="1">
      <c r="A50" s="840"/>
      <c r="C50" s="63"/>
      <c r="D50" s="449"/>
      <c r="E50" s="64"/>
      <c r="F50" s="64"/>
      <c r="G50" s="64"/>
      <c r="H50" s="64"/>
      <c r="I50" s="64"/>
      <c r="J50" s="65"/>
      <c r="K50" s="66"/>
      <c r="L50" s="69"/>
      <c r="M50" s="67"/>
      <c r="N50" s="69"/>
      <c r="O50" s="67">
        <f t="shared" si="32"/>
        <v>0</v>
      </c>
      <c r="P50" s="67"/>
      <c r="Q50" s="68"/>
      <c r="R50" s="69"/>
      <c r="S50" s="70"/>
      <c r="T50" s="70"/>
      <c r="U50" s="70"/>
      <c r="V50" s="70"/>
      <c r="W50" s="70"/>
      <c r="X50" s="925"/>
      <c r="Y50" s="83"/>
      <c r="Z50" s="70"/>
      <c r="AA50" s="926"/>
      <c r="AB50" s="926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0"/>
      <c r="AN50" s="70"/>
      <c r="AO50" s="70"/>
      <c r="AP50" s="71"/>
      <c r="AQ50" s="71"/>
      <c r="AR50" s="928"/>
      <c r="AU50" s="311"/>
      <c r="AW50" s="218"/>
      <c r="AX50" s="218"/>
      <c r="AY50" s="219"/>
      <c r="AZ50" s="219"/>
      <c r="BA50" s="136"/>
    </row>
    <row r="51" spans="1:53" s="82" customFormat="1" ht="24.95" hidden="1" customHeight="1" outlineLevel="1">
      <c r="A51" s="840"/>
      <c r="C51" s="923"/>
      <c r="D51" s="929"/>
      <c r="E51" s="64"/>
      <c r="F51" s="64"/>
      <c r="G51" s="64"/>
      <c r="H51" s="64"/>
      <c r="I51" s="64"/>
      <c r="J51" s="65"/>
      <c r="K51" s="66"/>
      <c r="L51" s="69"/>
      <c r="M51" s="67"/>
      <c r="N51" s="67"/>
      <c r="O51" s="67">
        <f t="shared" si="32"/>
        <v>0</v>
      </c>
      <c r="P51" s="67"/>
      <c r="Q51" s="69"/>
      <c r="R51" s="69"/>
      <c r="S51" s="70"/>
      <c r="T51" s="70"/>
      <c r="U51" s="70"/>
      <c r="V51" s="70"/>
      <c r="W51" s="70"/>
      <c r="X51" s="925"/>
      <c r="Y51" s="83"/>
      <c r="Z51" s="70"/>
      <c r="AA51" s="926"/>
      <c r="AB51" s="192"/>
      <c r="AC51" s="192"/>
      <c r="AD51" s="193"/>
      <c r="AE51" s="89"/>
      <c r="AF51" s="194"/>
      <c r="AG51" s="72"/>
      <c r="AH51" s="72"/>
      <c r="AI51" s="72"/>
      <c r="AJ51" s="72"/>
      <c r="AK51" s="72"/>
      <c r="AL51" s="72"/>
      <c r="AM51" s="70"/>
      <c r="AN51" s="70"/>
      <c r="AO51" s="70"/>
      <c r="AP51" s="71"/>
      <c r="AQ51" s="73"/>
      <c r="AR51" s="928"/>
      <c r="AU51" s="311"/>
      <c r="AW51" s="218"/>
      <c r="AX51" s="218"/>
      <c r="AY51" s="219"/>
      <c r="AZ51" s="219"/>
      <c r="BA51" s="136"/>
    </row>
    <row r="52" spans="1:53" s="82" customFormat="1" ht="24.95" hidden="1" customHeight="1" outlineLevel="1">
      <c r="A52" s="840"/>
      <c r="C52" s="105"/>
      <c r="D52" s="929"/>
      <c r="E52" s="930"/>
      <c r="F52" s="64"/>
      <c r="G52" s="64"/>
      <c r="H52" s="64"/>
      <c r="I52" s="64"/>
      <c r="J52" s="65"/>
      <c r="K52" s="66"/>
      <c r="L52" s="69"/>
      <c r="M52" s="67"/>
      <c r="N52" s="69"/>
      <c r="O52" s="67">
        <f t="shared" si="32"/>
        <v>0</v>
      </c>
      <c r="P52" s="67"/>
      <c r="Q52" s="68"/>
      <c r="R52" s="69"/>
      <c r="S52" s="70"/>
      <c r="T52" s="70"/>
      <c r="U52" s="70"/>
      <c r="V52" s="70"/>
      <c r="W52" s="70"/>
      <c r="X52" s="925"/>
      <c r="Y52" s="83"/>
      <c r="Z52" s="70"/>
      <c r="AA52" s="926"/>
      <c r="AB52" s="192"/>
      <c r="AC52" s="192"/>
      <c r="AD52" s="193"/>
      <c r="AE52" s="89"/>
      <c r="AF52" s="194"/>
      <c r="AG52" s="72"/>
      <c r="AH52" s="72"/>
      <c r="AI52" s="72"/>
      <c r="AJ52" s="72"/>
      <c r="AK52" s="72"/>
      <c r="AL52" s="72"/>
      <c r="AM52" s="70"/>
      <c r="AN52" s="70"/>
      <c r="AO52" s="70"/>
      <c r="AP52" s="71"/>
      <c r="AQ52" s="73"/>
      <c r="AR52" s="928"/>
      <c r="AU52" s="311"/>
      <c r="AW52" s="218"/>
      <c r="AX52" s="218"/>
      <c r="AY52" s="219"/>
      <c r="AZ52" s="219"/>
      <c r="BA52" s="136"/>
    </row>
    <row r="53" spans="1:53" s="82" customFormat="1" ht="24.95" hidden="1" customHeight="1" outlineLevel="1" thickBot="1">
      <c r="A53" s="840"/>
      <c r="C53" s="108"/>
      <c r="D53" s="91"/>
      <c r="E53" s="92"/>
      <c r="F53" s="92"/>
      <c r="G53" s="92"/>
      <c r="H53" s="92"/>
      <c r="I53" s="92"/>
      <c r="J53" s="150">
        <f>IFERROR(AVERAGE(J49:J52),0)</f>
        <v>0</v>
      </c>
      <c r="K53" s="150">
        <f>IFERROR(AVERAGE(K49:K52),0)</f>
        <v>0</v>
      </c>
      <c r="L53" s="95">
        <f>SUM(L49:L52)</f>
        <v>20000</v>
      </c>
      <c r="M53" s="95">
        <f>SUM(M49:M52)</f>
        <v>0</v>
      </c>
      <c r="N53" s="95">
        <f>SUM(N49:N52)</f>
        <v>0</v>
      </c>
      <c r="O53" s="95">
        <f>SUM(O49:O52)</f>
        <v>0</v>
      </c>
      <c r="P53" s="93"/>
      <c r="Q53" s="95"/>
      <c r="R53" s="95"/>
      <c r="S53" s="91"/>
      <c r="T53" s="91"/>
      <c r="U53" s="97"/>
      <c r="V53" s="96"/>
      <c r="W53" s="97"/>
      <c r="X53" s="98"/>
      <c r="Y53" s="98"/>
      <c r="Z53" s="207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100"/>
      <c r="AN53" s="100"/>
      <c r="AO53" s="100"/>
      <c r="AP53" s="96"/>
      <c r="AQ53" s="96"/>
      <c r="AR53" s="773"/>
      <c r="AT53" s="82">
        <f t="shared" ref="AT53:AT63" si="33">C53</f>
        <v>0</v>
      </c>
      <c r="AU53" s="311">
        <f t="shared" si="19"/>
        <v>20000</v>
      </c>
      <c r="AW53" s="218">
        <f t="shared" ref="AW53:AX54" si="34">IF(M53=0,0,1)</f>
        <v>0</v>
      </c>
      <c r="AX53" s="218">
        <f t="shared" si="34"/>
        <v>0</v>
      </c>
      <c r="AY53" s="219">
        <f t="shared" si="7"/>
        <v>0</v>
      </c>
      <c r="AZ53" s="219">
        <f t="shared" si="8"/>
        <v>0</v>
      </c>
      <c r="BA53" s="136">
        <f t="shared" si="9"/>
        <v>0</v>
      </c>
    </row>
    <row r="54" spans="1:53" s="82" customFormat="1" ht="24.95" hidden="1" customHeight="1" outlineLevel="1" thickBot="1">
      <c r="A54" s="840"/>
      <c r="C54" s="644" t="s">
        <v>824</v>
      </c>
      <c r="D54" s="645"/>
      <c r="E54" s="645"/>
      <c r="F54" s="645"/>
      <c r="G54" s="645"/>
      <c r="H54" s="645"/>
      <c r="I54" s="645"/>
      <c r="J54" s="645"/>
      <c r="K54" s="645"/>
      <c r="L54" s="645"/>
      <c r="M54" s="696"/>
      <c r="N54" s="696"/>
      <c r="O54" s="696"/>
      <c r="P54" s="696"/>
      <c r="Q54" s="645"/>
      <c r="R54" s="645"/>
      <c r="S54" s="645"/>
      <c r="T54" s="645"/>
      <c r="U54" s="646"/>
      <c r="V54" s="645"/>
      <c r="W54" s="645"/>
      <c r="X54" s="645"/>
      <c r="Y54" s="645"/>
      <c r="Z54" s="647"/>
      <c r="AA54" s="645"/>
      <c r="AB54" s="645"/>
      <c r="AC54" s="645"/>
      <c r="AD54" s="645"/>
      <c r="AE54" s="645"/>
      <c r="AF54" s="645"/>
      <c r="AG54" s="645"/>
      <c r="AH54" s="645"/>
      <c r="AI54" s="645"/>
      <c r="AJ54" s="645"/>
      <c r="AK54" s="645"/>
      <c r="AL54" s="645"/>
      <c r="AM54" s="645"/>
      <c r="AN54" s="645"/>
      <c r="AO54" s="645"/>
      <c r="AP54" s="645"/>
      <c r="AQ54" s="645"/>
      <c r="AR54" s="648"/>
      <c r="AT54" s="82" t="str">
        <f t="shared" si="33"/>
        <v>2026년 6월 반입 예정 선박리스트</v>
      </c>
      <c r="AU54" s="311">
        <f t="shared" si="19"/>
        <v>0</v>
      </c>
      <c r="AW54" s="218">
        <f t="shared" si="34"/>
        <v>0</v>
      </c>
      <c r="AX54" s="218">
        <f t="shared" si="34"/>
        <v>0</v>
      </c>
      <c r="AY54" s="219">
        <f t="shared" si="7"/>
        <v>0</v>
      </c>
      <c r="AZ54" s="219">
        <f t="shared" si="8"/>
        <v>0</v>
      </c>
      <c r="BA54" s="136">
        <f t="shared" si="9"/>
        <v>0</v>
      </c>
    </row>
    <row r="55" spans="1:53" s="82" customFormat="1" ht="24.95" hidden="1" customHeight="1" outlineLevel="1">
      <c r="A55" s="308"/>
      <c r="C55" s="923"/>
      <c r="D55" s="929"/>
      <c r="E55" s="64"/>
      <c r="F55" s="64"/>
      <c r="G55" s="64"/>
      <c r="H55" s="64"/>
      <c r="I55" s="64"/>
      <c r="J55" s="65"/>
      <c r="K55" s="66"/>
      <c r="L55" s="69"/>
      <c r="M55" s="67"/>
      <c r="N55" s="67"/>
      <c r="O55" s="67">
        <f t="shared" ref="O55:O61" si="35">+M55+N55</f>
        <v>0</v>
      </c>
      <c r="P55" s="67"/>
      <c r="Q55" s="69"/>
      <c r="R55" s="69"/>
      <c r="S55" s="70"/>
      <c r="T55" s="70"/>
      <c r="U55" s="70"/>
      <c r="V55" s="70"/>
      <c r="W55" s="70"/>
      <c r="X55" s="925"/>
      <c r="Y55" s="83"/>
      <c r="Z55" s="70"/>
      <c r="AA55" s="926"/>
      <c r="AB55" s="192"/>
      <c r="AC55" s="192"/>
      <c r="AD55" s="193"/>
      <c r="AE55" s="89"/>
      <c r="AF55" s="194"/>
      <c r="AG55" s="72"/>
      <c r="AH55" s="72"/>
      <c r="AI55" s="72"/>
      <c r="AJ55" s="72"/>
      <c r="AK55" s="72"/>
      <c r="AL55" s="72"/>
      <c r="AM55" s="70"/>
      <c r="AN55" s="70"/>
      <c r="AO55" s="70"/>
      <c r="AP55" s="71"/>
      <c r="AQ55" s="73"/>
      <c r="AR55" s="928"/>
      <c r="AU55" s="311"/>
      <c r="AW55" s="218"/>
      <c r="AX55" s="218"/>
      <c r="AY55" s="219"/>
      <c r="AZ55" s="219"/>
      <c r="BA55" s="136"/>
    </row>
    <row r="56" spans="1:53" s="82" customFormat="1" ht="24.95" hidden="1" customHeight="1" outlineLevel="1">
      <c r="A56" s="308"/>
      <c r="C56" s="105"/>
      <c r="D56" s="929"/>
      <c r="E56" s="64"/>
      <c r="F56" s="64"/>
      <c r="G56" s="64"/>
      <c r="H56" s="64"/>
      <c r="I56" s="64"/>
      <c r="J56" s="65"/>
      <c r="K56" s="66"/>
      <c r="L56" s="69"/>
      <c r="M56" s="67"/>
      <c r="N56" s="69"/>
      <c r="O56" s="67">
        <f t="shared" si="35"/>
        <v>0</v>
      </c>
      <c r="P56" s="67"/>
      <c r="Q56" s="68"/>
      <c r="R56" s="69"/>
      <c r="S56" s="70"/>
      <c r="T56" s="70"/>
      <c r="U56" s="70"/>
      <c r="V56" s="70"/>
      <c r="W56" s="70"/>
      <c r="X56" s="925"/>
      <c r="Y56" s="83"/>
      <c r="Z56" s="70"/>
      <c r="AA56" s="926"/>
      <c r="AB56" s="192"/>
      <c r="AC56" s="192"/>
      <c r="AD56" s="193"/>
      <c r="AE56" s="89"/>
      <c r="AF56" s="194"/>
      <c r="AG56" s="72"/>
      <c r="AH56" s="72"/>
      <c r="AI56" s="72"/>
      <c r="AJ56" s="72"/>
      <c r="AK56" s="72"/>
      <c r="AL56" s="72"/>
      <c r="AM56" s="70"/>
      <c r="AN56" s="70"/>
      <c r="AO56" s="70"/>
      <c r="AP56" s="87"/>
      <c r="AQ56" s="73"/>
      <c r="AR56" s="928"/>
      <c r="AU56" s="311"/>
      <c r="AW56" s="218"/>
      <c r="AX56" s="218"/>
      <c r="AY56" s="219"/>
      <c r="AZ56" s="219"/>
      <c r="BA56" s="136"/>
    </row>
    <row r="57" spans="1:53" s="82" customFormat="1" ht="24.95" hidden="1" customHeight="1" outlineLevel="1">
      <c r="A57" s="308"/>
      <c r="C57" s="63"/>
      <c r="D57" s="1139"/>
      <c r="E57" s="64"/>
      <c r="F57" s="64"/>
      <c r="G57" s="64"/>
      <c r="H57" s="64"/>
      <c r="I57" s="64"/>
      <c r="J57" s="65"/>
      <c r="K57" s="66"/>
      <c r="L57" s="69"/>
      <c r="M57" s="67"/>
      <c r="N57" s="69"/>
      <c r="O57" s="67">
        <f t="shared" si="35"/>
        <v>0</v>
      </c>
      <c r="P57" s="67"/>
      <c r="Q57" s="68"/>
      <c r="R57" s="69"/>
      <c r="S57" s="70"/>
      <c r="T57" s="70"/>
      <c r="U57" s="70"/>
      <c r="V57" s="70"/>
      <c r="W57" s="70"/>
      <c r="X57" s="925"/>
      <c r="Y57" s="83"/>
      <c r="Z57" s="70"/>
      <c r="AA57" s="926"/>
      <c r="AB57" s="192"/>
      <c r="AC57" s="192"/>
      <c r="AD57" s="193"/>
      <c r="AE57" s="89"/>
      <c r="AF57" s="194"/>
      <c r="AG57" s="72"/>
      <c r="AH57" s="72"/>
      <c r="AI57" s="72"/>
      <c r="AJ57" s="72"/>
      <c r="AK57" s="72"/>
      <c r="AL57" s="72"/>
      <c r="AM57" s="70"/>
      <c r="AN57" s="70"/>
      <c r="AO57" s="70"/>
      <c r="AP57" s="71"/>
      <c r="AQ57" s="73"/>
      <c r="AR57" s="107"/>
      <c r="AU57" s="311"/>
      <c r="AW57" s="218"/>
      <c r="AX57" s="218"/>
      <c r="AY57" s="219"/>
      <c r="AZ57" s="219"/>
      <c r="BA57" s="136"/>
    </row>
    <row r="58" spans="1:53" s="82" customFormat="1" ht="24.95" hidden="1" customHeight="1" outlineLevel="1">
      <c r="A58" s="308"/>
      <c r="C58" s="923"/>
      <c r="D58" s="1139"/>
      <c r="E58" s="64"/>
      <c r="F58" s="64"/>
      <c r="G58" s="64"/>
      <c r="H58" s="64"/>
      <c r="I58" s="64"/>
      <c r="J58" s="65"/>
      <c r="K58" s="66"/>
      <c r="L58" s="69"/>
      <c r="M58" s="67"/>
      <c r="N58" s="69"/>
      <c r="O58" s="67">
        <f t="shared" si="35"/>
        <v>0</v>
      </c>
      <c r="P58" s="67"/>
      <c r="Q58" s="68"/>
      <c r="R58" s="69"/>
      <c r="S58" s="70"/>
      <c r="T58" s="70"/>
      <c r="U58" s="70"/>
      <c r="V58" s="70"/>
      <c r="W58" s="70"/>
      <c r="X58" s="70"/>
      <c r="Y58" s="70"/>
      <c r="Z58" s="70"/>
      <c r="AA58" s="70"/>
      <c r="AB58" s="192"/>
      <c r="AC58" s="192"/>
      <c r="AD58" s="193"/>
      <c r="AE58" s="89"/>
      <c r="AF58" s="194"/>
      <c r="AG58" s="72"/>
      <c r="AH58" s="72"/>
      <c r="AI58" s="72"/>
      <c r="AJ58" s="72"/>
      <c r="AK58" s="72"/>
      <c r="AL58" s="72"/>
      <c r="AM58" s="70"/>
      <c r="AN58" s="70"/>
      <c r="AO58" s="70"/>
      <c r="AP58" s="71"/>
      <c r="AQ58" s="73"/>
      <c r="AR58" s="104"/>
      <c r="AU58" s="311"/>
      <c r="AW58" s="218"/>
      <c r="AX58" s="218"/>
      <c r="AY58" s="219"/>
      <c r="AZ58" s="219"/>
      <c r="BA58" s="136"/>
    </row>
    <row r="59" spans="1:53" s="82" customFormat="1" ht="24.95" hidden="1" customHeight="1" outlineLevel="1">
      <c r="A59" s="308"/>
      <c r="C59" s="105"/>
      <c r="D59" s="929"/>
      <c r="E59" s="931"/>
      <c r="F59" s="64"/>
      <c r="G59" s="64"/>
      <c r="H59" s="64"/>
      <c r="I59" s="64"/>
      <c r="J59" s="65"/>
      <c r="K59" s="66"/>
      <c r="L59" s="69"/>
      <c r="M59" s="67"/>
      <c r="N59" s="69"/>
      <c r="O59" s="67">
        <f t="shared" si="35"/>
        <v>0</v>
      </c>
      <c r="P59" s="67"/>
      <c r="Q59" s="68"/>
      <c r="R59" s="69"/>
      <c r="S59" s="70"/>
      <c r="T59" s="70"/>
      <c r="U59" s="70"/>
      <c r="V59" s="70"/>
      <c r="W59" s="70"/>
      <c r="X59" s="925"/>
      <c r="Y59" s="83"/>
      <c r="Z59" s="70"/>
      <c r="AA59" s="926"/>
      <c r="AB59" s="70"/>
      <c r="AC59" s="70"/>
      <c r="AD59" s="193"/>
      <c r="AE59" s="89"/>
      <c r="AF59" s="194"/>
      <c r="AG59" s="72"/>
      <c r="AH59" s="72"/>
      <c r="AI59" s="72"/>
      <c r="AJ59" s="72"/>
      <c r="AK59" s="72"/>
      <c r="AL59" s="72"/>
      <c r="AM59" s="70"/>
      <c r="AN59" s="70"/>
      <c r="AO59" s="70"/>
      <c r="AP59" s="71"/>
      <c r="AQ59" s="73"/>
      <c r="AR59" s="924"/>
      <c r="AU59" s="311"/>
      <c r="AW59" s="218"/>
      <c r="AX59" s="218"/>
      <c r="AY59" s="219"/>
      <c r="AZ59" s="219"/>
      <c r="BA59" s="136"/>
    </row>
    <row r="60" spans="1:53" s="82" customFormat="1" ht="24.95" hidden="1" customHeight="1" outlineLevel="1">
      <c r="A60" s="840"/>
      <c r="C60" s="105"/>
      <c r="D60" s="932"/>
      <c r="E60" s="933"/>
      <c r="F60" s="64"/>
      <c r="G60" s="64"/>
      <c r="H60" s="64"/>
      <c r="I60" s="64"/>
      <c r="J60" s="65"/>
      <c r="K60" s="66"/>
      <c r="L60" s="934"/>
      <c r="M60" s="67"/>
      <c r="N60" s="69"/>
      <c r="O60" s="67">
        <f t="shared" si="35"/>
        <v>0</v>
      </c>
      <c r="P60" s="67"/>
      <c r="Q60" s="68"/>
      <c r="R60" s="69"/>
      <c r="S60" s="70"/>
      <c r="T60" s="70"/>
      <c r="U60" s="70"/>
      <c r="V60" s="70"/>
      <c r="W60" s="70"/>
      <c r="X60" s="69"/>
      <c r="Y60" s="69"/>
      <c r="Z60" s="204"/>
      <c r="AA60" s="72"/>
      <c r="AB60" s="192"/>
      <c r="AC60" s="192"/>
      <c r="AD60" s="193"/>
      <c r="AE60" s="89"/>
      <c r="AF60" s="194"/>
      <c r="AG60" s="72"/>
      <c r="AH60" s="72"/>
      <c r="AI60" s="72"/>
      <c r="AJ60" s="72"/>
      <c r="AK60" s="72"/>
      <c r="AL60" s="72"/>
      <c r="AM60" s="70"/>
      <c r="AN60" s="70"/>
      <c r="AO60" s="70"/>
      <c r="AP60" s="71"/>
      <c r="AQ60" s="73"/>
      <c r="AR60" s="106"/>
      <c r="AT60" s="82">
        <f t="shared" si="33"/>
        <v>0</v>
      </c>
      <c r="AU60" s="311">
        <f t="shared" si="19"/>
        <v>0</v>
      </c>
      <c r="AW60" s="218">
        <f t="shared" ref="AW60:AX69" si="36">IF(M60=0,0,1)</f>
        <v>0</v>
      </c>
      <c r="AX60" s="218">
        <f t="shared" si="36"/>
        <v>0</v>
      </c>
      <c r="AY60" s="219">
        <f t="shared" si="7"/>
        <v>0</v>
      </c>
      <c r="AZ60" s="219">
        <f t="shared" si="8"/>
        <v>0</v>
      </c>
      <c r="BA60" s="136">
        <f t="shared" si="9"/>
        <v>0</v>
      </c>
    </row>
    <row r="61" spans="1:53" s="82" customFormat="1" ht="24.95" hidden="1" customHeight="1" outlineLevel="1">
      <c r="A61" s="840"/>
      <c r="C61" s="63"/>
      <c r="D61" s="71"/>
      <c r="E61" s="64"/>
      <c r="F61" s="64"/>
      <c r="G61" s="64"/>
      <c r="H61" s="64"/>
      <c r="I61" s="64"/>
      <c r="J61" s="65"/>
      <c r="K61" s="66"/>
      <c r="L61" s="69"/>
      <c r="M61" s="67"/>
      <c r="N61" s="69"/>
      <c r="O61" s="67">
        <f t="shared" si="35"/>
        <v>0</v>
      </c>
      <c r="P61" s="67"/>
      <c r="Q61" s="69"/>
      <c r="R61" s="69"/>
      <c r="S61" s="70"/>
      <c r="T61" s="70"/>
      <c r="U61" s="70"/>
      <c r="V61" s="70"/>
      <c r="W61" s="70"/>
      <c r="X61" s="69"/>
      <c r="Y61" s="69"/>
      <c r="Z61" s="204"/>
      <c r="AA61" s="72"/>
      <c r="AB61" s="192"/>
      <c r="AC61" s="192"/>
      <c r="AD61" s="193"/>
      <c r="AE61" s="89"/>
      <c r="AF61" s="194"/>
      <c r="AG61" s="72"/>
      <c r="AH61" s="72"/>
      <c r="AI61" s="72"/>
      <c r="AJ61" s="72"/>
      <c r="AK61" s="72"/>
      <c r="AL61" s="72"/>
      <c r="AM61" s="70"/>
      <c r="AN61" s="70"/>
      <c r="AO61" s="70"/>
      <c r="AP61" s="71"/>
      <c r="AQ61" s="71"/>
      <c r="AR61" s="106"/>
      <c r="AT61" s="82">
        <f t="shared" si="33"/>
        <v>0</v>
      </c>
      <c r="AU61" s="311">
        <f t="shared" si="19"/>
        <v>0</v>
      </c>
      <c r="AW61" s="218">
        <f t="shared" si="36"/>
        <v>0</v>
      </c>
      <c r="AX61" s="218">
        <f t="shared" si="36"/>
        <v>0</v>
      </c>
      <c r="AY61" s="219">
        <f t="shared" si="7"/>
        <v>0</v>
      </c>
      <c r="AZ61" s="219">
        <f t="shared" si="8"/>
        <v>0</v>
      </c>
      <c r="BA61" s="136">
        <f t="shared" si="9"/>
        <v>0</v>
      </c>
    </row>
    <row r="62" spans="1:53" s="82" customFormat="1" ht="24.95" hidden="1" customHeight="1" outlineLevel="1" thickBot="1">
      <c r="A62" s="840"/>
      <c r="C62" s="108"/>
      <c r="D62" s="91"/>
      <c r="E62" s="92"/>
      <c r="F62" s="92"/>
      <c r="G62" s="92"/>
      <c r="H62" s="92"/>
      <c r="I62" s="92"/>
      <c r="J62" s="150">
        <f>IFERROR(AVERAGE(J55:J59),0)</f>
        <v>0</v>
      </c>
      <c r="K62" s="150">
        <f>IFERROR(AVERAGE(K57:K60),0)</f>
        <v>0</v>
      </c>
      <c r="L62" s="95">
        <f>SUM(L55:L61)</f>
        <v>0</v>
      </c>
      <c r="M62" s="95">
        <f>SUM(M55:M61)</f>
        <v>0</v>
      </c>
      <c r="N62" s="95">
        <f>SUM(N55:N61)</f>
        <v>0</v>
      </c>
      <c r="O62" s="95">
        <f>SUM(O55:O61)</f>
        <v>0</v>
      </c>
      <c r="P62" s="93"/>
      <c r="Q62" s="95"/>
      <c r="R62" s="95"/>
      <c r="S62" s="91"/>
      <c r="T62" s="91"/>
      <c r="U62" s="97"/>
      <c r="V62" s="96"/>
      <c r="W62" s="97"/>
      <c r="X62" s="98"/>
      <c r="Y62" s="98"/>
      <c r="Z62" s="207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100"/>
      <c r="AN62" s="100"/>
      <c r="AO62" s="100"/>
      <c r="AP62" s="96"/>
      <c r="AQ62" s="96"/>
      <c r="AR62" s="109"/>
      <c r="AT62" s="82">
        <f t="shared" si="33"/>
        <v>0</v>
      </c>
      <c r="AU62" s="311">
        <f t="shared" si="19"/>
        <v>0</v>
      </c>
      <c r="AW62" s="218">
        <f t="shared" si="36"/>
        <v>0</v>
      </c>
      <c r="AX62" s="218">
        <f t="shared" si="36"/>
        <v>0</v>
      </c>
      <c r="AY62" s="219">
        <f t="shared" si="7"/>
        <v>0</v>
      </c>
      <c r="AZ62" s="219">
        <f t="shared" si="8"/>
        <v>0</v>
      </c>
      <c r="BA62" s="136">
        <f t="shared" si="9"/>
        <v>0</v>
      </c>
    </row>
    <row r="63" spans="1:53" s="82" customFormat="1" ht="24.95" hidden="1" customHeight="1" outlineLevel="1" thickBot="1">
      <c r="A63" s="840"/>
      <c r="C63" s="644" t="s">
        <v>825</v>
      </c>
      <c r="D63" s="645"/>
      <c r="E63" s="645"/>
      <c r="F63" s="645"/>
      <c r="G63" s="645"/>
      <c r="H63" s="645"/>
      <c r="I63" s="645"/>
      <c r="J63" s="645"/>
      <c r="K63" s="645"/>
      <c r="L63" s="645"/>
      <c r="M63" s="696"/>
      <c r="N63" s="696"/>
      <c r="O63" s="696"/>
      <c r="P63" s="696"/>
      <c r="Q63" s="645"/>
      <c r="R63" s="645"/>
      <c r="S63" s="645"/>
      <c r="T63" s="645"/>
      <c r="U63" s="646"/>
      <c r="V63" s="645"/>
      <c r="W63" s="645"/>
      <c r="X63" s="645"/>
      <c r="Y63" s="645"/>
      <c r="Z63" s="647"/>
      <c r="AA63" s="645"/>
      <c r="AB63" s="645"/>
      <c r="AC63" s="645"/>
      <c r="AD63" s="645"/>
      <c r="AE63" s="645"/>
      <c r="AF63" s="645"/>
      <c r="AG63" s="645"/>
      <c r="AH63" s="645"/>
      <c r="AI63" s="645"/>
      <c r="AJ63" s="645"/>
      <c r="AK63" s="645"/>
      <c r="AL63" s="645"/>
      <c r="AM63" s="645"/>
      <c r="AN63" s="645"/>
      <c r="AO63" s="645"/>
      <c r="AP63" s="645"/>
      <c r="AQ63" s="645"/>
      <c r="AR63" s="648"/>
      <c r="AT63" s="82" t="str">
        <f t="shared" si="33"/>
        <v>2026년 7월 반입 예정 선박리스트</v>
      </c>
      <c r="AU63" s="311">
        <f>L63</f>
        <v>0</v>
      </c>
      <c r="AW63" s="218">
        <f t="shared" si="36"/>
        <v>0</v>
      </c>
      <c r="AX63" s="218">
        <f t="shared" si="36"/>
        <v>0</v>
      </c>
      <c r="AY63" s="219">
        <f t="shared" si="7"/>
        <v>0</v>
      </c>
      <c r="AZ63" s="219">
        <f t="shared" si="8"/>
        <v>0</v>
      </c>
      <c r="BA63" s="136">
        <f t="shared" si="9"/>
        <v>0</v>
      </c>
    </row>
    <row r="64" spans="1:53" s="82" customFormat="1" ht="24.95" hidden="1" customHeight="1" outlineLevel="1">
      <c r="A64" s="308"/>
      <c r="C64" s="896"/>
      <c r="D64" s="929"/>
      <c r="E64" s="935"/>
      <c r="F64" s="64"/>
      <c r="G64" s="64"/>
      <c r="H64" s="64"/>
      <c r="I64" s="64"/>
      <c r="J64" s="72"/>
      <c r="K64" s="936"/>
      <c r="L64" s="937"/>
      <c r="M64" s="67"/>
      <c r="N64" s="69"/>
      <c r="O64" s="67">
        <f t="shared" ref="O64:O67" si="37">+M64+N64</f>
        <v>0</v>
      </c>
      <c r="P64" s="67"/>
      <c r="Q64" s="68"/>
      <c r="R64" s="69"/>
      <c r="S64" s="70"/>
      <c r="T64" s="70"/>
      <c r="U64" s="70"/>
      <c r="V64" s="70"/>
      <c r="W64" s="70"/>
      <c r="X64" s="69"/>
      <c r="Y64" s="69"/>
      <c r="Z64" s="204"/>
      <c r="AA64" s="72"/>
      <c r="AB64" s="192"/>
      <c r="AC64" s="192"/>
      <c r="AD64" s="193"/>
      <c r="AE64" s="89"/>
      <c r="AF64" s="194"/>
      <c r="AG64" s="72"/>
      <c r="AH64" s="72"/>
      <c r="AI64" s="72"/>
      <c r="AJ64" s="72"/>
      <c r="AK64" s="72"/>
      <c r="AL64" s="72"/>
      <c r="AM64" s="70"/>
      <c r="AN64" s="70"/>
      <c r="AO64" s="70"/>
      <c r="AP64" s="87"/>
      <c r="AQ64" s="73"/>
      <c r="AR64" s="107"/>
      <c r="AU64" s="311"/>
      <c r="AW64" s="218"/>
      <c r="AX64" s="218"/>
      <c r="AY64" s="219"/>
      <c r="AZ64" s="219"/>
      <c r="BA64" s="136"/>
    </row>
    <row r="65" spans="1:53" s="82" customFormat="1" ht="24.95" hidden="1" customHeight="1" outlineLevel="1">
      <c r="A65" s="308"/>
      <c r="C65" s="896"/>
      <c r="D65" s="929"/>
      <c r="E65" s="935"/>
      <c r="F65" s="64"/>
      <c r="G65" s="64"/>
      <c r="H65" s="64"/>
      <c r="I65" s="64"/>
      <c r="J65" s="72"/>
      <c r="K65" s="936"/>
      <c r="L65" s="69"/>
      <c r="M65" s="67"/>
      <c r="N65" s="69"/>
      <c r="O65" s="67">
        <f t="shared" si="37"/>
        <v>0</v>
      </c>
      <c r="P65" s="67"/>
      <c r="Q65" s="68"/>
      <c r="R65" s="69"/>
      <c r="S65" s="70"/>
      <c r="T65" s="70"/>
      <c r="U65" s="70"/>
      <c r="V65" s="70"/>
      <c r="W65" s="70"/>
      <c r="X65" s="925"/>
      <c r="Y65" s="83"/>
      <c r="Z65" s="70"/>
      <c r="AA65" s="926"/>
      <c r="AB65" s="192"/>
      <c r="AC65" s="192"/>
      <c r="AD65" s="193"/>
      <c r="AE65" s="89"/>
      <c r="AF65" s="194"/>
      <c r="AG65" s="72"/>
      <c r="AH65" s="72"/>
      <c r="AI65" s="72"/>
      <c r="AJ65" s="72"/>
      <c r="AK65" s="72"/>
      <c r="AL65" s="72"/>
      <c r="AM65" s="70"/>
      <c r="AN65" s="70"/>
      <c r="AO65" s="70"/>
      <c r="AP65" s="71"/>
      <c r="AQ65" s="73"/>
      <c r="AR65" s="924"/>
      <c r="AU65" s="311"/>
      <c r="AW65" s="218"/>
      <c r="AX65" s="218"/>
      <c r="AY65" s="219"/>
      <c r="AZ65" s="219"/>
      <c r="BA65" s="136"/>
    </row>
    <row r="66" spans="1:53" s="82" customFormat="1" ht="24.75" hidden="1" customHeight="1" outlineLevel="1">
      <c r="A66" s="840"/>
      <c r="C66" s="896"/>
      <c r="D66" s="938"/>
      <c r="E66" s="64"/>
      <c r="F66" s="64"/>
      <c r="G66" s="64"/>
      <c r="H66" s="64"/>
      <c r="I66" s="64"/>
      <c r="J66" s="72"/>
      <c r="K66" s="936"/>
      <c r="L66" s="937"/>
      <c r="M66" s="67"/>
      <c r="N66" s="69"/>
      <c r="O66" s="67">
        <f t="shared" si="37"/>
        <v>0</v>
      </c>
      <c r="P66" s="67"/>
      <c r="Q66" s="68"/>
      <c r="R66" s="69"/>
      <c r="S66" s="70"/>
      <c r="T66" s="70"/>
      <c r="U66" s="70"/>
      <c r="V66" s="70"/>
      <c r="W66" s="70"/>
      <c r="X66" s="69"/>
      <c r="Y66" s="69"/>
      <c r="Z66" s="204"/>
      <c r="AA66" s="72"/>
      <c r="AB66" s="192"/>
      <c r="AC66" s="192"/>
      <c r="AD66" s="193"/>
      <c r="AE66" s="89"/>
      <c r="AF66" s="194"/>
      <c r="AG66" s="72"/>
      <c r="AH66" s="72"/>
      <c r="AI66" s="72"/>
      <c r="AJ66" s="72"/>
      <c r="AK66" s="72"/>
      <c r="AL66" s="72"/>
      <c r="AM66" s="70"/>
      <c r="AN66" s="70"/>
      <c r="AO66" s="70"/>
      <c r="AP66" s="70"/>
      <c r="AQ66" s="70"/>
      <c r="AR66" s="107"/>
      <c r="AU66" s="311"/>
      <c r="AW66" s="218"/>
      <c r="AX66" s="218"/>
      <c r="AY66" s="219"/>
      <c r="AZ66" s="219"/>
      <c r="BA66" s="136"/>
    </row>
    <row r="67" spans="1:53" s="82" customFormat="1" ht="24.95" hidden="1" customHeight="1" outlineLevel="1">
      <c r="A67" s="840"/>
      <c r="C67" s="63"/>
      <c r="D67" s="71"/>
      <c r="E67" s="64"/>
      <c r="F67" s="64"/>
      <c r="G67" s="64"/>
      <c r="H67" s="64"/>
      <c r="I67" s="64"/>
      <c r="J67" s="72"/>
      <c r="K67" s="66"/>
      <c r="L67" s="69"/>
      <c r="M67" s="67"/>
      <c r="N67" s="67"/>
      <c r="O67" s="67">
        <f t="shared" si="37"/>
        <v>0</v>
      </c>
      <c r="P67" s="67"/>
      <c r="Q67" s="68"/>
      <c r="R67" s="69"/>
      <c r="S67" s="70"/>
      <c r="T67" s="70"/>
      <c r="U67" s="70"/>
      <c r="V67" s="70"/>
      <c r="W67" s="70"/>
      <c r="X67" s="69"/>
      <c r="Y67" s="69"/>
      <c r="Z67" s="204"/>
      <c r="AA67" s="72"/>
      <c r="AB67" s="72"/>
      <c r="AC67" s="72"/>
      <c r="AD67" s="72"/>
      <c r="AE67" s="89"/>
      <c r="AF67" s="80"/>
      <c r="AG67" s="80"/>
      <c r="AH67" s="80"/>
      <c r="AI67" s="80"/>
      <c r="AJ67" s="80"/>
      <c r="AK67" s="80"/>
      <c r="AL67" s="80"/>
      <c r="AM67" s="70"/>
      <c r="AN67" s="70"/>
      <c r="AO67" s="70"/>
      <c r="AP67" s="70"/>
      <c r="AQ67" s="70"/>
      <c r="AR67" s="107"/>
      <c r="AT67" s="82">
        <f>C67</f>
        <v>0</v>
      </c>
      <c r="AU67" s="311">
        <f t="shared" si="19"/>
        <v>0</v>
      </c>
      <c r="AW67" s="218">
        <f t="shared" si="36"/>
        <v>0</v>
      </c>
      <c r="AX67" s="218">
        <f t="shared" si="36"/>
        <v>0</v>
      </c>
      <c r="AY67" s="219">
        <f t="shared" si="7"/>
        <v>0</v>
      </c>
      <c r="AZ67" s="219">
        <f t="shared" si="8"/>
        <v>0</v>
      </c>
      <c r="BA67" s="136">
        <f t="shared" si="9"/>
        <v>0</v>
      </c>
    </row>
    <row r="68" spans="1:53" s="82" customFormat="1" ht="24.95" hidden="1" customHeight="1" outlineLevel="1" thickBot="1">
      <c r="A68" s="840"/>
      <c r="C68" s="108"/>
      <c r="D68" s="91"/>
      <c r="E68" s="92"/>
      <c r="F68" s="92"/>
      <c r="G68" s="92"/>
      <c r="H68" s="92"/>
      <c r="I68" s="92"/>
      <c r="J68" s="150">
        <f>IFERROR(AVERAGE(J64:J67),0)</f>
        <v>0</v>
      </c>
      <c r="K68" s="150">
        <f>IFERROR(AVERAGE(K64:K67),0)</f>
        <v>0</v>
      </c>
      <c r="L68" s="95">
        <f>SUM(L64:L67)</f>
        <v>0</v>
      </c>
      <c r="M68" s="95">
        <f>SUM(M64:M67)</f>
        <v>0</v>
      </c>
      <c r="N68" s="95">
        <f>SUM(N64:N67)</f>
        <v>0</v>
      </c>
      <c r="O68" s="95">
        <f>SUM(O64:O67)</f>
        <v>0</v>
      </c>
      <c r="P68" s="93"/>
      <c r="Q68" s="95"/>
      <c r="R68" s="95"/>
      <c r="S68" s="91"/>
      <c r="T68" s="91"/>
      <c r="U68" s="97"/>
      <c r="V68" s="96"/>
      <c r="W68" s="97"/>
      <c r="X68" s="98"/>
      <c r="Y68" s="98"/>
      <c r="Z68" s="207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100"/>
      <c r="AN68" s="100"/>
      <c r="AO68" s="100"/>
      <c r="AP68" s="100"/>
      <c r="AQ68" s="100"/>
      <c r="AR68" s="109"/>
      <c r="AT68" s="82">
        <f>C68</f>
        <v>0</v>
      </c>
      <c r="AU68" s="311">
        <f t="shared" si="19"/>
        <v>0</v>
      </c>
      <c r="AW68" s="218">
        <f t="shared" si="36"/>
        <v>0</v>
      </c>
      <c r="AX68" s="218">
        <f t="shared" si="36"/>
        <v>0</v>
      </c>
      <c r="AY68" s="219">
        <f t="shared" si="7"/>
        <v>0</v>
      </c>
      <c r="AZ68" s="219">
        <f t="shared" si="8"/>
        <v>0</v>
      </c>
      <c r="BA68" s="136">
        <f t="shared" si="9"/>
        <v>0</v>
      </c>
    </row>
    <row r="69" spans="1:53" s="82" customFormat="1" ht="24.95" hidden="1" customHeight="1" outlineLevel="1" thickBot="1">
      <c r="A69" s="840"/>
      <c r="C69" s="644" t="s">
        <v>826</v>
      </c>
      <c r="D69" s="645"/>
      <c r="E69" s="645"/>
      <c r="F69" s="645"/>
      <c r="G69" s="645"/>
      <c r="H69" s="645"/>
      <c r="I69" s="645"/>
      <c r="J69" s="849"/>
      <c r="K69" s="645"/>
      <c r="L69" s="645"/>
      <c r="M69" s="696"/>
      <c r="N69" s="696"/>
      <c r="O69" s="696"/>
      <c r="P69" s="696"/>
      <c r="Q69" s="645"/>
      <c r="R69" s="645"/>
      <c r="S69" s="645"/>
      <c r="T69" s="645"/>
      <c r="U69" s="646"/>
      <c r="V69" s="645"/>
      <c r="W69" s="645"/>
      <c r="X69" s="645"/>
      <c r="Y69" s="645"/>
      <c r="Z69" s="647"/>
      <c r="AA69" s="645"/>
      <c r="AB69" s="645"/>
      <c r="AC69" s="645"/>
      <c r="AD69" s="645"/>
      <c r="AE69" s="645"/>
      <c r="AF69" s="645"/>
      <c r="AG69" s="645"/>
      <c r="AH69" s="645"/>
      <c r="AI69" s="645"/>
      <c r="AJ69" s="645"/>
      <c r="AK69" s="645"/>
      <c r="AL69" s="645"/>
      <c r="AM69" s="645"/>
      <c r="AN69" s="645"/>
      <c r="AO69" s="645"/>
      <c r="AP69" s="645"/>
      <c r="AQ69" s="645"/>
      <c r="AR69" s="648"/>
      <c r="AT69" s="82" t="str">
        <f>C69</f>
        <v>2026년 8월 반입 예정 선박리스트</v>
      </c>
      <c r="AU69" s="311">
        <f t="shared" si="19"/>
        <v>0</v>
      </c>
      <c r="AW69" s="218">
        <f t="shared" si="36"/>
        <v>0</v>
      </c>
      <c r="AX69" s="218">
        <f t="shared" si="36"/>
        <v>0</v>
      </c>
      <c r="AY69" s="219">
        <f t="shared" si="7"/>
        <v>0</v>
      </c>
      <c r="AZ69" s="219">
        <f t="shared" si="8"/>
        <v>0</v>
      </c>
      <c r="BA69" s="136">
        <f t="shared" si="9"/>
        <v>0</v>
      </c>
    </row>
    <row r="70" spans="1:53" s="82" customFormat="1" ht="24.95" hidden="1" customHeight="1" outlineLevel="1" thickBot="1">
      <c r="A70" s="840"/>
      <c r="C70" s="63"/>
      <c r="D70" s="71"/>
      <c r="E70" s="64"/>
      <c r="F70" s="64"/>
      <c r="G70" s="64"/>
      <c r="H70" s="64"/>
      <c r="I70" s="64"/>
      <c r="J70" s="72"/>
      <c r="K70" s="66"/>
      <c r="L70" s="69"/>
      <c r="M70" s="67"/>
      <c r="N70" s="67"/>
      <c r="O70" s="67">
        <f t="shared" ref="O70:O77" si="38">+M70+N70</f>
        <v>0</v>
      </c>
      <c r="P70" s="67"/>
      <c r="Q70" s="68"/>
      <c r="R70" s="69"/>
      <c r="S70" s="70"/>
      <c r="T70" s="70"/>
      <c r="U70" s="70"/>
      <c r="V70" s="70"/>
      <c r="W70" s="70"/>
      <c r="X70" s="69"/>
      <c r="Y70" s="69"/>
      <c r="Z70" s="204"/>
      <c r="AA70" s="72"/>
      <c r="AB70" s="192"/>
      <c r="AC70" s="192"/>
      <c r="AD70" s="193"/>
      <c r="AE70" s="89"/>
      <c r="AF70" s="194"/>
      <c r="AG70" s="64"/>
      <c r="AH70" s="64"/>
      <c r="AI70" s="72"/>
      <c r="AJ70" s="72"/>
      <c r="AK70" s="72"/>
      <c r="AL70" s="72"/>
      <c r="AM70" s="70"/>
      <c r="AN70" s="192"/>
      <c r="AO70" s="192"/>
      <c r="AP70" s="192"/>
      <c r="AQ70" s="192"/>
      <c r="AR70" s="107"/>
      <c r="AU70" s="311"/>
      <c r="AW70" s="218"/>
      <c r="AX70" s="218"/>
      <c r="AY70" s="219"/>
      <c r="AZ70" s="219"/>
      <c r="BA70" s="136"/>
    </row>
    <row r="71" spans="1:53" s="82" customFormat="1" ht="24.95" hidden="1" customHeight="1" outlineLevel="1">
      <c r="A71" s="840"/>
      <c r="C71" s="105"/>
      <c r="D71" s="71"/>
      <c r="E71" s="64"/>
      <c r="F71" s="64"/>
      <c r="G71" s="64"/>
      <c r="H71" s="64"/>
      <c r="I71" s="64"/>
      <c r="J71" s="72"/>
      <c r="K71" s="66"/>
      <c r="L71" s="69"/>
      <c r="M71" s="67"/>
      <c r="N71" s="67"/>
      <c r="O71" s="67">
        <f t="shared" si="38"/>
        <v>0</v>
      </c>
      <c r="P71" s="77"/>
      <c r="Q71" s="78"/>
      <c r="R71" s="69"/>
      <c r="S71" s="70"/>
      <c r="T71" s="70"/>
      <c r="U71" s="70"/>
      <c r="V71" s="70"/>
      <c r="W71" s="449"/>
      <c r="X71" s="939"/>
      <c r="Y71" s="939"/>
      <c r="Z71" s="940"/>
      <c r="AA71" s="94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70"/>
      <c r="AN71" s="449"/>
      <c r="AO71" s="69"/>
      <c r="AP71" s="71"/>
      <c r="AQ71" s="71"/>
      <c r="AR71" s="941"/>
      <c r="AU71" s="311"/>
      <c r="AW71" s="218"/>
      <c r="AX71" s="218"/>
      <c r="AY71" s="219"/>
      <c r="AZ71" s="219"/>
      <c r="BA71" s="136"/>
    </row>
    <row r="72" spans="1:53" s="82" customFormat="1" ht="24.95" hidden="1" customHeight="1" outlineLevel="1">
      <c r="A72" s="840"/>
      <c r="C72" s="896"/>
      <c r="D72" s="929"/>
      <c r="E72" s="64"/>
      <c r="F72" s="64"/>
      <c r="G72" s="64"/>
      <c r="H72" s="64"/>
      <c r="I72" s="64"/>
      <c r="J72" s="72"/>
      <c r="K72" s="66"/>
      <c r="L72" s="937"/>
      <c r="M72" s="67"/>
      <c r="N72" s="69"/>
      <c r="O72" s="67">
        <f t="shared" si="38"/>
        <v>0</v>
      </c>
      <c r="P72" s="67"/>
      <c r="Q72" s="68"/>
      <c r="R72" s="69"/>
      <c r="S72" s="70"/>
      <c r="T72" s="70"/>
      <c r="U72" s="70"/>
      <c r="V72" s="70"/>
      <c r="W72" s="70"/>
      <c r="X72" s="69"/>
      <c r="Y72" s="69"/>
      <c r="Z72" s="204"/>
      <c r="AA72" s="72"/>
      <c r="AB72" s="192"/>
      <c r="AC72" s="192"/>
      <c r="AD72" s="193"/>
      <c r="AE72" s="89"/>
      <c r="AF72" s="194"/>
      <c r="AG72" s="72"/>
      <c r="AH72" s="72"/>
      <c r="AI72" s="72"/>
      <c r="AJ72" s="72"/>
      <c r="AK72" s="72"/>
      <c r="AL72" s="72"/>
      <c r="AM72" s="70"/>
      <c r="AN72" s="70"/>
      <c r="AO72" s="70"/>
      <c r="AP72" s="71"/>
      <c r="AQ72" s="73"/>
      <c r="AR72" s="107"/>
      <c r="AU72" s="311"/>
      <c r="AW72" s="218"/>
      <c r="AX72" s="218"/>
      <c r="AY72" s="219"/>
      <c r="AZ72" s="219"/>
      <c r="BA72" s="136"/>
    </row>
    <row r="73" spans="1:53" s="82" customFormat="1" ht="24.95" hidden="1" customHeight="1" outlineLevel="1">
      <c r="A73" s="840"/>
      <c r="C73" s="896"/>
      <c r="D73" s="929"/>
      <c r="E73" s="64"/>
      <c r="F73" s="64"/>
      <c r="G73" s="64"/>
      <c r="H73" s="64"/>
      <c r="I73" s="64"/>
      <c r="J73" s="72"/>
      <c r="K73" s="66"/>
      <c r="L73" s="937"/>
      <c r="M73" s="67"/>
      <c r="N73" s="69"/>
      <c r="O73" s="67">
        <f t="shared" si="38"/>
        <v>0</v>
      </c>
      <c r="P73" s="67"/>
      <c r="Q73" s="68"/>
      <c r="R73" s="69"/>
      <c r="S73" s="70"/>
      <c r="T73" s="70"/>
      <c r="U73" s="70"/>
      <c r="V73" s="70"/>
      <c r="W73" s="70"/>
      <c r="X73" s="69"/>
      <c r="Y73" s="69"/>
      <c r="Z73" s="204"/>
      <c r="AA73" s="72"/>
      <c r="AB73" s="192"/>
      <c r="AC73" s="192"/>
      <c r="AD73" s="193"/>
      <c r="AE73" s="89"/>
      <c r="AF73" s="194"/>
      <c r="AG73" s="72"/>
      <c r="AH73" s="72"/>
      <c r="AI73" s="72"/>
      <c r="AJ73" s="72"/>
      <c r="AK73" s="72"/>
      <c r="AL73" s="72"/>
      <c r="AM73" s="70"/>
      <c r="AN73" s="70"/>
      <c r="AO73" s="70"/>
      <c r="AP73" s="71"/>
      <c r="AQ73" s="73"/>
      <c r="AR73" s="107"/>
      <c r="AU73" s="311"/>
      <c r="AW73" s="218"/>
      <c r="AX73" s="218"/>
      <c r="AY73" s="219"/>
      <c r="AZ73" s="219"/>
      <c r="BA73" s="136"/>
    </row>
    <row r="74" spans="1:53" s="82" customFormat="1" ht="24.95" hidden="1" customHeight="1" outlineLevel="1">
      <c r="A74" s="840"/>
      <c r="C74" s="63"/>
      <c r="D74" s="71"/>
      <c r="E74" s="64"/>
      <c r="F74" s="64"/>
      <c r="G74" s="64"/>
      <c r="H74" s="64"/>
      <c r="I74" s="64"/>
      <c r="J74" s="72"/>
      <c r="K74" s="66"/>
      <c r="L74" s="69"/>
      <c r="M74" s="67"/>
      <c r="N74" s="67"/>
      <c r="O74" s="67">
        <f t="shared" si="38"/>
        <v>0</v>
      </c>
      <c r="P74" s="67"/>
      <c r="Q74" s="68"/>
      <c r="R74" s="69"/>
      <c r="S74" s="70"/>
      <c r="T74" s="70"/>
      <c r="U74" s="70"/>
      <c r="V74" s="70"/>
      <c r="W74" s="70"/>
      <c r="X74" s="925"/>
      <c r="Y74" s="83"/>
      <c r="Z74" s="70"/>
      <c r="AA74" s="926"/>
      <c r="AB74" s="72"/>
      <c r="AC74" s="72"/>
      <c r="AD74" s="72"/>
      <c r="AE74" s="89"/>
      <c r="AF74" s="80"/>
      <c r="AG74" s="80"/>
      <c r="AH74" s="80"/>
      <c r="AI74" s="80"/>
      <c r="AJ74" s="80"/>
      <c r="AK74" s="80"/>
      <c r="AL74" s="80"/>
      <c r="AM74" s="70"/>
      <c r="AN74" s="70"/>
      <c r="AO74" s="70"/>
      <c r="AP74" s="73"/>
      <c r="AQ74" s="73"/>
      <c r="AR74" s="106"/>
      <c r="AU74" s="311"/>
      <c r="AW74" s="218"/>
      <c r="AX74" s="218"/>
      <c r="AY74" s="219"/>
      <c r="AZ74" s="219"/>
      <c r="BA74" s="136"/>
    </row>
    <row r="75" spans="1:53" s="82" customFormat="1" ht="24.95" hidden="1" customHeight="1" outlineLevel="1">
      <c r="A75" s="840"/>
      <c r="C75" s="63"/>
      <c r="D75" s="71"/>
      <c r="E75" s="64"/>
      <c r="F75" s="64"/>
      <c r="G75" s="64"/>
      <c r="H75" s="64"/>
      <c r="I75" s="64"/>
      <c r="J75" s="72"/>
      <c r="K75" s="66"/>
      <c r="L75" s="69"/>
      <c r="M75" s="67"/>
      <c r="N75" s="67"/>
      <c r="O75" s="67">
        <f t="shared" si="38"/>
        <v>0</v>
      </c>
      <c r="P75" s="67"/>
      <c r="Q75" s="68"/>
      <c r="R75" s="69"/>
      <c r="S75" s="70"/>
      <c r="T75" s="70"/>
      <c r="U75" s="70"/>
      <c r="V75" s="70"/>
      <c r="W75" s="70"/>
      <c r="X75" s="69"/>
      <c r="Y75" s="69"/>
      <c r="Z75" s="204"/>
      <c r="AA75" s="72"/>
      <c r="AB75" s="192"/>
      <c r="AC75" s="192"/>
      <c r="AD75" s="193"/>
      <c r="AE75" s="89"/>
      <c r="AF75" s="194"/>
      <c r="AG75" s="72"/>
      <c r="AH75" s="72"/>
      <c r="AI75" s="72"/>
      <c r="AJ75" s="72"/>
      <c r="AK75" s="72"/>
      <c r="AL75" s="72"/>
      <c r="AM75" s="70"/>
      <c r="AN75" s="70"/>
      <c r="AO75" s="70"/>
      <c r="AP75" s="73"/>
      <c r="AQ75" s="73"/>
      <c r="AR75" s="106"/>
      <c r="AU75" s="311"/>
      <c r="AW75" s="218"/>
      <c r="AX75" s="218"/>
      <c r="AY75" s="219"/>
      <c r="AZ75" s="219"/>
      <c r="BA75" s="136"/>
    </row>
    <row r="76" spans="1:53" s="82" customFormat="1" ht="24.95" hidden="1" customHeight="1" outlineLevel="1">
      <c r="A76" s="840"/>
      <c r="C76" s="63"/>
      <c r="D76" s="71"/>
      <c r="E76" s="64"/>
      <c r="F76" s="64"/>
      <c r="G76" s="64"/>
      <c r="H76" s="64"/>
      <c r="I76" s="64"/>
      <c r="J76" s="72"/>
      <c r="K76" s="66"/>
      <c r="L76" s="69"/>
      <c r="M76" s="67"/>
      <c r="N76" s="67"/>
      <c r="O76" s="67">
        <f t="shared" si="38"/>
        <v>0</v>
      </c>
      <c r="P76" s="67"/>
      <c r="Q76" s="68"/>
      <c r="R76" s="69"/>
      <c r="S76" s="70"/>
      <c r="T76" s="70"/>
      <c r="U76" s="70"/>
      <c r="V76" s="70"/>
      <c r="W76" s="70"/>
      <c r="X76" s="69"/>
      <c r="Y76" s="69"/>
      <c r="Z76" s="204"/>
      <c r="AA76" s="72"/>
      <c r="AB76" s="72"/>
      <c r="AC76" s="72"/>
      <c r="AD76" s="72"/>
      <c r="AE76" s="89"/>
      <c r="AF76" s="80"/>
      <c r="AG76" s="80"/>
      <c r="AH76" s="80"/>
      <c r="AI76" s="80"/>
      <c r="AJ76" s="80"/>
      <c r="AK76" s="80"/>
      <c r="AL76" s="80"/>
      <c r="AM76" s="70"/>
      <c r="AN76" s="70"/>
      <c r="AO76" s="70"/>
      <c r="AP76" s="73"/>
      <c r="AQ76" s="73"/>
      <c r="AR76" s="107"/>
      <c r="AU76" s="311"/>
      <c r="AW76" s="218"/>
      <c r="AX76" s="218"/>
      <c r="AY76" s="219"/>
      <c r="AZ76" s="219"/>
      <c r="BA76" s="136"/>
    </row>
    <row r="77" spans="1:53" s="82" customFormat="1" ht="24.95" hidden="1" customHeight="1" outlineLevel="1">
      <c r="A77" s="840"/>
      <c r="C77" s="63"/>
      <c r="D77" s="71"/>
      <c r="E77" s="64"/>
      <c r="F77" s="64"/>
      <c r="G77" s="64"/>
      <c r="H77" s="64"/>
      <c r="I77" s="64"/>
      <c r="J77" s="65"/>
      <c r="K77" s="66"/>
      <c r="L77" s="69"/>
      <c r="M77" s="67"/>
      <c r="N77" s="67"/>
      <c r="O77" s="67">
        <f t="shared" si="38"/>
        <v>0</v>
      </c>
      <c r="P77" s="67"/>
      <c r="Q77" s="68"/>
      <c r="R77" s="69" t="s">
        <v>780</v>
      </c>
      <c r="S77" s="70"/>
      <c r="T77" s="70"/>
      <c r="U77" s="70"/>
      <c r="V77" s="70"/>
      <c r="W77" s="70"/>
      <c r="X77" s="69"/>
      <c r="Y77" s="69"/>
      <c r="Z77" s="204"/>
      <c r="AA77" s="72"/>
      <c r="AB77" s="72"/>
      <c r="AC77" s="72"/>
      <c r="AD77" s="72"/>
      <c r="AE77" s="89"/>
      <c r="AF77" s="80"/>
      <c r="AG77" s="80"/>
      <c r="AH77" s="80"/>
      <c r="AI77" s="80"/>
      <c r="AJ77" s="80"/>
      <c r="AK77" s="80"/>
      <c r="AL77" s="80"/>
      <c r="AM77" s="70"/>
      <c r="AN77" s="70"/>
      <c r="AO77" s="70"/>
      <c r="AP77" s="73"/>
      <c r="AQ77" s="73"/>
      <c r="AR77" s="106"/>
      <c r="AT77" s="82">
        <f t="shared" ref="AT77:AT79" si="39">C77</f>
        <v>0</v>
      </c>
      <c r="AU77" s="311">
        <f>L77</f>
        <v>0</v>
      </c>
      <c r="AW77" s="218">
        <f t="shared" ref="AW77:AX79" si="40">IF(M77=0,0,1)</f>
        <v>0</v>
      </c>
      <c r="AX77" s="218">
        <f t="shared" si="40"/>
        <v>0</v>
      </c>
      <c r="AY77" s="219">
        <f>IF(AW77+AX77=2,0.5,AW77)</f>
        <v>0</v>
      </c>
      <c r="AZ77" s="219">
        <f>IF(AW77+AX77=2,0.5,AX77)</f>
        <v>0</v>
      </c>
      <c r="BA77" s="136">
        <f>AY77+AZ77</f>
        <v>0</v>
      </c>
    </row>
    <row r="78" spans="1:53" s="82" customFormat="1" ht="24.95" hidden="1" customHeight="1" outlineLevel="1" thickBot="1">
      <c r="A78" s="840"/>
      <c r="C78" s="108"/>
      <c r="D78" s="91"/>
      <c r="E78" s="92"/>
      <c r="F78" s="92"/>
      <c r="G78" s="92"/>
      <c r="H78" s="92"/>
      <c r="I78" s="92"/>
      <c r="J78" s="150">
        <f>IFERROR(AVERAGE(J70:J77),0)</f>
        <v>0</v>
      </c>
      <c r="K78" s="150">
        <f>IFERROR(AVERAGE(K70:K77),0)</f>
        <v>0</v>
      </c>
      <c r="L78" s="95">
        <f>SUM(L70:L77)</f>
        <v>0</v>
      </c>
      <c r="M78" s="95">
        <f t="shared" ref="M78:O78" si="41">SUM(M70:M77)</f>
        <v>0</v>
      </c>
      <c r="N78" s="95">
        <f t="shared" si="41"/>
        <v>0</v>
      </c>
      <c r="O78" s="95">
        <f t="shared" si="41"/>
        <v>0</v>
      </c>
      <c r="P78" s="93"/>
      <c r="Q78" s="95"/>
      <c r="R78" s="95"/>
      <c r="S78" s="91"/>
      <c r="T78" s="91"/>
      <c r="U78" s="97"/>
      <c r="V78" s="96"/>
      <c r="W78" s="97"/>
      <c r="X78" s="98"/>
      <c r="Y78" s="98"/>
      <c r="Z78" s="207"/>
      <c r="AA78" s="99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L78" s="99"/>
      <c r="AM78" s="100"/>
      <c r="AN78" s="100"/>
      <c r="AO78" s="100"/>
      <c r="AP78" s="96"/>
      <c r="AQ78" s="96"/>
      <c r="AR78" s="109"/>
      <c r="AT78" s="82">
        <f t="shared" si="39"/>
        <v>0</v>
      </c>
      <c r="AU78" s="311">
        <f t="shared" ref="AU78:AU79" si="42">L78</f>
        <v>0</v>
      </c>
      <c r="AW78" s="218">
        <f t="shared" si="40"/>
        <v>0</v>
      </c>
      <c r="AX78" s="218">
        <f t="shared" si="40"/>
        <v>0</v>
      </c>
      <c r="AY78" s="219">
        <f t="shared" ref="AY78:AY79" si="43">IF(AW78+AX78=2,0.5,AW78)</f>
        <v>0</v>
      </c>
      <c r="AZ78" s="219">
        <f t="shared" ref="AZ78:AZ79" si="44">IF(AW78+AX78=2,0.5,AX78)</f>
        <v>0</v>
      </c>
      <c r="BA78" s="136">
        <f t="shared" ref="BA78:BA79" si="45">AY78+AZ78</f>
        <v>0</v>
      </c>
    </row>
    <row r="79" spans="1:53" s="82" customFormat="1" ht="24.95" hidden="1" customHeight="1" outlineLevel="1" thickBot="1">
      <c r="A79" s="840"/>
      <c r="C79" s="644" t="s">
        <v>827</v>
      </c>
      <c r="D79" s="645"/>
      <c r="E79" s="645"/>
      <c r="F79" s="645"/>
      <c r="G79" s="645"/>
      <c r="H79" s="645"/>
      <c r="I79" s="645"/>
      <c r="J79" s="645"/>
      <c r="K79" s="645"/>
      <c r="L79" s="645"/>
      <c r="M79" s="696"/>
      <c r="N79" s="696"/>
      <c r="O79" s="696"/>
      <c r="P79" s="696"/>
      <c r="Q79" s="645"/>
      <c r="R79" s="645"/>
      <c r="S79" s="645"/>
      <c r="T79" s="645"/>
      <c r="U79" s="646"/>
      <c r="V79" s="645"/>
      <c r="W79" s="645"/>
      <c r="X79" s="645"/>
      <c r="Y79" s="645"/>
      <c r="Z79" s="647"/>
      <c r="AA79" s="645"/>
      <c r="AB79" s="645"/>
      <c r="AC79" s="645"/>
      <c r="AD79" s="645"/>
      <c r="AE79" s="645"/>
      <c r="AF79" s="645"/>
      <c r="AG79" s="645"/>
      <c r="AH79" s="645"/>
      <c r="AI79" s="645"/>
      <c r="AJ79" s="645"/>
      <c r="AK79" s="645"/>
      <c r="AL79" s="645"/>
      <c r="AM79" s="645"/>
      <c r="AN79" s="645"/>
      <c r="AO79" s="645"/>
      <c r="AP79" s="645"/>
      <c r="AQ79" s="645"/>
      <c r="AR79" s="648"/>
      <c r="AT79" s="82" t="str">
        <f t="shared" si="39"/>
        <v>2026년 9월 반입 예정 선박리스트</v>
      </c>
      <c r="AU79" s="311">
        <f t="shared" si="42"/>
        <v>0</v>
      </c>
      <c r="AW79" s="218">
        <f t="shared" si="40"/>
        <v>0</v>
      </c>
      <c r="AX79" s="218">
        <f t="shared" si="40"/>
        <v>0</v>
      </c>
      <c r="AY79" s="219">
        <f t="shared" si="43"/>
        <v>0</v>
      </c>
      <c r="AZ79" s="219">
        <f t="shared" si="44"/>
        <v>0</v>
      </c>
      <c r="BA79" s="136">
        <f t="shared" si="45"/>
        <v>0</v>
      </c>
    </row>
    <row r="80" spans="1:53" s="82" customFormat="1" ht="24.95" hidden="1" customHeight="1" outlineLevel="1">
      <c r="A80" s="840"/>
      <c r="C80" s="105"/>
      <c r="D80" s="929"/>
      <c r="E80" s="76"/>
      <c r="F80" s="76"/>
      <c r="G80" s="76"/>
      <c r="H80" s="76"/>
      <c r="I80" s="76"/>
      <c r="J80" s="72"/>
      <c r="K80" s="66"/>
      <c r="L80" s="942"/>
      <c r="M80" s="77"/>
      <c r="N80" s="77"/>
      <c r="O80" s="67">
        <f t="shared" ref="O80:O83" si="46">+M80+N80</f>
        <v>0</v>
      </c>
      <c r="P80" s="77"/>
      <c r="Q80" s="78"/>
      <c r="R80" s="69"/>
      <c r="S80" s="70"/>
      <c r="T80" s="315"/>
      <c r="U80" s="70"/>
      <c r="V80" s="70"/>
      <c r="W80" s="70"/>
      <c r="X80" s="925"/>
      <c r="Y80" s="83"/>
      <c r="Z80" s="943"/>
      <c r="AA80" s="943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59"/>
      <c r="AN80" s="944"/>
      <c r="AO80" s="70"/>
      <c r="AP80" s="211"/>
      <c r="AQ80" s="73"/>
      <c r="AR80" s="107"/>
      <c r="AU80" s="311"/>
      <c r="AW80" s="218"/>
      <c r="AX80" s="218"/>
      <c r="AY80" s="219"/>
      <c r="AZ80" s="219"/>
      <c r="BA80" s="136"/>
    </row>
    <row r="81" spans="1:53" s="82" customFormat="1" ht="24.95" hidden="1" customHeight="1" outlineLevel="1">
      <c r="A81" s="840"/>
      <c r="C81" s="63"/>
      <c r="D81" s="71"/>
      <c r="E81" s="64"/>
      <c r="F81" s="64"/>
      <c r="G81" s="64"/>
      <c r="H81" s="64"/>
      <c r="I81" s="64"/>
      <c r="J81" s="72"/>
      <c r="K81" s="66"/>
      <c r="L81" s="69"/>
      <c r="M81" s="67"/>
      <c r="N81" s="67"/>
      <c r="O81" s="67">
        <f t="shared" si="46"/>
        <v>0</v>
      </c>
      <c r="P81" s="67"/>
      <c r="Q81" s="68"/>
      <c r="R81" s="69"/>
      <c r="S81" s="70"/>
      <c r="T81" s="945"/>
      <c r="U81" s="70"/>
      <c r="V81" s="70"/>
      <c r="W81" s="70"/>
      <c r="X81" s="925"/>
      <c r="Y81" s="83"/>
      <c r="Z81" s="946"/>
      <c r="AA81" s="946"/>
      <c r="AB81" s="192"/>
      <c r="AC81" s="192"/>
      <c r="AD81" s="193"/>
      <c r="AE81" s="89"/>
      <c r="AF81" s="194"/>
      <c r="AG81" s="72"/>
      <c r="AH81" s="72"/>
      <c r="AI81" s="72"/>
      <c r="AJ81" s="72"/>
      <c r="AK81" s="72"/>
      <c r="AL81" s="72"/>
      <c r="AM81" s="70"/>
      <c r="AN81" s="70"/>
      <c r="AO81" s="70"/>
      <c r="AP81" s="73"/>
      <c r="AQ81" s="73"/>
      <c r="AR81" s="107"/>
      <c r="AU81" s="311"/>
      <c r="AW81" s="218"/>
      <c r="AX81" s="218"/>
      <c r="AY81" s="219"/>
      <c r="AZ81" s="219"/>
      <c r="BA81" s="136"/>
    </row>
    <row r="82" spans="1:53" s="82" customFormat="1" ht="24.95" hidden="1" customHeight="1" outlineLevel="1">
      <c r="A82" s="840"/>
      <c r="C82" s="63"/>
      <c r="D82" s="71"/>
      <c r="E82" s="64"/>
      <c r="F82" s="64"/>
      <c r="G82" s="64"/>
      <c r="H82" s="64"/>
      <c r="I82" s="64"/>
      <c r="J82" s="72"/>
      <c r="K82" s="66"/>
      <c r="L82" s="69"/>
      <c r="M82" s="67"/>
      <c r="N82" s="69"/>
      <c r="O82" s="67">
        <f t="shared" si="46"/>
        <v>0</v>
      </c>
      <c r="P82" s="67"/>
      <c r="Q82" s="68"/>
      <c r="R82" s="69"/>
      <c r="S82" s="70"/>
      <c r="T82" s="70"/>
      <c r="U82" s="70"/>
      <c r="V82" s="70"/>
      <c r="W82" s="70"/>
      <c r="X82" s="83"/>
      <c r="Y82" s="83"/>
      <c r="Z82" s="206"/>
      <c r="AA82" s="84"/>
      <c r="AB82" s="192"/>
      <c r="AC82" s="192"/>
      <c r="AD82" s="193"/>
      <c r="AE82" s="89"/>
      <c r="AF82" s="194"/>
      <c r="AG82" s="72"/>
      <c r="AH82" s="72"/>
      <c r="AI82" s="72"/>
      <c r="AJ82" s="72"/>
      <c r="AK82" s="72"/>
      <c r="AL82" s="72"/>
      <c r="AM82" s="70"/>
      <c r="AN82" s="947"/>
      <c r="AO82" s="947"/>
      <c r="AP82" s="73"/>
      <c r="AQ82" s="948"/>
      <c r="AR82" s="107"/>
      <c r="AU82" s="311"/>
      <c r="AW82" s="218"/>
      <c r="AX82" s="218"/>
      <c r="AY82" s="219"/>
      <c r="AZ82" s="219"/>
      <c r="BA82" s="136"/>
    </row>
    <row r="83" spans="1:53" s="82" customFormat="1" ht="24.95" hidden="1" customHeight="1" outlineLevel="1">
      <c r="A83" s="840"/>
      <c r="C83" s="63"/>
      <c r="D83" s="71"/>
      <c r="E83" s="64"/>
      <c r="F83" s="64"/>
      <c r="G83" s="64"/>
      <c r="H83" s="64"/>
      <c r="I83" s="64"/>
      <c r="J83" s="72"/>
      <c r="K83" s="66"/>
      <c r="L83" s="69"/>
      <c r="M83" s="67"/>
      <c r="N83" s="69"/>
      <c r="O83" s="67">
        <f t="shared" si="46"/>
        <v>0</v>
      </c>
      <c r="P83" s="67"/>
      <c r="Q83" s="68"/>
      <c r="R83" s="69"/>
      <c r="S83" s="70"/>
      <c r="T83" s="70"/>
      <c r="U83" s="70"/>
      <c r="V83" s="70"/>
      <c r="W83" s="70"/>
      <c r="X83" s="83"/>
      <c r="Y83" s="83"/>
      <c r="Z83" s="206"/>
      <c r="AA83" s="84"/>
      <c r="AB83" s="192"/>
      <c r="AC83" s="192"/>
      <c r="AD83" s="193"/>
      <c r="AE83" s="89"/>
      <c r="AF83" s="194"/>
      <c r="AG83" s="72"/>
      <c r="AH83" s="72"/>
      <c r="AI83" s="72"/>
      <c r="AJ83" s="72"/>
      <c r="AK83" s="72"/>
      <c r="AL83" s="72"/>
      <c r="AM83" s="70"/>
      <c r="AN83" s="947"/>
      <c r="AO83" s="947"/>
      <c r="AP83" s="73"/>
      <c r="AQ83" s="948"/>
      <c r="AR83" s="107"/>
      <c r="AU83" s="311"/>
      <c r="AW83" s="218"/>
      <c r="AX83" s="218"/>
      <c r="AY83" s="219"/>
      <c r="AZ83" s="219"/>
      <c r="BA83" s="136"/>
    </row>
    <row r="84" spans="1:53" s="82" customFormat="1" ht="24.95" hidden="1" customHeight="1" outlineLevel="1" thickBot="1">
      <c r="A84" s="840"/>
      <c r="C84" s="63"/>
      <c r="D84" s="91"/>
      <c r="E84" s="92"/>
      <c r="F84" s="92"/>
      <c r="G84" s="92"/>
      <c r="H84" s="92"/>
      <c r="I84" s="92"/>
      <c r="J84" s="150">
        <f>IFERROR(AVERAGE(J80:J83),0)</f>
        <v>0</v>
      </c>
      <c r="K84" s="150">
        <f>IFERROR(AVERAGE(K80:K83),0)</f>
        <v>0</v>
      </c>
      <c r="L84" s="95">
        <f>SUM(L80:L83)</f>
        <v>0</v>
      </c>
      <c r="M84" s="95">
        <f t="shared" ref="M84:O84" si="47">SUM(M80:M83)</f>
        <v>0</v>
      </c>
      <c r="N84" s="95">
        <f t="shared" si="47"/>
        <v>0</v>
      </c>
      <c r="O84" s="95">
        <f t="shared" si="47"/>
        <v>0</v>
      </c>
      <c r="P84" s="93"/>
      <c r="Q84" s="95"/>
      <c r="R84" s="95"/>
      <c r="S84" s="91"/>
      <c r="T84" s="91"/>
      <c r="U84" s="97"/>
      <c r="V84" s="96"/>
      <c r="W84" s="97"/>
      <c r="X84" s="98"/>
      <c r="Y84" s="98"/>
      <c r="Z84" s="207"/>
      <c r="AA84" s="99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L84" s="99"/>
      <c r="AM84" s="100"/>
      <c r="AN84" s="100"/>
      <c r="AO84" s="100"/>
      <c r="AP84" s="96"/>
      <c r="AQ84" s="96"/>
      <c r="AR84" s="109"/>
      <c r="AT84" s="82">
        <f t="shared" ref="AT84:AT121" si="48">C84</f>
        <v>0</v>
      </c>
      <c r="AU84" s="311">
        <f t="shared" ref="AU84:AU92" si="49">L84</f>
        <v>0</v>
      </c>
      <c r="AW84" s="218">
        <f t="shared" ref="AW84:AX92" si="50">IF(M84=0,0,1)</f>
        <v>0</v>
      </c>
      <c r="AX84" s="218">
        <f t="shared" si="50"/>
        <v>0</v>
      </c>
      <c r="AY84" s="219">
        <f t="shared" ref="AY84:AY85" si="51">IF(AW84+AX84=2,0.5,AW84)</f>
        <v>0</v>
      </c>
      <c r="AZ84" s="219">
        <f t="shared" ref="AZ84:AZ85" si="52">IF(AW84+AX84=2,0.5,AX84)</f>
        <v>0</v>
      </c>
      <c r="BA84" s="136">
        <f t="shared" ref="BA84:BA92" si="53">AY84+AZ84</f>
        <v>0</v>
      </c>
    </row>
    <row r="85" spans="1:53" s="82" customFormat="1" ht="24.95" hidden="1" customHeight="1" outlineLevel="1" collapsed="1" thickBot="1">
      <c r="A85" s="840"/>
      <c r="C85" s="644" t="s">
        <v>828</v>
      </c>
      <c r="D85" s="645"/>
      <c r="E85" s="645"/>
      <c r="F85" s="645"/>
      <c r="G85" s="645"/>
      <c r="H85" s="645"/>
      <c r="I85" s="645"/>
      <c r="J85" s="645"/>
      <c r="K85" s="645"/>
      <c r="L85" s="645"/>
      <c r="M85" s="696"/>
      <c r="N85" s="696"/>
      <c r="O85" s="696"/>
      <c r="P85" s="696"/>
      <c r="Q85" s="645"/>
      <c r="R85" s="645"/>
      <c r="S85" s="645"/>
      <c r="T85" s="645"/>
      <c r="U85" s="646"/>
      <c r="V85" s="645"/>
      <c r="W85" s="645"/>
      <c r="X85" s="645"/>
      <c r="Y85" s="645"/>
      <c r="Z85" s="647"/>
      <c r="AA85" s="645"/>
      <c r="AB85" s="645"/>
      <c r="AC85" s="645"/>
      <c r="AD85" s="645"/>
      <c r="AE85" s="645"/>
      <c r="AF85" s="645"/>
      <c r="AG85" s="645"/>
      <c r="AH85" s="645"/>
      <c r="AI85" s="645"/>
      <c r="AJ85" s="645"/>
      <c r="AK85" s="645"/>
      <c r="AL85" s="645"/>
      <c r="AM85" s="645"/>
      <c r="AN85" s="645"/>
      <c r="AO85" s="645"/>
      <c r="AP85" s="645"/>
      <c r="AQ85" s="645"/>
      <c r="AR85" s="648"/>
      <c r="AT85" s="82" t="str">
        <f t="shared" si="48"/>
        <v>2026년 10월 반입 예정 선박리스트</v>
      </c>
      <c r="AU85" s="311">
        <f t="shared" si="49"/>
        <v>0</v>
      </c>
      <c r="AW85" s="218">
        <f t="shared" si="50"/>
        <v>0</v>
      </c>
      <c r="AX85" s="218">
        <f t="shared" si="50"/>
        <v>0</v>
      </c>
      <c r="AY85" s="219">
        <f t="shared" si="51"/>
        <v>0</v>
      </c>
      <c r="AZ85" s="219">
        <f t="shared" si="52"/>
        <v>0</v>
      </c>
      <c r="BA85" s="136">
        <f t="shared" si="53"/>
        <v>0</v>
      </c>
    </row>
    <row r="86" spans="1:53" s="82" customFormat="1" ht="24.95" hidden="1" customHeight="1" outlineLevel="1">
      <c r="A86" s="840"/>
      <c r="C86" s="63"/>
      <c r="D86" s="71"/>
      <c r="E86" s="64"/>
      <c r="F86" s="64"/>
      <c r="G86" s="64"/>
      <c r="H86" s="64"/>
      <c r="I86" s="64"/>
      <c r="J86" s="65"/>
      <c r="K86" s="66"/>
      <c r="L86" s="69"/>
      <c r="M86" s="67"/>
      <c r="N86" s="69"/>
      <c r="O86" s="67">
        <f t="shared" ref="O86:O90" si="54">+M86+N86</f>
        <v>0</v>
      </c>
      <c r="P86" s="67"/>
      <c r="Q86" s="68"/>
      <c r="R86" s="69"/>
      <c r="S86" s="70"/>
      <c r="T86" s="70"/>
      <c r="U86" s="70"/>
      <c r="V86" s="70"/>
      <c r="W86" s="70"/>
      <c r="X86" s="69"/>
      <c r="Y86" s="69"/>
      <c r="Z86" s="204"/>
      <c r="AA86" s="72"/>
      <c r="AB86" s="192"/>
      <c r="AC86" s="192"/>
      <c r="AD86" s="193"/>
      <c r="AE86" s="89"/>
      <c r="AF86" s="194"/>
      <c r="AG86" s="72"/>
      <c r="AH86" s="72"/>
      <c r="AI86" s="72"/>
      <c r="AJ86" s="72"/>
      <c r="AK86" s="72"/>
      <c r="AL86" s="72"/>
      <c r="AM86" s="70"/>
      <c r="AN86" s="70"/>
      <c r="AO86" s="70"/>
      <c r="AP86" s="73"/>
      <c r="AQ86" s="73"/>
      <c r="AR86" s="386"/>
      <c r="AU86" s="311"/>
      <c r="AW86" s="218"/>
      <c r="AX86" s="218"/>
      <c r="AY86" s="219"/>
      <c r="AZ86" s="219"/>
      <c r="BA86" s="136"/>
    </row>
    <row r="87" spans="1:53" s="82" customFormat="1" ht="24.95" hidden="1" customHeight="1" outlineLevel="1">
      <c r="A87" s="840"/>
      <c r="C87" s="105"/>
      <c r="D87" s="929"/>
      <c r="E87" s="931"/>
      <c r="F87" s="64"/>
      <c r="G87" s="64"/>
      <c r="H87" s="64"/>
      <c r="I87" s="64"/>
      <c r="J87" s="65"/>
      <c r="K87" s="66"/>
      <c r="L87" s="949"/>
      <c r="M87" s="67"/>
      <c r="N87" s="67"/>
      <c r="O87" s="67">
        <f t="shared" si="54"/>
        <v>0</v>
      </c>
      <c r="P87" s="67"/>
      <c r="Q87" s="68"/>
      <c r="R87" s="69"/>
      <c r="S87" s="70"/>
      <c r="T87" s="950"/>
      <c r="U87" s="70"/>
      <c r="V87" s="70"/>
      <c r="W87" s="70"/>
      <c r="X87" s="69"/>
      <c r="Y87" s="69"/>
      <c r="Z87" s="204"/>
      <c r="AA87" s="72"/>
      <c r="AB87" s="72"/>
      <c r="AC87" s="72"/>
      <c r="AD87" s="72"/>
      <c r="AE87" s="89"/>
      <c r="AF87" s="80"/>
      <c r="AG87" s="80"/>
      <c r="AH87" s="80"/>
      <c r="AI87" s="80"/>
      <c r="AJ87" s="80"/>
      <c r="AK87" s="80"/>
      <c r="AL87" s="80"/>
      <c r="AM87" s="70"/>
      <c r="AN87" s="951"/>
      <c r="AO87" s="951"/>
      <c r="AP87" s="73"/>
      <c r="AQ87" s="73"/>
      <c r="AR87" s="386"/>
      <c r="AU87" s="311"/>
      <c r="AW87" s="218"/>
      <c r="AX87" s="218"/>
      <c r="AY87" s="219"/>
      <c r="AZ87" s="219"/>
      <c r="BA87" s="136"/>
    </row>
    <row r="88" spans="1:53" s="82" customFormat="1" ht="24.95" hidden="1" customHeight="1" outlineLevel="1" thickBot="1">
      <c r="A88" s="840"/>
      <c r="C88" s="105"/>
      <c r="D88" s="929"/>
      <c r="E88" s="931"/>
      <c r="F88" s="64"/>
      <c r="G88" s="64"/>
      <c r="H88" s="64"/>
      <c r="I88" s="64"/>
      <c r="J88" s="65"/>
      <c r="K88" s="66"/>
      <c r="L88" s="870"/>
      <c r="M88" s="67"/>
      <c r="N88" s="67"/>
      <c r="O88" s="67">
        <f t="shared" si="54"/>
        <v>0</v>
      </c>
      <c r="P88" s="67"/>
      <c r="Q88" s="68"/>
      <c r="R88" s="69"/>
      <c r="S88" s="950"/>
      <c r="T88" s="950"/>
      <c r="U88" s="315"/>
      <c r="V88" s="70"/>
      <c r="W88" s="70"/>
      <c r="X88" s="925"/>
      <c r="Y88" s="952"/>
      <c r="Z88" s="83"/>
      <c r="AA88" s="946"/>
      <c r="AB88" s="871"/>
      <c r="AC88" s="871"/>
      <c r="AD88" s="871"/>
      <c r="AE88" s="89"/>
      <c r="AF88" s="80"/>
      <c r="AG88" s="80"/>
      <c r="AH88" s="80"/>
      <c r="AI88" s="80"/>
      <c r="AJ88" s="80"/>
      <c r="AK88" s="80"/>
      <c r="AL88" s="80"/>
      <c r="AM88" s="70"/>
      <c r="AN88" s="69"/>
      <c r="AO88" s="69"/>
      <c r="AP88" s="73"/>
      <c r="AQ88" s="73"/>
      <c r="AR88" s="104"/>
      <c r="AU88" s="311"/>
      <c r="AW88" s="218"/>
      <c r="AX88" s="218"/>
      <c r="AY88" s="219"/>
      <c r="AZ88" s="219"/>
      <c r="BA88" s="136"/>
    </row>
    <row r="89" spans="1:53" s="82" customFormat="1" ht="24.95" hidden="1" customHeight="1" outlineLevel="1">
      <c r="A89" s="840"/>
      <c r="C89" s="105"/>
      <c r="D89" s="929"/>
      <c r="E89" s="931"/>
      <c r="F89" s="76"/>
      <c r="G89" s="76"/>
      <c r="H89" s="76"/>
      <c r="I89" s="76"/>
      <c r="J89" s="65"/>
      <c r="K89" s="66"/>
      <c r="L89" s="949"/>
      <c r="M89" s="77"/>
      <c r="N89" s="67"/>
      <c r="O89" s="67">
        <f t="shared" si="54"/>
        <v>0</v>
      </c>
      <c r="P89" s="77"/>
      <c r="Q89" s="78"/>
      <c r="R89" s="69"/>
      <c r="S89" s="950"/>
      <c r="T89" s="950"/>
      <c r="U89" s="70"/>
      <c r="V89" s="70"/>
      <c r="W89" s="70"/>
      <c r="X89" s="925"/>
      <c r="Y89" s="83"/>
      <c r="Z89" s="946"/>
      <c r="AA89" s="946"/>
      <c r="AB89" s="315"/>
      <c r="AC89" s="315"/>
      <c r="AD89" s="315"/>
      <c r="AE89" s="60"/>
      <c r="AF89" s="60"/>
      <c r="AG89" s="60"/>
      <c r="AH89" s="60"/>
      <c r="AI89" s="60"/>
      <c r="AJ89" s="60"/>
      <c r="AK89" s="60"/>
      <c r="AL89" s="60"/>
      <c r="AM89" s="59"/>
      <c r="AN89" s="69"/>
      <c r="AO89" s="69"/>
      <c r="AP89" s="71"/>
      <c r="AQ89" s="71"/>
      <c r="AR89" s="107"/>
      <c r="AU89" s="311"/>
      <c r="AW89" s="218"/>
      <c r="AX89" s="218"/>
      <c r="AY89" s="219"/>
      <c r="AZ89" s="219"/>
      <c r="BA89" s="136"/>
    </row>
    <row r="90" spans="1:53" s="82" customFormat="1" ht="24.95" hidden="1" customHeight="1" outlineLevel="1">
      <c r="A90" s="840"/>
      <c r="C90" s="105"/>
      <c r="D90" s="929"/>
      <c r="E90" s="931"/>
      <c r="F90" s="64"/>
      <c r="G90" s="64"/>
      <c r="H90" s="64"/>
      <c r="I90" s="64"/>
      <c r="J90" s="65"/>
      <c r="K90" s="66"/>
      <c r="L90" s="949"/>
      <c r="M90" s="67"/>
      <c r="N90" s="67"/>
      <c r="O90" s="67">
        <f t="shared" si="54"/>
        <v>0</v>
      </c>
      <c r="P90" s="67"/>
      <c r="Q90" s="68"/>
      <c r="R90" s="69"/>
      <c r="S90" s="70"/>
      <c r="T90" s="950"/>
      <c r="U90" s="950"/>
      <c r="V90" s="70"/>
      <c r="W90" s="70"/>
      <c r="X90" s="925"/>
      <c r="Y90" s="925"/>
      <c r="Z90" s="925"/>
      <c r="AA90" s="953"/>
      <c r="AB90" s="192"/>
      <c r="AC90" s="192"/>
      <c r="AD90" s="193"/>
      <c r="AE90" s="89"/>
      <c r="AF90" s="194"/>
      <c r="AG90" s="72"/>
      <c r="AH90" s="72"/>
      <c r="AI90" s="72"/>
      <c r="AJ90" s="72"/>
      <c r="AK90" s="72"/>
      <c r="AL90" s="72"/>
      <c r="AM90" s="70"/>
      <c r="AN90" s="925"/>
      <c r="AO90" s="925"/>
      <c r="AP90" s="73"/>
      <c r="AQ90" s="73"/>
      <c r="AR90" s="107"/>
      <c r="AU90" s="311"/>
      <c r="AW90" s="218"/>
      <c r="AX90" s="218"/>
      <c r="AY90" s="219"/>
      <c r="AZ90" s="219"/>
      <c r="BA90" s="136"/>
    </row>
    <row r="91" spans="1:53" s="82" customFormat="1" ht="24.95" hidden="1" customHeight="1" outlineLevel="1" thickBot="1">
      <c r="A91" s="840"/>
      <c r="C91" s="108"/>
      <c r="D91" s="91"/>
      <c r="E91" s="92"/>
      <c r="F91" s="92"/>
      <c r="G91" s="92" t="s">
        <v>780</v>
      </c>
      <c r="H91" s="92"/>
      <c r="I91" s="92"/>
      <c r="J91" s="150">
        <f>IFERROR(AVERAGE(J86:J90),0)</f>
        <v>0</v>
      </c>
      <c r="K91" s="150">
        <f>IFERROR(AVERAGE(K86:K90),0)</f>
        <v>0</v>
      </c>
      <c r="L91" s="95">
        <f>SUM(L86:L90)</f>
        <v>0</v>
      </c>
      <c r="M91" s="95">
        <f>SUM(M86:M90)</f>
        <v>0</v>
      </c>
      <c r="N91" s="95">
        <f>SUM(N86:N90)</f>
        <v>0</v>
      </c>
      <c r="O91" s="95">
        <f>SUM(O86:O90)</f>
        <v>0</v>
      </c>
      <c r="P91" s="93"/>
      <c r="Q91" s="95"/>
      <c r="R91" s="95"/>
      <c r="S91" s="91"/>
      <c r="T91" s="91"/>
      <c r="U91" s="97"/>
      <c r="V91" s="96"/>
      <c r="W91" s="97"/>
      <c r="X91" s="98"/>
      <c r="Y91" s="98"/>
      <c r="Z91" s="207"/>
      <c r="AA91" s="99"/>
      <c r="AB91" s="741" t="str">
        <f>IF(F91="","",F91-E91+AI91+AL91)</f>
        <v/>
      </c>
      <c r="AC91" s="99"/>
      <c r="AD91" s="99"/>
      <c r="AE91" s="99"/>
      <c r="AF91" s="99"/>
      <c r="AG91" s="99"/>
      <c r="AH91" s="99"/>
      <c r="AI91" s="99"/>
      <c r="AJ91" s="99"/>
      <c r="AK91" s="99"/>
      <c r="AL91" s="99"/>
      <c r="AM91" s="100"/>
      <c r="AN91" s="100"/>
      <c r="AO91" s="100"/>
      <c r="AP91" s="96"/>
      <c r="AQ91" s="96"/>
      <c r="AR91" s="109"/>
      <c r="AT91" s="82">
        <f t="shared" si="48"/>
        <v>0</v>
      </c>
      <c r="AU91" s="311">
        <f t="shared" si="49"/>
        <v>0</v>
      </c>
      <c r="AW91" s="218">
        <f t="shared" si="50"/>
        <v>0</v>
      </c>
      <c r="AX91" s="218">
        <f t="shared" si="50"/>
        <v>0</v>
      </c>
      <c r="AY91" s="219">
        <f t="shared" ref="AY91:AY92" si="55">IF(AW91+AX91=2,0.5,AW91)</f>
        <v>0</v>
      </c>
      <c r="AZ91" s="219">
        <f t="shared" ref="AZ91:AZ92" si="56">IF(AW91+AX91=2,0.5,AX91)</f>
        <v>0</v>
      </c>
      <c r="BA91" s="136">
        <f t="shared" si="53"/>
        <v>0</v>
      </c>
    </row>
    <row r="92" spans="1:53" s="82" customFormat="1" ht="24.95" hidden="1" customHeight="1" outlineLevel="1" thickBot="1">
      <c r="A92" s="840"/>
      <c r="C92" s="644" t="s">
        <v>829</v>
      </c>
      <c r="D92" s="645"/>
      <c r="E92" s="645"/>
      <c r="F92" s="645"/>
      <c r="G92" s="645"/>
      <c r="H92" s="645"/>
      <c r="I92" s="645"/>
      <c r="J92" s="645"/>
      <c r="K92" s="645"/>
      <c r="L92" s="645"/>
      <c r="M92" s="696"/>
      <c r="N92" s="696"/>
      <c r="O92" s="696"/>
      <c r="P92" s="696"/>
      <c r="Q92" s="645"/>
      <c r="R92" s="645"/>
      <c r="S92" s="645"/>
      <c r="T92" s="645"/>
      <c r="U92" s="646"/>
      <c r="V92" s="645"/>
      <c r="W92" s="645"/>
      <c r="X92" s="645"/>
      <c r="Y92" s="645"/>
      <c r="Z92" s="647"/>
      <c r="AA92" s="645"/>
      <c r="AB92" s="645"/>
      <c r="AC92" s="645"/>
      <c r="AD92" s="645"/>
      <c r="AE92" s="645"/>
      <c r="AF92" s="645"/>
      <c r="AG92" s="645"/>
      <c r="AH92" s="645"/>
      <c r="AI92" s="645"/>
      <c r="AJ92" s="645"/>
      <c r="AK92" s="645"/>
      <c r="AL92" s="645"/>
      <c r="AM92" s="645"/>
      <c r="AN92" s="645"/>
      <c r="AO92" s="645"/>
      <c r="AP92" s="645"/>
      <c r="AQ92" s="645"/>
      <c r="AR92" s="648"/>
      <c r="AT92" s="82" t="str">
        <f t="shared" si="48"/>
        <v>2026년 11월 반입 예정 선박리스트</v>
      </c>
      <c r="AU92" s="311">
        <f t="shared" si="49"/>
        <v>0</v>
      </c>
      <c r="AW92" s="218">
        <f t="shared" si="50"/>
        <v>0</v>
      </c>
      <c r="AX92" s="218">
        <f t="shared" si="50"/>
        <v>0</v>
      </c>
      <c r="AY92" s="219">
        <f t="shared" si="55"/>
        <v>0</v>
      </c>
      <c r="AZ92" s="219">
        <f t="shared" si="56"/>
        <v>0</v>
      </c>
      <c r="BA92" s="136">
        <f t="shared" si="53"/>
        <v>0</v>
      </c>
    </row>
    <row r="93" spans="1:53" s="82" customFormat="1" ht="24.95" hidden="1" customHeight="1" outlineLevel="1">
      <c r="A93" s="840"/>
      <c r="C93" s="105"/>
      <c r="D93" s="929"/>
      <c r="E93" s="931"/>
      <c r="F93" s="64"/>
      <c r="G93" s="64"/>
      <c r="H93" s="64"/>
      <c r="I93" s="64"/>
      <c r="J93" s="65"/>
      <c r="K93" s="66"/>
      <c r="L93" s="870"/>
      <c r="M93" s="67"/>
      <c r="N93" s="67"/>
      <c r="O93" s="67">
        <f t="shared" ref="O93:O98" si="57">+M93+N93</f>
        <v>0</v>
      </c>
      <c r="P93" s="67"/>
      <c r="Q93" s="68"/>
      <c r="R93" s="69"/>
      <c r="S93" s="70"/>
      <c r="T93" s="950"/>
      <c r="U93" s="70"/>
      <c r="V93" s="70"/>
      <c r="W93" s="70"/>
      <c r="X93" s="69"/>
      <c r="Y93" s="69"/>
      <c r="Z93" s="204"/>
      <c r="AA93" s="72"/>
      <c r="AB93" s="192"/>
      <c r="AC93" s="192"/>
      <c r="AD93" s="193"/>
      <c r="AE93" s="89"/>
      <c r="AF93" s="194"/>
      <c r="AG93" s="72"/>
      <c r="AH93" s="72"/>
      <c r="AI93" s="72"/>
      <c r="AJ93" s="72"/>
      <c r="AK93" s="72"/>
      <c r="AL93" s="72"/>
      <c r="AM93" s="70"/>
      <c r="AN93" s="947"/>
      <c r="AO93" s="947"/>
      <c r="AP93" s="73"/>
      <c r="AQ93" s="73"/>
      <c r="AR93" s="107"/>
      <c r="AU93" s="311"/>
      <c r="AW93" s="218"/>
      <c r="AX93" s="218"/>
      <c r="AY93" s="219"/>
      <c r="AZ93" s="219"/>
      <c r="BA93" s="136"/>
    </row>
    <row r="94" spans="1:53" s="82" customFormat="1" ht="24.95" hidden="1" customHeight="1" outlineLevel="1">
      <c r="A94" s="840"/>
      <c r="C94" s="105"/>
      <c r="D94" s="929"/>
      <c r="E94" s="931"/>
      <c r="F94" s="64"/>
      <c r="G94" s="64"/>
      <c r="H94" s="64"/>
      <c r="I94" s="64"/>
      <c r="J94" s="65"/>
      <c r="K94" s="66"/>
      <c r="L94" s="887"/>
      <c r="M94" s="67"/>
      <c r="N94" s="67"/>
      <c r="O94" s="67">
        <f t="shared" si="57"/>
        <v>0</v>
      </c>
      <c r="P94" s="67"/>
      <c r="Q94" s="68"/>
      <c r="R94" s="69"/>
      <c r="S94" s="70"/>
      <c r="T94" s="929"/>
      <c r="U94" s="929"/>
      <c r="V94" s="929"/>
      <c r="W94" s="70"/>
      <c r="X94" s="925"/>
      <c r="Y94" s="83"/>
      <c r="Z94" s="946"/>
      <c r="AA94" s="946"/>
      <c r="AB94" s="72"/>
      <c r="AC94" s="72"/>
      <c r="AD94" s="72"/>
      <c r="AE94" s="89"/>
      <c r="AF94" s="80"/>
      <c r="AG94" s="80"/>
      <c r="AH94" s="80"/>
      <c r="AI94" s="80"/>
      <c r="AJ94" s="80"/>
      <c r="AK94" s="80"/>
      <c r="AL94" s="80"/>
      <c r="AM94" s="70"/>
      <c r="AN94" s="70"/>
      <c r="AO94" s="70"/>
      <c r="AP94" s="73"/>
      <c r="AQ94" s="73"/>
      <c r="AR94" s="107"/>
      <c r="AU94" s="311"/>
      <c r="AW94" s="218"/>
      <c r="AX94" s="218"/>
      <c r="AY94" s="219"/>
      <c r="AZ94" s="219"/>
      <c r="BA94" s="136"/>
    </row>
    <row r="95" spans="1:53" s="82" customFormat="1" ht="24.95" hidden="1" customHeight="1" outlineLevel="1">
      <c r="A95" s="840"/>
      <c r="C95" s="105"/>
      <c r="D95" s="71"/>
      <c r="E95" s="64"/>
      <c r="F95" s="64"/>
      <c r="G95" s="64"/>
      <c r="H95" s="64"/>
      <c r="I95" s="64"/>
      <c r="J95" s="65"/>
      <c r="K95" s="66"/>
      <c r="L95" s="69"/>
      <c r="M95" s="67"/>
      <c r="N95" s="67"/>
      <c r="O95" s="67">
        <f t="shared" si="57"/>
        <v>0</v>
      </c>
      <c r="P95" s="67"/>
      <c r="Q95" s="68"/>
      <c r="R95" s="69"/>
      <c r="S95" s="70"/>
      <c r="T95" s="70"/>
      <c r="U95" s="70"/>
      <c r="V95" s="70"/>
      <c r="W95" s="70"/>
      <c r="X95" s="925"/>
      <c r="Y95" s="83"/>
      <c r="Z95" s="946"/>
      <c r="AA95" s="946"/>
      <c r="AB95" s="72"/>
      <c r="AC95" s="72"/>
      <c r="AD95" s="72"/>
      <c r="AE95" s="89"/>
      <c r="AF95" s="194"/>
      <c r="AG95" s="64"/>
      <c r="AH95" s="64"/>
      <c r="AI95" s="72"/>
      <c r="AJ95" s="80"/>
      <c r="AK95" s="80"/>
      <c r="AL95" s="80"/>
      <c r="AM95" s="70"/>
      <c r="AN95" s="70"/>
      <c r="AO95" s="70"/>
      <c r="AP95" s="73"/>
      <c r="AQ95" s="73"/>
      <c r="AR95" s="107"/>
      <c r="AU95" s="311"/>
      <c r="AW95" s="218"/>
      <c r="AX95" s="218"/>
      <c r="AY95" s="219"/>
      <c r="AZ95" s="219"/>
      <c r="BA95" s="136"/>
    </row>
    <row r="96" spans="1:53" s="82" customFormat="1" ht="24.95" hidden="1" customHeight="1" outlineLevel="1">
      <c r="A96" s="840"/>
      <c r="C96" s="105"/>
      <c r="D96" s="929"/>
      <c r="E96" s="931"/>
      <c r="F96" s="64"/>
      <c r="G96" s="64"/>
      <c r="H96" s="64"/>
      <c r="I96" s="64"/>
      <c r="J96" s="65"/>
      <c r="K96" s="66"/>
      <c r="L96" s="887"/>
      <c r="M96" s="67"/>
      <c r="N96" s="67"/>
      <c r="O96" s="67">
        <f t="shared" si="57"/>
        <v>0</v>
      </c>
      <c r="P96" s="67"/>
      <c r="Q96" s="68"/>
      <c r="R96" s="69"/>
      <c r="S96" s="70"/>
      <c r="T96" s="315"/>
      <c r="U96" s="70"/>
      <c r="V96" s="70"/>
      <c r="W96" s="70"/>
      <c r="X96" s="925"/>
      <c r="Y96" s="83"/>
      <c r="Z96" s="946"/>
      <c r="AA96" s="946"/>
      <c r="AB96" s="72"/>
      <c r="AC96" s="72"/>
      <c r="AD96" s="72"/>
      <c r="AE96" s="89"/>
      <c r="AF96" s="80"/>
      <c r="AG96" s="80"/>
      <c r="AH96" s="80"/>
      <c r="AI96" s="80"/>
      <c r="AJ96" s="80"/>
      <c r="AK96" s="80"/>
      <c r="AL96" s="80"/>
      <c r="AM96" s="70"/>
      <c r="AN96" s="70"/>
      <c r="AO96" s="70"/>
      <c r="AP96" s="73"/>
      <c r="AQ96" s="73"/>
      <c r="AR96" s="107"/>
      <c r="AU96" s="311"/>
      <c r="AW96" s="218"/>
      <c r="AX96" s="218"/>
      <c r="AY96" s="219"/>
      <c r="AZ96" s="219"/>
      <c r="BA96" s="136"/>
    </row>
    <row r="97" spans="1:53" s="82" customFormat="1" ht="24.95" hidden="1" customHeight="1" outlineLevel="1">
      <c r="A97" s="840"/>
      <c r="C97" s="105"/>
      <c r="D97" s="929"/>
      <c r="E97" s="954"/>
      <c r="F97" s="64"/>
      <c r="G97" s="64"/>
      <c r="H97" s="64"/>
      <c r="I97" s="64"/>
      <c r="J97" s="65"/>
      <c r="K97" s="66"/>
      <c r="L97" s="955"/>
      <c r="M97" s="67"/>
      <c r="N97" s="67"/>
      <c r="O97" s="67">
        <f t="shared" si="57"/>
        <v>0</v>
      </c>
      <c r="P97" s="67"/>
      <c r="Q97" s="68"/>
      <c r="R97" s="69"/>
      <c r="S97" s="70"/>
      <c r="T97" s="315"/>
      <c r="U97" s="70"/>
      <c r="V97" s="70"/>
      <c r="W97" s="70"/>
      <c r="X97" s="925"/>
      <c r="Y97" s="83"/>
      <c r="Z97" s="946"/>
      <c r="AA97" s="946"/>
      <c r="AB97" s="72"/>
      <c r="AC97" s="72"/>
      <c r="AD97" s="72"/>
      <c r="AE97" s="89"/>
      <c r="AF97" s="80"/>
      <c r="AG97" s="80"/>
      <c r="AH97" s="80"/>
      <c r="AI97" s="80"/>
      <c r="AJ97" s="80"/>
      <c r="AK97" s="80"/>
      <c r="AL97" s="80"/>
      <c r="AM97" s="70"/>
      <c r="AN97" s="70"/>
      <c r="AO97" s="70"/>
      <c r="AP97" s="73"/>
      <c r="AQ97" s="73"/>
      <c r="AR97" s="107"/>
      <c r="AU97" s="311"/>
      <c r="AW97" s="218"/>
      <c r="AX97" s="218"/>
      <c r="AY97" s="219"/>
      <c r="AZ97" s="219"/>
      <c r="BA97" s="136"/>
    </row>
    <row r="98" spans="1:53" s="82" customFormat="1" ht="24.95" hidden="1" customHeight="1" outlineLevel="1">
      <c r="A98" s="840"/>
      <c r="C98" s="105"/>
      <c r="D98" s="71"/>
      <c r="E98" s="64"/>
      <c r="F98" s="64"/>
      <c r="G98" s="64"/>
      <c r="H98" s="64"/>
      <c r="I98" s="64"/>
      <c r="J98" s="65"/>
      <c r="K98" s="66"/>
      <c r="L98" s="69"/>
      <c r="M98" s="67"/>
      <c r="N98" s="67"/>
      <c r="O98" s="67">
        <f t="shared" si="57"/>
        <v>0</v>
      </c>
      <c r="P98" s="67"/>
      <c r="Q98" s="68"/>
      <c r="R98" s="69"/>
      <c r="S98" s="70"/>
      <c r="T98" s="70"/>
      <c r="U98" s="70"/>
      <c r="V98" s="70"/>
      <c r="W98" s="70"/>
      <c r="X98" s="69"/>
      <c r="Y98" s="69"/>
      <c r="Z98" s="204"/>
      <c r="AA98" s="72"/>
      <c r="AB98" s="192"/>
      <c r="AC98" s="192"/>
      <c r="AD98" s="193"/>
      <c r="AE98" s="89"/>
      <c r="AF98" s="194"/>
      <c r="AG98" s="72"/>
      <c r="AH98" s="72"/>
      <c r="AI98" s="72"/>
      <c r="AJ98" s="72"/>
      <c r="AK98" s="72"/>
      <c r="AL98" s="72"/>
      <c r="AM98" s="70"/>
      <c r="AN98" s="70"/>
      <c r="AO98" s="70"/>
      <c r="AP98" s="73"/>
      <c r="AQ98" s="73"/>
      <c r="AR98" s="107"/>
      <c r="AU98" s="311"/>
      <c r="AW98" s="218"/>
      <c r="AX98" s="218"/>
      <c r="AY98" s="219"/>
      <c r="AZ98" s="219"/>
      <c r="BA98" s="136"/>
    </row>
    <row r="99" spans="1:53" s="82" customFormat="1" ht="24.75" hidden="1" customHeight="1" outlineLevel="1" thickBot="1">
      <c r="A99" s="840"/>
      <c r="C99" s="108"/>
      <c r="D99" s="91"/>
      <c r="E99" s="92"/>
      <c r="F99" s="92"/>
      <c r="G99" s="92"/>
      <c r="H99" s="92"/>
      <c r="I99" s="92"/>
      <c r="J99" s="150">
        <f>IFERROR(AVERAGE(J93:J98),0)</f>
        <v>0</v>
      </c>
      <c r="K99" s="150">
        <f>IFERROR(AVERAGE(K93:K98),0)</f>
        <v>0</v>
      </c>
      <c r="L99" s="95">
        <f>SUM(L93:L98)</f>
        <v>0</v>
      </c>
      <c r="M99" s="95">
        <f>SUM(M93:M98)</f>
        <v>0</v>
      </c>
      <c r="N99" s="95">
        <f>SUM(N93:N98)</f>
        <v>0</v>
      </c>
      <c r="O99" s="95">
        <f>SUM(O93:O98)</f>
        <v>0</v>
      </c>
      <c r="P99" s="93"/>
      <c r="Q99" s="95"/>
      <c r="R99" s="95"/>
      <c r="S99" s="91"/>
      <c r="T99" s="91"/>
      <c r="U99" s="97"/>
      <c r="V99" s="96"/>
      <c r="W99" s="97"/>
      <c r="X99" s="98"/>
      <c r="Y99" s="98"/>
      <c r="Z99" s="207"/>
      <c r="AA99" s="99"/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100"/>
      <c r="AN99" s="99"/>
      <c r="AO99" s="100"/>
      <c r="AP99" s="96"/>
      <c r="AQ99" s="96"/>
      <c r="AR99" s="109"/>
      <c r="AT99" s="82">
        <f t="shared" si="48"/>
        <v>0</v>
      </c>
      <c r="AU99" s="311">
        <f t="shared" ref="AU99:AU100" si="58">L99</f>
        <v>0</v>
      </c>
      <c r="AW99" s="218">
        <f t="shared" ref="AW99:AX100" si="59">IF(M99=0,0,1)</f>
        <v>0</v>
      </c>
      <c r="AX99" s="218">
        <f t="shared" si="59"/>
        <v>0</v>
      </c>
      <c r="AY99" s="219">
        <f t="shared" ref="AY99:AY121" si="60">IF(AW99+AX99=2,0.5,AW99)</f>
        <v>0</v>
      </c>
      <c r="AZ99" s="219">
        <f t="shared" ref="AZ99:AZ121" si="61">IF(AW99+AX99=2,0.5,AX99)</f>
        <v>0</v>
      </c>
      <c r="BA99" s="136">
        <f t="shared" ref="BA99:BA121" si="62">AY99+AZ99</f>
        <v>0</v>
      </c>
    </row>
    <row r="100" spans="1:53" s="82" customFormat="1" ht="24.95" hidden="1" customHeight="1" outlineLevel="1" thickBot="1">
      <c r="A100" s="840"/>
      <c r="C100" s="644" t="s">
        <v>830</v>
      </c>
      <c r="D100" s="645"/>
      <c r="E100" s="645"/>
      <c r="F100" s="645"/>
      <c r="G100" s="645"/>
      <c r="H100" s="645"/>
      <c r="I100" s="645"/>
      <c r="J100" s="645"/>
      <c r="K100" s="645"/>
      <c r="L100" s="645"/>
      <c r="M100" s="696"/>
      <c r="N100" s="696"/>
      <c r="O100" s="696"/>
      <c r="P100" s="696"/>
      <c r="Q100" s="645"/>
      <c r="R100" s="645"/>
      <c r="S100" s="645"/>
      <c r="T100" s="956"/>
      <c r="U100" s="646"/>
      <c r="V100" s="645"/>
      <c r="W100" s="645"/>
      <c r="X100" s="645"/>
      <c r="Y100" s="645"/>
      <c r="Z100" s="647"/>
      <c r="AA100" s="645"/>
      <c r="AB100" s="645"/>
      <c r="AC100" s="645"/>
      <c r="AD100" s="645"/>
      <c r="AE100" s="645"/>
      <c r="AF100" s="645"/>
      <c r="AG100" s="645"/>
      <c r="AH100" s="645"/>
      <c r="AI100" s="645"/>
      <c r="AJ100" s="645"/>
      <c r="AK100" s="645"/>
      <c r="AL100" s="645"/>
      <c r="AM100" s="645"/>
      <c r="AN100" s="100"/>
      <c r="AO100" s="645"/>
      <c r="AP100" s="645"/>
      <c r="AQ100" s="645"/>
      <c r="AR100" s="648"/>
      <c r="AT100" s="82" t="str">
        <f t="shared" si="48"/>
        <v>2026년 12월 반입 예정 선박리스트</v>
      </c>
      <c r="AU100" s="311">
        <f t="shared" si="58"/>
        <v>0</v>
      </c>
      <c r="AW100" s="218">
        <f t="shared" si="59"/>
        <v>0</v>
      </c>
      <c r="AX100" s="218">
        <f t="shared" si="59"/>
        <v>0</v>
      </c>
      <c r="AY100" s="219">
        <f t="shared" si="60"/>
        <v>0</v>
      </c>
      <c r="AZ100" s="219">
        <f t="shared" si="61"/>
        <v>0</v>
      </c>
      <c r="BA100" s="136">
        <f t="shared" si="62"/>
        <v>0</v>
      </c>
    </row>
    <row r="101" spans="1:53" s="82" customFormat="1" ht="24.95" hidden="1" customHeight="1" outlineLevel="1" thickBot="1">
      <c r="A101" s="840"/>
      <c r="C101" s="105"/>
      <c r="D101" s="71"/>
      <c r="E101" s="64"/>
      <c r="F101" s="76"/>
      <c r="G101" s="76"/>
      <c r="H101" s="76"/>
      <c r="I101" s="76"/>
      <c r="J101" s="65"/>
      <c r="K101" s="66"/>
      <c r="L101" s="69"/>
      <c r="M101" s="77"/>
      <c r="N101" s="77"/>
      <c r="O101" s="67">
        <f t="shared" ref="O101:O105" si="63">+M101+N101</f>
        <v>0</v>
      </c>
      <c r="P101" s="77"/>
      <c r="Q101" s="78"/>
      <c r="R101" s="69"/>
      <c r="S101" s="70"/>
      <c r="T101" s="70"/>
      <c r="U101" s="70"/>
      <c r="V101" s="70"/>
      <c r="W101" s="70"/>
      <c r="X101" s="925"/>
      <c r="Y101" s="83"/>
      <c r="Z101" s="946"/>
      <c r="AA101" s="946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70"/>
      <c r="AN101" s="70"/>
      <c r="AO101" s="70"/>
      <c r="AP101" s="71"/>
      <c r="AQ101" s="71"/>
      <c r="AR101" s="104"/>
      <c r="AU101" s="311"/>
      <c r="AW101" s="218"/>
      <c r="AX101" s="218"/>
      <c r="AY101" s="219"/>
      <c r="AZ101" s="219"/>
      <c r="BA101" s="136"/>
    </row>
    <row r="102" spans="1:53" s="82" customFormat="1" ht="24.95" hidden="1" customHeight="1" outlineLevel="1">
      <c r="A102" s="840"/>
      <c r="C102" s="105"/>
      <c r="D102" s="71"/>
      <c r="E102" s="64"/>
      <c r="F102" s="76"/>
      <c r="G102" s="76"/>
      <c r="H102" s="76"/>
      <c r="I102" s="76"/>
      <c r="J102" s="65"/>
      <c r="K102" s="66"/>
      <c r="L102" s="69"/>
      <c r="M102" s="77"/>
      <c r="N102" s="77"/>
      <c r="O102" s="67">
        <f t="shared" si="63"/>
        <v>0</v>
      </c>
      <c r="P102" s="77"/>
      <c r="Q102" s="78"/>
      <c r="R102" s="69"/>
      <c r="S102" s="70"/>
      <c r="T102" s="949"/>
      <c r="U102" s="949"/>
      <c r="V102" s="70"/>
      <c r="W102" s="70"/>
      <c r="X102" s="949"/>
      <c r="Y102" s="949"/>
      <c r="Z102" s="949"/>
      <c r="AA102" s="957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59"/>
      <c r="AN102" s="949"/>
      <c r="AO102" s="949"/>
      <c r="AP102" s="71"/>
      <c r="AQ102" s="71"/>
      <c r="AR102" s="104"/>
      <c r="AU102" s="311"/>
      <c r="AW102" s="218"/>
      <c r="AX102" s="218"/>
      <c r="AY102" s="219"/>
      <c r="AZ102" s="219"/>
      <c r="BA102" s="136"/>
    </row>
    <row r="103" spans="1:53" s="82" customFormat="1" ht="24.95" hidden="1" customHeight="1" outlineLevel="1">
      <c r="A103" s="840"/>
      <c r="C103" s="105"/>
      <c r="D103" s="71"/>
      <c r="E103" s="64"/>
      <c r="F103" s="76"/>
      <c r="G103" s="76"/>
      <c r="H103" s="76"/>
      <c r="I103" s="76"/>
      <c r="J103" s="65"/>
      <c r="K103" s="66"/>
      <c r="L103" s="69"/>
      <c r="M103" s="77"/>
      <c r="N103" s="77"/>
      <c r="O103" s="67">
        <f t="shared" si="63"/>
        <v>0</v>
      </c>
      <c r="P103" s="77"/>
      <c r="Q103" s="78"/>
      <c r="R103" s="69"/>
      <c r="S103" s="70"/>
      <c r="T103" s="70"/>
      <c r="U103" s="70"/>
      <c r="V103" s="70"/>
      <c r="W103" s="70"/>
      <c r="X103" s="949"/>
      <c r="Y103" s="949"/>
      <c r="Z103" s="949"/>
      <c r="AA103" s="957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70"/>
      <c r="AN103" s="949"/>
      <c r="AO103" s="949"/>
      <c r="AP103" s="71"/>
      <c r="AQ103" s="71"/>
      <c r="AR103" s="104"/>
      <c r="AU103" s="311"/>
      <c r="AW103" s="218"/>
      <c r="AX103" s="218"/>
      <c r="AY103" s="219"/>
      <c r="AZ103" s="219"/>
      <c r="BA103" s="136"/>
    </row>
    <row r="104" spans="1:53" s="82" customFormat="1" ht="24.95" hidden="1" customHeight="1" outlineLevel="1" thickBot="1">
      <c r="A104" s="840"/>
      <c r="C104" s="105"/>
      <c r="D104" s="71"/>
      <c r="E104" s="64"/>
      <c r="F104" s="76"/>
      <c r="G104" s="76"/>
      <c r="H104" s="76"/>
      <c r="I104" s="76"/>
      <c r="J104" s="65"/>
      <c r="K104" s="66"/>
      <c r="L104" s="69"/>
      <c r="M104" s="77"/>
      <c r="N104" s="77"/>
      <c r="O104" s="67">
        <f t="shared" si="63"/>
        <v>0</v>
      </c>
      <c r="P104" s="77"/>
      <c r="Q104" s="78"/>
      <c r="R104" s="69"/>
      <c r="S104" s="70"/>
      <c r="T104" s="70"/>
      <c r="U104" s="70"/>
      <c r="V104" s="70"/>
      <c r="W104" s="70"/>
      <c r="X104" s="925"/>
      <c r="Y104" s="925"/>
      <c r="Z104" s="925"/>
      <c r="AA104" s="953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70"/>
      <c r="AN104" s="925"/>
      <c r="AO104" s="925"/>
      <c r="AP104" s="71"/>
      <c r="AQ104" s="71"/>
      <c r="AR104" s="104"/>
      <c r="AU104" s="311"/>
      <c r="AW104" s="218"/>
      <c r="AX104" s="218"/>
      <c r="AY104" s="219"/>
      <c r="AZ104" s="219"/>
      <c r="BA104" s="136"/>
    </row>
    <row r="105" spans="1:53" s="82" customFormat="1" ht="24.95" hidden="1" customHeight="1" outlineLevel="1">
      <c r="A105" s="840"/>
      <c r="C105" s="105"/>
      <c r="D105" s="71"/>
      <c r="E105" s="64"/>
      <c r="F105" s="76"/>
      <c r="G105" s="76"/>
      <c r="H105" s="76"/>
      <c r="I105" s="76"/>
      <c r="J105" s="65"/>
      <c r="K105" s="66"/>
      <c r="L105" s="69"/>
      <c r="M105" s="77"/>
      <c r="N105" s="77"/>
      <c r="O105" s="67">
        <f t="shared" si="63"/>
        <v>0</v>
      </c>
      <c r="P105" s="77"/>
      <c r="Q105" s="78"/>
      <c r="R105" s="69"/>
      <c r="S105" s="70"/>
      <c r="T105" s="70"/>
      <c r="U105" s="70"/>
      <c r="V105" s="70"/>
      <c r="W105" s="70"/>
      <c r="X105" s="925"/>
      <c r="Y105" s="83"/>
      <c r="Z105" s="946"/>
      <c r="AA105" s="946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59"/>
      <c r="AN105" s="70"/>
      <c r="AO105" s="70"/>
      <c r="AP105" s="71"/>
      <c r="AQ105" s="71"/>
      <c r="AR105" s="104"/>
      <c r="AU105" s="311"/>
      <c r="AW105" s="218"/>
      <c r="AX105" s="218"/>
      <c r="AY105" s="219"/>
      <c r="AZ105" s="219"/>
      <c r="BA105" s="136"/>
    </row>
    <row r="106" spans="1:53" s="82" customFormat="1" ht="24.95" hidden="1" customHeight="1" outlineLevel="1" thickBot="1">
      <c r="A106" s="840"/>
      <c r="C106" s="108"/>
      <c r="D106" s="91"/>
      <c r="E106" s="92"/>
      <c r="F106" s="92"/>
      <c r="G106" s="92"/>
      <c r="H106" s="92"/>
      <c r="I106" s="92"/>
      <c r="J106" s="150">
        <f>IFERROR(AVERAGE(J101:J105),0)</f>
        <v>0</v>
      </c>
      <c r="K106" s="150">
        <f>IFERROR(AVERAGE(K101:K105),0)</f>
        <v>0</v>
      </c>
      <c r="L106" s="95">
        <f>SUM(L101:L105)</f>
        <v>0</v>
      </c>
      <c r="M106" s="95">
        <f>SUM(M101:M105)</f>
        <v>0</v>
      </c>
      <c r="N106" s="95">
        <f>SUM(N101:N105)</f>
        <v>0</v>
      </c>
      <c r="O106" s="95">
        <f>SUM(O101:O105)</f>
        <v>0</v>
      </c>
      <c r="P106" s="93"/>
      <c r="Q106" s="95"/>
      <c r="R106" s="95"/>
      <c r="S106" s="91"/>
      <c r="T106" s="91"/>
      <c r="U106" s="97"/>
      <c r="V106" s="96"/>
      <c r="W106" s="97"/>
      <c r="X106" s="98"/>
      <c r="Y106" s="98"/>
      <c r="Z106" s="207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100"/>
      <c r="AN106" s="99"/>
      <c r="AO106" s="100"/>
      <c r="AP106" s="96"/>
      <c r="AQ106" s="96"/>
      <c r="AR106" s="109"/>
      <c r="AT106" s="82">
        <f t="shared" si="48"/>
        <v>0</v>
      </c>
      <c r="AU106" s="311">
        <f>L106</f>
        <v>0</v>
      </c>
      <c r="AW106" s="218">
        <f t="shared" ref="AW106:AX121" si="64">IF(M106=0,0,1)</f>
        <v>0</v>
      </c>
      <c r="AX106" s="218">
        <f t="shared" si="64"/>
        <v>0</v>
      </c>
      <c r="AY106" s="219">
        <f t="shared" si="60"/>
        <v>0</v>
      </c>
      <c r="AZ106" s="219">
        <f t="shared" si="61"/>
        <v>0</v>
      </c>
      <c r="BA106" s="136">
        <f t="shared" si="62"/>
        <v>0</v>
      </c>
    </row>
    <row r="107" spans="1:53" s="82" customFormat="1" ht="24.95" hidden="1" customHeight="1" outlineLevel="1" thickBot="1">
      <c r="A107" s="840"/>
      <c r="C107" s="644" t="s">
        <v>831</v>
      </c>
      <c r="D107" s="645"/>
      <c r="E107" s="645"/>
      <c r="F107" s="645"/>
      <c r="G107" s="645"/>
      <c r="H107" s="645"/>
      <c r="I107" s="645"/>
      <c r="J107" s="645"/>
      <c r="K107" s="645"/>
      <c r="L107" s="645"/>
      <c r="M107" s="696"/>
      <c r="N107" s="696"/>
      <c r="O107" s="696"/>
      <c r="P107" s="696"/>
      <c r="Q107" s="645"/>
      <c r="R107" s="645"/>
      <c r="S107" s="645"/>
      <c r="T107" s="645"/>
      <c r="U107" s="646"/>
      <c r="V107" s="645"/>
      <c r="W107" s="645"/>
      <c r="X107" s="645"/>
      <c r="Y107" s="645"/>
      <c r="Z107" s="647"/>
      <c r="AA107" s="645"/>
      <c r="AB107" s="645"/>
      <c r="AC107" s="645"/>
      <c r="AD107" s="645"/>
      <c r="AE107" s="645"/>
      <c r="AF107" s="645"/>
      <c r="AG107" s="645"/>
      <c r="AH107" s="645"/>
      <c r="AI107" s="645"/>
      <c r="AJ107" s="645"/>
      <c r="AK107" s="645"/>
      <c r="AL107" s="645"/>
      <c r="AM107" s="645"/>
      <c r="AN107" s="100"/>
      <c r="AO107" s="645"/>
      <c r="AP107" s="645"/>
      <c r="AQ107" s="645"/>
      <c r="AR107" s="648"/>
      <c r="AT107" s="82" t="str">
        <f t="shared" si="48"/>
        <v>2027년 01월 반입 예정 선박리스트</v>
      </c>
      <c r="AU107" s="311">
        <f t="shared" ref="AU107:AU121" si="65">L107</f>
        <v>0</v>
      </c>
      <c r="AW107" s="218">
        <f t="shared" si="64"/>
        <v>0</v>
      </c>
      <c r="AX107" s="218">
        <f t="shared" si="64"/>
        <v>0</v>
      </c>
      <c r="AY107" s="219">
        <f t="shared" si="60"/>
        <v>0</v>
      </c>
      <c r="AZ107" s="219">
        <f t="shared" si="61"/>
        <v>0</v>
      </c>
      <c r="BA107" s="136">
        <f t="shared" si="62"/>
        <v>0</v>
      </c>
    </row>
    <row r="108" spans="1:53" s="102" customFormat="1" ht="24.95" hidden="1" customHeight="1" outlineLevel="1">
      <c r="A108" s="841"/>
      <c r="C108" s="402"/>
      <c r="D108" s="703"/>
      <c r="E108" s="403"/>
      <c r="F108" s="403"/>
      <c r="G108" s="403"/>
      <c r="H108" s="403"/>
      <c r="I108" s="403"/>
      <c r="J108" s="405"/>
      <c r="K108" s="406"/>
      <c r="L108" s="887"/>
      <c r="M108" s="408"/>
      <c r="N108" s="408"/>
      <c r="O108" s="67">
        <f t="shared" ref="O108:O112" si="66">+M108+N108</f>
        <v>0</v>
      </c>
      <c r="P108" s="408"/>
      <c r="Q108" s="409"/>
      <c r="R108" s="407"/>
      <c r="S108" s="70"/>
      <c r="T108" s="315"/>
      <c r="U108" s="396"/>
      <c r="V108" s="414"/>
      <c r="W108" s="396"/>
      <c r="X108" s="780"/>
      <c r="Y108" s="415"/>
      <c r="Z108" s="891"/>
      <c r="AA108" s="891"/>
      <c r="AB108" s="376"/>
      <c r="AC108" s="376"/>
      <c r="AD108" s="377"/>
      <c r="AE108" s="378"/>
      <c r="AF108" s="412"/>
      <c r="AG108" s="411"/>
      <c r="AH108" s="411"/>
      <c r="AI108" s="411"/>
      <c r="AJ108" s="411"/>
      <c r="AK108" s="411"/>
      <c r="AL108" s="411"/>
      <c r="AM108" s="396"/>
      <c r="AN108" s="396"/>
      <c r="AO108" s="396"/>
      <c r="AP108" s="400"/>
      <c r="AQ108" s="400"/>
      <c r="AR108" s="401"/>
      <c r="AT108" s="82"/>
      <c r="AU108" s="311"/>
      <c r="AV108" s="82"/>
      <c r="AW108" s="218"/>
      <c r="AX108" s="218"/>
      <c r="AY108" s="219"/>
      <c r="AZ108" s="219"/>
      <c r="BA108" s="136"/>
    </row>
    <row r="109" spans="1:53" s="102" customFormat="1" ht="24.95" hidden="1" customHeight="1" outlineLevel="1">
      <c r="A109" s="841"/>
      <c r="C109" s="402"/>
      <c r="D109" s="400"/>
      <c r="E109" s="403"/>
      <c r="F109" s="403"/>
      <c r="G109" s="403"/>
      <c r="H109" s="403"/>
      <c r="I109" s="403"/>
      <c r="J109" s="405"/>
      <c r="K109" s="406"/>
      <c r="L109" s="407"/>
      <c r="M109" s="408"/>
      <c r="N109" s="408"/>
      <c r="O109" s="67">
        <f t="shared" si="66"/>
        <v>0</v>
      </c>
      <c r="P109" s="408"/>
      <c r="Q109" s="409"/>
      <c r="R109" s="407"/>
      <c r="S109" s="396"/>
      <c r="T109" s="396"/>
      <c r="U109" s="396"/>
      <c r="V109" s="414"/>
      <c r="W109" s="396"/>
      <c r="X109" s="415"/>
      <c r="Y109" s="415"/>
      <c r="Z109" s="416"/>
      <c r="AA109" s="417"/>
      <c r="AB109" s="376"/>
      <c r="AC109" s="376"/>
      <c r="AD109" s="377"/>
      <c r="AE109" s="378"/>
      <c r="AF109" s="412"/>
      <c r="AG109" s="411"/>
      <c r="AH109" s="411"/>
      <c r="AI109" s="411"/>
      <c r="AJ109" s="411"/>
      <c r="AK109" s="411"/>
      <c r="AL109" s="411"/>
      <c r="AM109" s="396"/>
      <c r="AN109" s="396"/>
      <c r="AO109" s="414"/>
      <c r="AP109" s="400"/>
      <c r="AQ109" s="400"/>
      <c r="AR109" s="401"/>
      <c r="AT109" s="82"/>
      <c r="AU109" s="311"/>
      <c r="AV109" s="82"/>
      <c r="AW109" s="218"/>
      <c r="AX109" s="218"/>
      <c r="AY109" s="219"/>
      <c r="AZ109" s="219"/>
      <c r="BA109" s="136"/>
    </row>
    <row r="110" spans="1:53" s="895" customFormat="1" ht="24.95" hidden="1" customHeight="1" outlineLevel="1">
      <c r="A110" s="894"/>
      <c r="C110" s="402"/>
      <c r="D110" s="400"/>
      <c r="E110" s="403"/>
      <c r="F110" s="899"/>
      <c r="G110" s="899"/>
      <c r="H110" s="899"/>
      <c r="I110" s="899"/>
      <c r="J110" s="900"/>
      <c r="K110" s="901"/>
      <c r="L110" s="902"/>
      <c r="M110" s="902"/>
      <c r="N110" s="903"/>
      <c r="O110" s="67">
        <f t="shared" si="66"/>
        <v>0</v>
      </c>
      <c r="P110" s="904"/>
      <c r="Q110" s="905"/>
      <c r="R110" s="407"/>
      <c r="S110" s="906"/>
      <c r="T110" s="907"/>
      <c r="U110" s="907"/>
      <c r="V110" s="907"/>
      <c r="W110" s="781"/>
      <c r="X110" s="780"/>
      <c r="Y110" s="781"/>
      <c r="Z110" s="781"/>
      <c r="AA110" s="781"/>
      <c r="AB110" s="908"/>
      <c r="AC110" s="908"/>
      <c r="AD110" s="909"/>
      <c r="AE110" s="910"/>
      <c r="AF110" s="911"/>
      <c r="AG110" s="912"/>
      <c r="AH110" s="912"/>
      <c r="AI110" s="912"/>
      <c r="AJ110" s="912"/>
      <c r="AK110" s="912"/>
      <c r="AL110" s="912"/>
      <c r="AM110" s="913"/>
      <c r="AN110" s="781"/>
      <c r="AO110" s="780"/>
      <c r="AP110" s="400"/>
      <c r="AQ110" s="897"/>
      <c r="AR110" s="401"/>
      <c r="AT110" s="914"/>
      <c r="AU110" s="915"/>
      <c r="AV110" s="914"/>
      <c r="AW110" s="916"/>
      <c r="AX110" s="916"/>
      <c r="AY110" s="917"/>
      <c r="AZ110" s="917"/>
      <c r="BA110" s="918"/>
    </row>
    <row r="111" spans="1:53" s="895" customFormat="1" ht="24.95" hidden="1" customHeight="1" outlineLevel="1" collapsed="1">
      <c r="A111" s="894"/>
      <c r="C111" s="896"/>
      <c r="D111" s="897"/>
      <c r="E111" s="898"/>
      <c r="F111" s="899"/>
      <c r="G111" s="899"/>
      <c r="H111" s="899"/>
      <c r="I111" s="899"/>
      <c r="J111" s="900"/>
      <c r="K111" s="901"/>
      <c r="L111" s="902"/>
      <c r="M111" s="902"/>
      <c r="N111" s="903"/>
      <c r="O111" s="67">
        <f t="shared" si="66"/>
        <v>0</v>
      </c>
      <c r="P111" s="904"/>
      <c r="Q111" s="905"/>
      <c r="R111" s="407"/>
      <c r="S111" s="906"/>
      <c r="T111" s="907"/>
      <c r="U111" s="907"/>
      <c r="V111" s="907"/>
      <c r="W111" s="919"/>
      <c r="X111" s="920"/>
      <c r="Y111" s="921"/>
      <c r="Z111" s="892"/>
      <c r="AA111" s="892"/>
      <c r="AB111" s="908"/>
      <c r="AC111" s="908"/>
      <c r="AD111" s="909"/>
      <c r="AE111" s="910"/>
      <c r="AF111" s="911"/>
      <c r="AG111" s="912"/>
      <c r="AH111" s="912"/>
      <c r="AI111" s="912"/>
      <c r="AJ111" s="912"/>
      <c r="AK111" s="912"/>
      <c r="AL111" s="912"/>
      <c r="AM111" s="913"/>
      <c r="AN111" s="888"/>
      <c r="AO111" s="888"/>
      <c r="AP111" s="400"/>
      <c r="AQ111" s="897"/>
      <c r="AR111" s="401"/>
      <c r="AT111" s="914"/>
      <c r="AU111" s="915"/>
      <c r="AV111" s="914"/>
      <c r="AW111" s="916"/>
      <c r="AX111" s="916"/>
      <c r="AY111" s="917"/>
      <c r="AZ111" s="917"/>
      <c r="BA111" s="918"/>
    </row>
    <row r="112" spans="1:53" s="895" customFormat="1" ht="24.95" hidden="1" customHeight="1" outlineLevel="1">
      <c r="A112" s="894"/>
      <c r="C112" s="402"/>
      <c r="D112" s="400"/>
      <c r="E112" s="898"/>
      <c r="F112" s="899"/>
      <c r="G112" s="899"/>
      <c r="H112" s="899"/>
      <c r="I112" s="899"/>
      <c r="J112" s="900"/>
      <c r="K112" s="901"/>
      <c r="L112" s="902"/>
      <c r="M112" s="902"/>
      <c r="N112" s="903"/>
      <c r="O112" s="67">
        <f t="shared" si="66"/>
        <v>0</v>
      </c>
      <c r="P112" s="904"/>
      <c r="Q112" s="905"/>
      <c r="R112" s="407"/>
      <c r="S112" s="906"/>
      <c r="T112" s="907"/>
      <c r="U112" s="907"/>
      <c r="V112" s="907"/>
      <c r="W112" s="919"/>
      <c r="X112" s="920"/>
      <c r="Y112" s="921"/>
      <c r="Z112" s="892"/>
      <c r="AA112" s="892"/>
      <c r="AB112" s="908"/>
      <c r="AC112" s="908"/>
      <c r="AD112" s="909"/>
      <c r="AE112" s="910"/>
      <c r="AF112" s="911"/>
      <c r="AG112" s="912"/>
      <c r="AH112" s="912"/>
      <c r="AI112" s="912"/>
      <c r="AJ112" s="912"/>
      <c r="AK112" s="912"/>
      <c r="AL112" s="912"/>
      <c r="AM112" s="913"/>
      <c r="AN112" s="888"/>
      <c r="AO112" s="888"/>
      <c r="AP112" s="400"/>
      <c r="AQ112" s="897"/>
      <c r="AR112" s="401"/>
      <c r="AT112" s="914"/>
      <c r="AU112" s="915"/>
      <c r="AV112" s="914"/>
      <c r="AW112" s="916"/>
      <c r="AX112" s="916"/>
      <c r="AY112" s="917"/>
      <c r="AZ112" s="917"/>
      <c r="BA112" s="918"/>
    </row>
    <row r="113" spans="1:53" ht="24.95" hidden="1" customHeight="1" outlineLevel="1" thickBot="1">
      <c r="C113" s="108"/>
      <c r="D113" s="91"/>
      <c r="E113" s="92"/>
      <c r="F113" s="92"/>
      <c r="G113" s="92"/>
      <c r="H113" s="92"/>
      <c r="I113" s="92"/>
      <c r="J113" s="150">
        <f>IFERROR(AVERAGE(J108:J112),0)</f>
        <v>0</v>
      </c>
      <c r="K113" s="150">
        <f>IFERROR(AVERAGE(K108:K112),0)</f>
        <v>0</v>
      </c>
      <c r="L113" s="95">
        <f>SUM(L108:L112)</f>
        <v>0</v>
      </c>
      <c r="M113" s="95">
        <f>SUM(M108:M112)</f>
        <v>0</v>
      </c>
      <c r="N113" s="95">
        <f>SUM(N108:N112)</f>
        <v>0</v>
      </c>
      <c r="O113" s="95">
        <f>SUM(O108:O112)</f>
        <v>0</v>
      </c>
      <c r="P113" s="93"/>
      <c r="Q113" s="95"/>
      <c r="R113" s="95"/>
      <c r="S113" s="91"/>
      <c r="T113" s="91"/>
      <c r="U113" s="97"/>
      <c r="V113" s="96"/>
      <c r="W113" s="97"/>
      <c r="X113" s="98"/>
      <c r="Y113" s="98"/>
      <c r="Z113" s="207"/>
      <c r="AA113" s="99"/>
      <c r="AB113" s="99"/>
      <c r="AC113" s="99"/>
      <c r="AD113" s="99"/>
      <c r="AE113" s="99"/>
      <c r="AF113" s="99"/>
      <c r="AG113" s="99"/>
      <c r="AH113" s="99"/>
      <c r="AI113" s="99"/>
      <c r="AJ113" s="99"/>
      <c r="AK113" s="99"/>
      <c r="AL113" s="99"/>
      <c r="AM113" s="100"/>
      <c r="AN113" s="100"/>
      <c r="AO113" s="100"/>
      <c r="AP113" s="96"/>
      <c r="AQ113" s="96"/>
      <c r="AR113" s="109"/>
      <c r="AT113" s="82">
        <f t="shared" si="48"/>
        <v>0</v>
      </c>
      <c r="AU113" s="311">
        <f t="shared" si="65"/>
        <v>0</v>
      </c>
      <c r="AV113" s="82"/>
      <c r="AW113" s="218">
        <f t="shared" si="64"/>
        <v>0</v>
      </c>
      <c r="AX113" s="218">
        <f t="shared" si="64"/>
        <v>0</v>
      </c>
      <c r="AY113" s="219">
        <f t="shared" si="60"/>
        <v>0</v>
      </c>
      <c r="AZ113" s="219">
        <f t="shared" si="61"/>
        <v>0</v>
      </c>
      <c r="BA113" s="136">
        <f t="shared" si="62"/>
        <v>0</v>
      </c>
    </row>
    <row r="114" spans="1:53" ht="24.95" hidden="1" customHeight="1" outlineLevel="1" thickBot="1">
      <c r="C114" s="246" t="s">
        <v>832</v>
      </c>
      <c r="D114" s="117"/>
      <c r="E114" s="117"/>
      <c r="F114" s="117"/>
      <c r="G114" s="117"/>
      <c r="H114" s="117"/>
      <c r="I114" s="117"/>
      <c r="J114" s="117"/>
      <c r="K114" s="117"/>
      <c r="L114" s="117"/>
      <c r="M114" s="146"/>
      <c r="N114" s="146"/>
      <c r="O114" s="146"/>
      <c r="P114" s="146"/>
      <c r="Q114" s="117"/>
      <c r="R114" s="117"/>
      <c r="S114" s="117"/>
      <c r="T114" s="117"/>
      <c r="U114" s="475"/>
      <c r="V114" s="117"/>
      <c r="W114" s="117"/>
      <c r="X114" s="117"/>
      <c r="Y114" s="117"/>
      <c r="Z114" s="208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7"/>
      <c r="AM114" s="117"/>
      <c r="AN114" s="117"/>
      <c r="AO114" s="117"/>
      <c r="AP114" s="117"/>
      <c r="AQ114" s="117"/>
      <c r="AR114" s="118"/>
      <c r="AT114" s="82" t="str">
        <f t="shared" si="48"/>
        <v>2027년 2~3월 반입 예정 선박리스트</v>
      </c>
      <c r="AU114" s="311">
        <f t="shared" si="65"/>
        <v>0</v>
      </c>
      <c r="AV114" s="82"/>
      <c r="AW114" s="218">
        <f t="shared" si="64"/>
        <v>0</v>
      </c>
      <c r="AX114" s="218">
        <f t="shared" si="64"/>
        <v>0</v>
      </c>
      <c r="AY114" s="219">
        <f t="shared" si="60"/>
        <v>0</v>
      </c>
      <c r="AZ114" s="219">
        <f t="shared" si="61"/>
        <v>0</v>
      </c>
      <c r="BA114" s="136">
        <f t="shared" si="62"/>
        <v>0</v>
      </c>
    </row>
    <row r="115" spans="1:53" ht="24.95" hidden="1" customHeight="1" outlineLevel="1">
      <c r="C115" s="389"/>
      <c r="D115" s="390"/>
      <c r="E115" s="391"/>
      <c r="F115" s="391"/>
      <c r="G115" s="391"/>
      <c r="H115" s="391"/>
      <c r="I115" s="391"/>
      <c r="J115" s="392"/>
      <c r="K115" s="392"/>
      <c r="L115" s="393"/>
      <c r="M115" s="394"/>
      <c r="N115" s="394"/>
      <c r="O115" s="67">
        <f t="shared" ref="O115:O120" si="67">+M115+N115</f>
        <v>0</v>
      </c>
      <c r="P115" s="394"/>
      <c r="Q115" s="393"/>
      <c r="R115" s="393"/>
      <c r="S115" s="395"/>
      <c r="T115" s="395"/>
      <c r="U115" s="395"/>
      <c r="V115" s="396"/>
      <c r="W115" s="396"/>
      <c r="X115" s="393"/>
      <c r="Y115" s="393"/>
      <c r="Z115" s="397"/>
      <c r="AA115" s="398"/>
      <c r="AB115" s="460"/>
      <c r="AC115" s="460"/>
      <c r="AD115" s="460"/>
      <c r="AE115" s="460"/>
      <c r="AF115" s="460"/>
      <c r="AG115" s="460"/>
      <c r="AH115" s="460"/>
      <c r="AI115" s="460"/>
      <c r="AJ115" s="460"/>
      <c r="AK115" s="460"/>
      <c r="AL115" s="460"/>
      <c r="AM115" s="399"/>
      <c r="AN115" s="396"/>
      <c r="AO115" s="396"/>
      <c r="AP115" s="400"/>
      <c r="AQ115" s="476"/>
      <c r="AR115" s="401"/>
      <c r="AT115" s="82">
        <f t="shared" si="48"/>
        <v>0</v>
      </c>
      <c r="AU115" s="311">
        <f t="shared" si="65"/>
        <v>0</v>
      </c>
      <c r="AV115" s="82"/>
      <c r="AW115" s="218">
        <f t="shared" si="64"/>
        <v>0</v>
      </c>
      <c r="AX115" s="218">
        <f t="shared" si="64"/>
        <v>0</v>
      </c>
      <c r="AY115" s="219">
        <f t="shared" si="60"/>
        <v>0</v>
      </c>
      <c r="AZ115" s="219">
        <f t="shared" si="61"/>
        <v>0</v>
      </c>
      <c r="BA115" s="136">
        <f t="shared" si="62"/>
        <v>0</v>
      </c>
    </row>
    <row r="116" spans="1:53" s="102" customFormat="1" ht="24.95" hidden="1" customHeight="1" outlineLevel="1">
      <c r="A116" s="841"/>
      <c r="C116" s="402"/>
      <c r="D116" s="400"/>
      <c r="E116" s="403"/>
      <c r="F116" s="403"/>
      <c r="G116" s="403"/>
      <c r="H116" s="403"/>
      <c r="I116" s="403"/>
      <c r="J116" s="405"/>
      <c r="K116" s="406"/>
      <c r="L116" s="407"/>
      <c r="M116" s="408"/>
      <c r="N116" s="408"/>
      <c r="O116" s="67">
        <f t="shared" si="67"/>
        <v>0</v>
      </c>
      <c r="P116" s="408"/>
      <c r="Q116" s="409"/>
      <c r="R116" s="407"/>
      <c r="S116" s="396"/>
      <c r="T116" s="907"/>
      <c r="U116" s="396"/>
      <c r="V116" s="414"/>
      <c r="W116" s="396"/>
      <c r="X116" s="415"/>
      <c r="Y116" s="415"/>
      <c r="Z116" s="416"/>
      <c r="AA116" s="417"/>
      <c r="AB116" s="376"/>
      <c r="AC116" s="376"/>
      <c r="AD116" s="377"/>
      <c r="AE116" s="378"/>
      <c r="AF116" s="412"/>
      <c r="AG116" s="411"/>
      <c r="AH116" s="411"/>
      <c r="AI116" s="411"/>
      <c r="AJ116" s="411"/>
      <c r="AK116" s="411"/>
      <c r="AL116" s="411"/>
      <c r="AM116" s="396"/>
      <c r="AN116" s="414"/>
      <c r="AO116" s="414"/>
      <c r="AP116" s="400"/>
      <c r="AQ116" s="400"/>
      <c r="AR116" s="401"/>
      <c r="AT116" s="82">
        <f t="shared" si="48"/>
        <v>0</v>
      </c>
      <c r="AU116" s="311">
        <f t="shared" si="65"/>
        <v>0</v>
      </c>
      <c r="AV116" s="82"/>
      <c r="AW116" s="218">
        <f t="shared" si="64"/>
        <v>0</v>
      </c>
      <c r="AX116" s="218">
        <f t="shared" si="64"/>
        <v>0</v>
      </c>
      <c r="AY116" s="219">
        <f t="shared" si="60"/>
        <v>0</v>
      </c>
      <c r="AZ116" s="219">
        <f t="shared" si="61"/>
        <v>0</v>
      </c>
      <c r="BA116" s="136">
        <f t="shared" si="62"/>
        <v>0</v>
      </c>
    </row>
    <row r="117" spans="1:53" s="102" customFormat="1" ht="24.95" hidden="1" customHeight="1" outlineLevel="1">
      <c r="A117" s="841"/>
      <c r="C117" s="402"/>
      <c r="D117" s="400"/>
      <c r="E117" s="403"/>
      <c r="F117" s="403"/>
      <c r="G117" s="403"/>
      <c r="H117" s="403"/>
      <c r="I117" s="403"/>
      <c r="J117" s="405"/>
      <c r="K117" s="406"/>
      <c r="L117" s="407"/>
      <c r="M117" s="408"/>
      <c r="N117" s="408"/>
      <c r="O117" s="67">
        <f t="shared" si="67"/>
        <v>0</v>
      </c>
      <c r="P117" s="408"/>
      <c r="Q117" s="409"/>
      <c r="R117" s="407"/>
      <c r="S117" s="396"/>
      <c r="T117" s="396"/>
      <c r="U117" s="396"/>
      <c r="V117" s="414"/>
      <c r="W117" s="396"/>
      <c r="X117" s="415"/>
      <c r="Y117" s="415"/>
      <c r="Z117" s="416"/>
      <c r="AA117" s="417"/>
      <c r="AB117" s="376"/>
      <c r="AC117" s="376"/>
      <c r="AD117" s="377"/>
      <c r="AE117" s="378"/>
      <c r="AF117" s="412"/>
      <c r="AG117" s="411"/>
      <c r="AH117" s="411"/>
      <c r="AI117" s="411"/>
      <c r="AJ117" s="411"/>
      <c r="AK117" s="411"/>
      <c r="AL117" s="411"/>
      <c r="AM117" s="396"/>
      <c r="AN117" s="414"/>
      <c r="AO117" s="414"/>
      <c r="AP117" s="400"/>
      <c r="AQ117" s="400"/>
      <c r="AR117" s="401"/>
      <c r="AT117" s="82">
        <f t="shared" si="48"/>
        <v>0</v>
      </c>
      <c r="AU117" s="311">
        <f t="shared" si="65"/>
        <v>0</v>
      </c>
      <c r="AV117" s="82"/>
      <c r="AW117" s="218">
        <f t="shared" si="64"/>
        <v>0</v>
      </c>
      <c r="AX117" s="218">
        <f t="shared" si="64"/>
        <v>0</v>
      </c>
      <c r="AY117" s="219">
        <f t="shared" si="60"/>
        <v>0</v>
      </c>
      <c r="AZ117" s="219">
        <f t="shared" si="61"/>
        <v>0</v>
      </c>
      <c r="BA117" s="136">
        <f t="shared" si="62"/>
        <v>0</v>
      </c>
    </row>
    <row r="118" spans="1:53" s="102" customFormat="1" ht="24.95" hidden="1" customHeight="1" outlineLevel="1">
      <c r="A118" s="841"/>
      <c r="C118" s="402"/>
      <c r="D118" s="400"/>
      <c r="E118" s="403"/>
      <c r="F118" s="403"/>
      <c r="G118" s="403"/>
      <c r="H118" s="403"/>
      <c r="I118" s="403"/>
      <c r="J118" s="405"/>
      <c r="K118" s="406"/>
      <c r="L118" s="407"/>
      <c r="M118" s="408"/>
      <c r="N118" s="408"/>
      <c r="O118" s="67">
        <f t="shared" si="67"/>
        <v>0</v>
      </c>
      <c r="P118" s="394"/>
      <c r="Q118" s="393"/>
      <c r="R118" s="407"/>
      <c r="S118" s="396"/>
      <c r="T118" s="396"/>
      <c r="U118" s="396"/>
      <c r="V118" s="396"/>
      <c r="W118" s="396"/>
      <c r="X118" s="407"/>
      <c r="Y118" s="407"/>
      <c r="Z118" s="410"/>
      <c r="AA118" s="411"/>
      <c r="AB118" s="411"/>
      <c r="AC118" s="411"/>
      <c r="AD118" s="411"/>
      <c r="AE118" s="378"/>
      <c r="AF118" s="398"/>
      <c r="AG118" s="398"/>
      <c r="AH118" s="398"/>
      <c r="AI118" s="398"/>
      <c r="AJ118" s="398"/>
      <c r="AK118" s="398"/>
      <c r="AL118" s="398"/>
      <c r="AM118" s="396"/>
      <c r="AN118" s="396"/>
      <c r="AO118" s="396"/>
      <c r="AP118" s="400"/>
      <c r="AQ118" s="400"/>
      <c r="AR118" s="418"/>
      <c r="AT118" s="82">
        <f t="shared" si="48"/>
        <v>0</v>
      </c>
      <c r="AU118" s="311">
        <f t="shared" si="65"/>
        <v>0</v>
      </c>
      <c r="AV118" s="82"/>
      <c r="AW118" s="218">
        <f t="shared" si="64"/>
        <v>0</v>
      </c>
      <c r="AX118" s="218">
        <f t="shared" si="64"/>
        <v>0</v>
      </c>
      <c r="AY118" s="219">
        <f t="shared" si="60"/>
        <v>0</v>
      </c>
      <c r="AZ118" s="219">
        <f t="shared" si="61"/>
        <v>0</v>
      </c>
      <c r="BA118" s="136">
        <f t="shared" si="62"/>
        <v>0</v>
      </c>
    </row>
    <row r="119" spans="1:53" s="82" customFormat="1" ht="24.95" hidden="1" customHeight="1" outlineLevel="1">
      <c r="A119" s="840"/>
      <c r="C119" s="402"/>
      <c r="D119" s="400"/>
      <c r="E119" s="403"/>
      <c r="F119" s="404"/>
      <c r="G119" s="404"/>
      <c r="H119" s="403"/>
      <c r="I119" s="404"/>
      <c r="J119" s="405"/>
      <c r="K119" s="406"/>
      <c r="L119" s="407"/>
      <c r="M119" s="509"/>
      <c r="N119" s="509"/>
      <c r="O119" s="67">
        <f t="shared" si="67"/>
        <v>0</v>
      </c>
      <c r="P119" s="514"/>
      <c r="Q119" s="515"/>
      <c r="R119" s="407"/>
      <c r="S119" s="396"/>
      <c r="T119" s="396"/>
      <c r="U119" s="396"/>
      <c r="V119" s="396"/>
      <c r="W119" s="396"/>
      <c r="X119" s="415"/>
      <c r="Y119" s="415"/>
      <c r="Z119" s="416"/>
      <c r="AA119" s="417"/>
      <c r="AB119" s="376"/>
      <c r="AC119" s="376"/>
      <c r="AD119" s="377"/>
      <c r="AE119" s="378"/>
      <c r="AF119" s="412"/>
      <c r="AG119" s="411"/>
      <c r="AH119" s="411"/>
      <c r="AI119" s="411"/>
      <c r="AJ119" s="411"/>
      <c r="AK119" s="411"/>
      <c r="AL119" s="411"/>
      <c r="AM119" s="396"/>
      <c r="AN119" s="396"/>
      <c r="AO119" s="396"/>
      <c r="AP119" s="414"/>
      <c r="AQ119" s="414"/>
      <c r="AR119" s="413"/>
      <c r="AT119" s="82">
        <f t="shared" si="48"/>
        <v>0</v>
      </c>
      <c r="AU119" s="311">
        <f t="shared" si="65"/>
        <v>0</v>
      </c>
      <c r="AW119" s="218">
        <f t="shared" si="64"/>
        <v>0</v>
      </c>
      <c r="AX119" s="218">
        <f t="shared" si="64"/>
        <v>0</v>
      </c>
      <c r="AY119" s="219">
        <f t="shared" si="60"/>
        <v>0</v>
      </c>
      <c r="AZ119" s="219">
        <f t="shared" si="61"/>
        <v>0</v>
      </c>
      <c r="BA119" s="136">
        <f t="shared" si="62"/>
        <v>0</v>
      </c>
    </row>
    <row r="120" spans="1:53" s="102" customFormat="1" ht="24.95" hidden="1" customHeight="1" outlineLevel="1" collapsed="1">
      <c r="A120" s="841"/>
      <c r="C120" s="105"/>
      <c r="D120" s="459"/>
      <c r="E120" s="403"/>
      <c r="F120" s="64"/>
      <c r="G120" s="64"/>
      <c r="H120" s="64"/>
      <c r="I120" s="64"/>
      <c r="J120" s="65"/>
      <c r="K120" s="66"/>
      <c r="L120" s="69"/>
      <c r="M120" s="69"/>
      <c r="N120" s="67"/>
      <c r="O120" s="67">
        <f t="shared" si="67"/>
        <v>0</v>
      </c>
      <c r="P120" s="408"/>
      <c r="Q120" s="68"/>
      <c r="R120" s="69"/>
      <c r="S120" s="471"/>
      <c r="T120" s="70"/>
      <c r="U120" s="70"/>
      <c r="V120" s="70"/>
      <c r="W120" s="70"/>
      <c r="X120" s="69"/>
      <c r="Y120" s="69"/>
      <c r="Z120" s="204"/>
      <c r="AA120" s="72"/>
      <c r="AB120" s="376"/>
      <c r="AC120" s="376"/>
      <c r="AD120" s="377"/>
      <c r="AE120" s="378"/>
      <c r="AF120" s="412"/>
      <c r="AG120" s="411"/>
      <c r="AH120" s="411"/>
      <c r="AI120" s="411"/>
      <c r="AJ120" s="411"/>
      <c r="AK120" s="411"/>
      <c r="AL120" s="411"/>
      <c r="AM120" s="396"/>
      <c r="AN120" s="70"/>
      <c r="AO120" s="70"/>
      <c r="AP120" s="71"/>
      <c r="AQ120" s="71"/>
      <c r="AR120" s="418"/>
      <c r="AT120" s="82">
        <f t="shared" si="48"/>
        <v>0</v>
      </c>
      <c r="AU120" s="311">
        <f t="shared" si="65"/>
        <v>0</v>
      </c>
      <c r="AV120" s="82"/>
      <c r="AW120" s="218">
        <f t="shared" si="64"/>
        <v>0</v>
      </c>
      <c r="AX120" s="218">
        <f t="shared" si="64"/>
        <v>0</v>
      </c>
      <c r="AY120" s="219">
        <f t="shared" si="60"/>
        <v>0</v>
      </c>
      <c r="AZ120" s="219">
        <f t="shared" si="61"/>
        <v>0</v>
      </c>
      <c r="BA120" s="136">
        <f t="shared" si="62"/>
        <v>0</v>
      </c>
    </row>
    <row r="121" spans="1:53" ht="24.95" hidden="1" customHeight="1" outlineLevel="1" thickBot="1">
      <c r="C121" s="108"/>
      <c r="D121" s="91"/>
      <c r="E121" s="92"/>
      <c r="F121" s="92"/>
      <c r="G121" s="92"/>
      <c r="H121" s="92"/>
      <c r="I121" s="92"/>
      <c r="J121" s="150">
        <f>IFERROR(AVERAGE(J115:J120),0)</f>
        <v>0</v>
      </c>
      <c r="K121" s="150">
        <f>IFERROR(AVERAGE(K115:K120),0)</f>
        <v>0</v>
      </c>
      <c r="L121" s="95">
        <f>SUM(L115:L120)</f>
        <v>0</v>
      </c>
      <c r="M121" s="95">
        <f>SUM(M115:M120)</f>
        <v>0</v>
      </c>
      <c r="N121" s="95">
        <f>SUM(N115:N120)</f>
        <v>0</v>
      </c>
      <c r="O121" s="95">
        <f>SUM(O115:O120)</f>
        <v>0</v>
      </c>
      <c r="P121" s="93"/>
      <c r="Q121" s="95"/>
      <c r="R121" s="95"/>
      <c r="S121" s="91"/>
      <c r="T121" s="91"/>
      <c r="U121" s="97"/>
      <c r="V121" s="96"/>
      <c r="W121" s="97"/>
      <c r="X121" s="98"/>
      <c r="Y121" s="98"/>
      <c r="Z121" s="207"/>
      <c r="AA121" s="99"/>
      <c r="AB121" s="99"/>
      <c r="AC121" s="99"/>
      <c r="AD121" s="99"/>
      <c r="AE121" s="99"/>
      <c r="AF121" s="99"/>
      <c r="AG121" s="99"/>
      <c r="AH121" s="99"/>
      <c r="AI121" s="99"/>
      <c r="AJ121" s="99"/>
      <c r="AK121" s="99"/>
      <c r="AL121" s="99"/>
      <c r="AM121" s="100"/>
      <c r="AN121" s="100"/>
      <c r="AO121" s="100"/>
      <c r="AP121" s="96"/>
      <c r="AQ121" s="96"/>
      <c r="AR121" s="109"/>
      <c r="AT121" s="82">
        <f t="shared" si="48"/>
        <v>0</v>
      </c>
      <c r="AU121" s="311">
        <f t="shared" si="65"/>
        <v>0</v>
      </c>
      <c r="AV121" s="82"/>
      <c r="AW121" s="218">
        <f t="shared" si="64"/>
        <v>0</v>
      </c>
      <c r="AX121" s="218">
        <f t="shared" si="64"/>
        <v>0</v>
      </c>
      <c r="AY121" s="219">
        <f t="shared" si="60"/>
        <v>0</v>
      </c>
      <c r="AZ121" s="219">
        <f t="shared" si="61"/>
        <v>0</v>
      </c>
      <c r="BA121" s="136">
        <f t="shared" si="62"/>
        <v>0</v>
      </c>
    </row>
    <row r="122" spans="1:53" ht="24.95" hidden="1" customHeight="1" outlineLevel="1">
      <c r="C122" s="1001"/>
      <c r="D122" s="1001"/>
      <c r="E122" s="1002"/>
      <c r="F122" s="1002"/>
      <c r="G122" s="1002"/>
      <c r="H122" s="1002"/>
      <c r="I122" s="1002"/>
      <c r="J122" s="869"/>
      <c r="K122" s="869"/>
      <c r="L122" s="1003"/>
      <c r="M122" s="1003"/>
      <c r="N122" s="1003"/>
      <c r="O122" s="1003"/>
      <c r="P122" s="1004"/>
      <c r="Q122" s="1003"/>
      <c r="R122" s="1003"/>
      <c r="S122" s="1001"/>
      <c r="T122" s="1001"/>
      <c r="U122" s="315"/>
      <c r="V122" s="102"/>
      <c r="W122" s="315"/>
      <c r="X122" s="870"/>
      <c r="Y122" s="870"/>
      <c r="Z122" s="1005"/>
      <c r="AA122" s="871"/>
      <c r="AB122" s="871"/>
      <c r="AC122" s="871"/>
      <c r="AD122" s="871"/>
      <c r="AE122" s="871"/>
      <c r="AF122" s="871"/>
      <c r="AG122" s="871"/>
      <c r="AH122" s="871"/>
      <c r="AI122" s="871"/>
      <c r="AJ122" s="871"/>
      <c r="AK122" s="871"/>
      <c r="AL122" s="871"/>
      <c r="AM122" s="1006"/>
      <c r="AN122" s="1006"/>
      <c r="AO122" s="1006"/>
      <c r="AP122" s="102"/>
      <c r="AQ122" s="102"/>
      <c r="AR122" s="82"/>
      <c r="AT122" s="82"/>
      <c r="AU122" s="311"/>
      <c r="AV122" s="82"/>
      <c r="AW122" s="218"/>
      <c r="AX122" s="218"/>
      <c r="AY122" s="219"/>
      <c r="AZ122" s="219"/>
      <c r="BA122" s="136"/>
    </row>
    <row r="123" spans="1:53" ht="15" customHeight="1" collapsed="1" thickBot="1">
      <c r="F123" s="248"/>
      <c r="G123" s="248"/>
      <c r="H123" s="248"/>
      <c r="K123" s="259"/>
      <c r="R123" s="240"/>
      <c r="T123" s="884"/>
      <c r="U123" s="706"/>
      <c r="W123" s="710"/>
      <c r="X123" s="710"/>
      <c r="Y123" s="710"/>
      <c r="Z123" s="710"/>
      <c r="AA123" s="710"/>
      <c r="AB123" s="710"/>
      <c r="AC123" s="710"/>
      <c r="AD123" s="710"/>
      <c r="AE123" s="710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</row>
    <row r="124" spans="1:53" ht="15" customHeight="1" thickBot="1">
      <c r="F124" s="1030" t="s">
        <v>624</v>
      </c>
      <c r="G124" s="1033" t="s">
        <v>36</v>
      </c>
      <c r="H124" s="1034" t="s">
        <v>738</v>
      </c>
      <c r="I124" s="1034" t="s">
        <v>508</v>
      </c>
      <c r="J124" s="1034" t="s">
        <v>114</v>
      </c>
      <c r="K124" s="1035" t="s">
        <v>115</v>
      </c>
      <c r="L124" s="1034" t="s">
        <v>127</v>
      </c>
      <c r="M124" s="1034"/>
      <c r="N124" s="1034"/>
      <c r="O124" s="1034"/>
      <c r="P124" s="1035"/>
      <c r="Q124" s="1035"/>
      <c r="R124" s="1035" t="s">
        <v>137</v>
      </c>
      <c r="S124" s="1035" t="s">
        <v>139</v>
      </c>
      <c r="T124" s="1034" t="s">
        <v>140</v>
      </c>
      <c r="U124" s="1034" t="s">
        <v>145</v>
      </c>
      <c r="V124" s="1034" t="s">
        <v>146</v>
      </c>
      <c r="W124" s="1034" t="s">
        <v>151</v>
      </c>
      <c r="X124" s="1034" t="s">
        <v>152</v>
      </c>
      <c r="Y124" s="1036" t="s">
        <v>737</v>
      </c>
      <c r="Z124" s="707"/>
      <c r="AA124" s="708"/>
      <c r="AB124" s="708"/>
      <c r="AC124" s="707"/>
      <c r="AD124" s="708"/>
      <c r="AE124" s="708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</row>
    <row r="125" spans="1:53" ht="16.5" customHeight="1" thickBot="1">
      <c r="F125" s="1029" t="s">
        <v>765</v>
      </c>
      <c r="G125" s="1025">
        <v>219000</v>
      </c>
      <c r="H125" s="1012">
        <v>175000</v>
      </c>
      <c r="I125" s="1012">
        <v>174</v>
      </c>
      <c r="J125" s="1012">
        <v>174000</v>
      </c>
      <c r="K125" s="1013">
        <v>243000</v>
      </c>
      <c r="L125" s="1012">
        <v>229000</v>
      </c>
      <c r="M125" s="1012"/>
      <c r="N125" s="1012"/>
      <c r="O125" s="1012"/>
      <c r="P125" s="1013"/>
      <c r="Q125" s="1013"/>
      <c r="R125" s="1013">
        <v>224000</v>
      </c>
      <c r="S125" s="1013">
        <v>233000</v>
      </c>
      <c r="T125" s="1012">
        <v>255000</v>
      </c>
      <c r="U125" s="1012">
        <v>214000</v>
      </c>
      <c r="V125" s="1012">
        <v>281000</v>
      </c>
      <c r="W125" s="1012">
        <v>255000</v>
      </c>
      <c r="X125" s="1012">
        <v>314000</v>
      </c>
      <c r="Y125" s="1020">
        <f>+G125+H125+J125+K125+L125+R125+S125+T125+U125+V125+W125+X125</f>
        <v>2816000</v>
      </c>
      <c r="Z125" s="707"/>
      <c r="AA125" s="708"/>
      <c r="AB125" s="708"/>
      <c r="AC125" s="707"/>
      <c r="AD125" s="708"/>
      <c r="AE125" s="708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</row>
    <row r="126" spans="1:53" ht="15" customHeight="1" thickBot="1">
      <c r="F126" s="1037" t="s">
        <v>286</v>
      </c>
      <c r="G126" s="1038">
        <v>188355</v>
      </c>
      <c r="H126" s="1039"/>
      <c r="I126" s="1039"/>
      <c r="J126" s="1039"/>
      <c r="K126" s="1040"/>
      <c r="L126" s="1039"/>
      <c r="M126" s="1039"/>
      <c r="N126" s="1039"/>
      <c r="O126" s="1039"/>
      <c r="P126" s="1040"/>
      <c r="Q126" s="1040"/>
      <c r="R126" s="1040"/>
      <c r="S126" s="1040"/>
      <c r="T126" s="1039"/>
      <c r="U126" s="1039"/>
      <c r="V126" s="1039"/>
      <c r="W126" s="1039"/>
      <c r="X126" s="1039"/>
      <c r="Y126" s="1017">
        <f t="shared" ref="Y126:Y130" si="68">+G126+H126+J126+K126+L126+R126+S126+T126+U126+V126+W126+X126</f>
        <v>188355</v>
      </c>
      <c r="Z126" s="240"/>
      <c r="AA126" s="709"/>
      <c r="AB126" s="709"/>
      <c r="AC126" s="709"/>
      <c r="AD126" s="709"/>
      <c r="AE126" s="709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</row>
    <row r="127" spans="1:53" ht="15" customHeight="1">
      <c r="F127" s="1028" t="s">
        <v>893</v>
      </c>
      <c r="G127" s="1024">
        <v>1</v>
      </c>
      <c r="H127" s="1009">
        <v>5</v>
      </c>
      <c r="I127" s="1009"/>
      <c r="J127" s="1009">
        <v>3</v>
      </c>
      <c r="K127" s="1018">
        <v>2</v>
      </c>
      <c r="L127" s="1018">
        <v>2</v>
      </c>
      <c r="M127" s="1019"/>
      <c r="N127" s="1019"/>
      <c r="O127" s="1019"/>
      <c r="P127" s="1018"/>
      <c r="Q127" s="1018"/>
      <c r="R127" s="1018">
        <v>2</v>
      </c>
      <c r="S127" s="1018">
        <v>2</v>
      </c>
      <c r="T127" s="1018">
        <v>2</v>
      </c>
      <c r="U127" s="1018">
        <v>2</v>
      </c>
      <c r="V127" s="1019">
        <v>2</v>
      </c>
      <c r="W127" s="1019">
        <v>2</v>
      </c>
      <c r="X127" s="1019">
        <v>2</v>
      </c>
      <c r="Y127" s="1010">
        <f t="shared" si="68"/>
        <v>27</v>
      </c>
      <c r="Z127" s="240"/>
      <c r="AA127" s="709"/>
      <c r="AB127" s="709"/>
      <c r="AC127" s="709"/>
      <c r="AD127" s="709"/>
      <c r="AE127" s="709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</row>
    <row r="128" spans="1:53" ht="15" customHeight="1" thickBot="1">
      <c r="F128" s="1041" t="s">
        <v>894</v>
      </c>
      <c r="G128" s="1042">
        <v>75355</v>
      </c>
      <c r="H128" s="1043">
        <v>240000</v>
      </c>
      <c r="I128" s="1043"/>
      <c r="J128" s="1043">
        <v>95000</v>
      </c>
      <c r="K128" s="1210">
        <v>390000</v>
      </c>
      <c r="L128" s="1211"/>
      <c r="M128" s="1211"/>
      <c r="N128" s="1211"/>
      <c r="O128" s="1211"/>
      <c r="P128" s="1211"/>
      <c r="Q128" s="1211"/>
      <c r="R128" s="1212"/>
      <c r="S128" s="1044">
        <v>100000</v>
      </c>
      <c r="T128" s="1044">
        <v>100000</v>
      </c>
      <c r="U128" s="1044">
        <v>100000</v>
      </c>
      <c r="V128" s="1045">
        <v>100000</v>
      </c>
      <c r="W128" s="1045">
        <v>100000</v>
      </c>
      <c r="X128" s="1045">
        <v>100000</v>
      </c>
      <c r="Y128" s="1011">
        <f t="shared" si="68"/>
        <v>1400355</v>
      </c>
      <c r="Z128" s="240"/>
      <c r="AA128" s="709"/>
      <c r="AB128" s="709"/>
      <c r="AC128" s="709"/>
      <c r="AD128" s="709"/>
      <c r="AE128" s="709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</row>
    <row r="129" spans="3:44" ht="16.5" customHeight="1" thickBot="1">
      <c r="F129" s="1029" t="s">
        <v>765</v>
      </c>
      <c r="G129" s="1025">
        <v>180000</v>
      </c>
      <c r="H129" s="1012">
        <v>111000</v>
      </c>
      <c r="I129" s="1012"/>
      <c r="J129" s="1012">
        <v>180000</v>
      </c>
      <c r="K129" s="1013">
        <v>200000</v>
      </c>
      <c r="L129" s="1012">
        <v>243000</v>
      </c>
      <c r="M129" s="1012"/>
      <c r="N129" s="1012"/>
      <c r="O129" s="1012"/>
      <c r="P129" s="1013"/>
      <c r="Q129" s="1013"/>
      <c r="R129" s="1013">
        <v>240000</v>
      </c>
      <c r="S129" s="1013">
        <v>230000</v>
      </c>
      <c r="T129" s="1012">
        <v>200000</v>
      </c>
      <c r="U129" s="1012">
        <v>240000</v>
      </c>
      <c r="V129" s="1012">
        <v>250000</v>
      </c>
      <c r="W129" s="1012">
        <v>250000</v>
      </c>
      <c r="X129" s="1012">
        <v>238000</v>
      </c>
      <c r="Y129" s="1020">
        <f t="shared" si="68"/>
        <v>2562000</v>
      </c>
      <c r="Z129" s="707"/>
      <c r="AA129" s="708"/>
      <c r="AB129" s="708"/>
      <c r="AC129" s="707"/>
      <c r="AD129" s="708"/>
      <c r="AE129" s="708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</row>
    <row r="130" spans="3:44" ht="15" customHeight="1" thickBot="1">
      <c r="F130" s="1046" t="s">
        <v>543</v>
      </c>
      <c r="G130" s="1047">
        <v>268296</v>
      </c>
      <c r="H130" s="1015"/>
      <c r="I130" s="1015"/>
      <c r="J130" s="1015"/>
      <c r="K130" s="1048"/>
      <c r="L130" s="1015"/>
      <c r="M130" s="1015"/>
      <c r="N130" s="1015"/>
      <c r="O130" s="1015"/>
      <c r="P130" s="1048"/>
      <c r="Q130" s="1048"/>
      <c r="R130" s="1048"/>
      <c r="S130" s="1048"/>
      <c r="T130" s="1015"/>
      <c r="U130" s="1015"/>
      <c r="V130" s="1015"/>
      <c r="W130" s="1015"/>
      <c r="X130" s="1015"/>
      <c r="Y130" s="1016">
        <f t="shared" si="68"/>
        <v>268296</v>
      </c>
      <c r="Z130" s="240"/>
      <c r="AA130" s="709"/>
      <c r="AB130" s="709"/>
      <c r="AC130" s="709"/>
      <c r="AD130" s="709"/>
      <c r="AE130" s="709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</row>
    <row r="131" spans="3:44" ht="16.5" hidden="1" customHeight="1">
      <c r="F131" s="1031" t="s">
        <v>778</v>
      </c>
      <c r="G131" s="1026"/>
      <c r="H131" s="1007"/>
      <c r="I131" s="1007"/>
      <c r="J131" s="1007"/>
      <c r="K131" s="1008"/>
      <c r="L131" s="1007"/>
      <c r="M131" s="1007"/>
      <c r="N131" s="1007"/>
      <c r="O131" s="1007"/>
      <c r="P131" s="1008"/>
      <c r="Q131" s="1008"/>
      <c r="R131" s="1008"/>
      <c r="S131" s="1008"/>
      <c r="T131" s="1007"/>
      <c r="U131" s="1014"/>
      <c r="V131" s="1014"/>
      <c r="W131" s="1014"/>
      <c r="X131" s="1014"/>
      <c r="Y131" s="1021"/>
      <c r="Z131" s="240"/>
      <c r="AA131" s="709"/>
      <c r="AB131" s="709"/>
      <c r="AC131" s="709"/>
      <c r="AD131" s="709"/>
      <c r="AE131" s="709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</row>
    <row r="132" spans="3:44" ht="15" customHeight="1" thickBot="1">
      <c r="F132" s="1032" t="s">
        <v>737</v>
      </c>
      <c r="G132" s="1027">
        <f>+G126+G130</f>
        <v>456651</v>
      </c>
      <c r="H132" s="1022">
        <f t="shared" ref="H132:Y132" si="69">+H126+H130</f>
        <v>0</v>
      </c>
      <c r="I132" s="1022">
        <f t="shared" si="69"/>
        <v>0</v>
      </c>
      <c r="J132" s="1022">
        <f t="shared" si="69"/>
        <v>0</v>
      </c>
      <c r="K132" s="1022">
        <f t="shared" si="69"/>
        <v>0</v>
      </c>
      <c r="L132" s="1022">
        <f t="shared" si="69"/>
        <v>0</v>
      </c>
      <c r="M132" s="1022">
        <f t="shared" si="69"/>
        <v>0</v>
      </c>
      <c r="N132" s="1022">
        <f t="shared" si="69"/>
        <v>0</v>
      </c>
      <c r="O132" s="1022">
        <f t="shared" si="69"/>
        <v>0</v>
      </c>
      <c r="P132" s="1022">
        <f t="shared" si="69"/>
        <v>0</v>
      </c>
      <c r="Q132" s="1022">
        <f t="shared" si="69"/>
        <v>0</v>
      </c>
      <c r="R132" s="1022">
        <f t="shared" si="69"/>
        <v>0</v>
      </c>
      <c r="S132" s="1022">
        <f t="shared" si="69"/>
        <v>0</v>
      </c>
      <c r="T132" s="1022">
        <f t="shared" si="69"/>
        <v>0</v>
      </c>
      <c r="U132" s="1022">
        <f t="shared" si="69"/>
        <v>0</v>
      </c>
      <c r="V132" s="1022">
        <f t="shared" si="69"/>
        <v>0</v>
      </c>
      <c r="W132" s="1022">
        <f t="shared" si="69"/>
        <v>0</v>
      </c>
      <c r="X132" s="1022">
        <f t="shared" si="69"/>
        <v>0</v>
      </c>
      <c r="Y132" s="1023">
        <f t="shared" si="69"/>
        <v>456651</v>
      </c>
      <c r="Z132" s="240"/>
      <c r="AA132" s="709"/>
      <c r="AB132" s="709"/>
      <c r="AC132" s="709"/>
      <c r="AD132" s="709"/>
      <c r="AE132" s="709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</row>
    <row r="133" spans="3:44" ht="17.45" customHeight="1">
      <c r="J133" s="323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</row>
    <row r="134" spans="3:44" ht="17.45" customHeight="1">
      <c r="C134" s="329" t="s">
        <v>892</v>
      </c>
      <c r="D134" s="82"/>
      <c r="J134" s="323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</row>
    <row r="135" spans="3:44" ht="17.45" customHeight="1">
      <c r="C135" s="330" t="s">
        <v>106</v>
      </c>
      <c r="P135" s="122"/>
      <c r="Q135" s="122"/>
      <c r="R135" s="122"/>
      <c r="S135" s="123"/>
      <c r="T135" s="331"/>
      <c r="U135" s="124"/>
      <c r="V135" s="332"/>
      <c r="W135" s="332"/>
      <c r="X135" s="245"/>
      <c r="Y135" s="245"/>
      <c r="Z135" s="333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</row>
    <row r="136" spans="3:44" ht="17.45" customHeight="1">
      <c r="C136" s="1140" t="s">
        <v>51</v>
      </c>
      <c r="D136" s="1141"/>
      <c r="E136" s="1144" t="s">
        <v>52</v>
      </c>
      <c r="F136" s="1145"/>
      <c r="G136" s="1146"/>
      <c r="H136" s="1144" t="s">
        <v>53</v>
      </c>
      <c r="I136" s="1145"/>
      <c r="J136" s="1146"/>
      <c r="K136" s="1144" t="s">
        <v>54</v>
      </c>
      <c r="L136" s="1145"/>
      <c r="M136" s="1146"/>
      <c r="P136" s="1111" t="s">
        <v>71</v>
      </c>
      <c r="Q136" s="1111" t="s">
        <v>72</v>
      </c>
      <c r="R136" s="1111" t="s">
        <v>73</v>
      </c>
      <c r="S136" s="1111" t="s">
        <v>74</v>
      </c>
      <c r="T136" s="122"/>
      <c r="U136" s="1097" t="s">
        <v>71</v>
      </c>
      <c r="V136" s="1097" t="s">
        <v>72</v>
      </c>
      <c r="W136" s="1097" t="s">
        <v>73</v>
      </c>
      <c r="X136" s="1097" t="s">
        <v>74</v>
      </c>
      <c r="Y136" s="1097" t="s">
        <v>75</v>
      </c>
      <c r="Z136" s="1107" t="s">
        <v>254</v>
      </c>
      <c r="AA136" s="1109" t="s">
        <v>111</v>
      </c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</row>
    <row r="137" spans="3:44" ht="17.45" customHeight="1">
      <c r="C137" s="1142"/>
      <c r="D137" s="1143"/>
      <c r="E137" s="209" t="s">
        <v>55</v>
      </c>
      <c r="F137" s="209" t="s">
        <v>56</v>
      </c>
      <c r="G137" s="209" t="s">
        <v>57</v>
      </c>
      <c r="H137" s="209" t="s">
        <v>55</v>
      </c>
      <c r="I137" s="209" t="s">
        <v>56</v>
      </c>
      <c r="J137" s="209" t="s">
        <v>57</v>
      </c>
      <c r="K137" s="209" t="s">
        <v>55</v>
      </c>
      <c r="L137" s="209" t="s">
        <v>56</v>
      </c>
      <c r="M137" s="209" t="s">
        <v>57</v>
      </c>
      <c r="P137" s="1112"/>
      <c r="Q137" s="1112"/>
      <c r="R137" s="1112"/>
      <c r="S137" s="1112"/>
      <c r="T137" s="122"/>
      <c r="U137" s="1098"/>
      <c r="V137" s="1098"/>
      <c r="W137" s="1098"/>
      <c r="X137" s="1098"/>
      <c r="Y137" s="1098"/>
      <c r="Z137" s="1108"/>
      <c r="AA137" s="1110"/>
      <c r="AO137" s="363"/>
      <c r="AP137" s="364" t="s">
        <v>156</v>
      </c>
      <c r="AQ137" s="451"/>
    </row>
    <row r="138" spans="3:44" ht="17.45" customHeight="1">
      <c r="C138" s="1103" t="s">
        <v>58</v>
      </c>
      <c r="D138" s="110" t="s">
        <v>179</v>
      </c>
      <c r="E138" s="111">
        <f t="shared" ref="E138:E144" si="70">SUMIF($C$12:$C$106,D138,$M$12:$M$106)</f>
        <v>0</v>
      </c>
      <c r="F138" s="111">
        <f t="shared" ref="F138:F144" si="71">SUMIF($C$12:$C$106,D138,$N$12:$N$106)</f>
        <v>0</v>
      </c>
      <c r="G138" s="111">
        <f>E138+F138</f>
        <v>0</v>
      </c>
      <c r="H138" s="112" t="str">
        <f t="shared" ref="H138:H164" si="72">IFERROR(E138/G138,"")</f>
        <v/>
      </c>
      <c r="I138" s="112" t="str">
        <f t="shared" ref="I138:I164" si="73">IFERROR(F138/G138,"")</f>
        <v/>
      </c>
      <c r="J138" s="112" t="str">
        <f t="shared" ref="J138:J143" si="74">IFERROR(H138+I138,"")</f>
        <v/>
      </c>
      <c r="K138" s="111">
        <f t="shared" ref="K138:K144" si="75">SUMIF($C$12:$C$106,D138,$AY$12:$AY$106)</f>
        <v>0</v>
      </c>
      <c r="L138" s="111">
        <f t="shared" ref="L138:L144" si="76">SUMIF($C$12:$C$106,D138,$AZ$12:$AZ$106)</f>
        <v>0</v>
      </c>
      <c r="M138" s="111">
        <f>K138+L138</f>
        <v>0</v>
      </c>
      <c r="P138" s="125" t="str">
        <f t="shared" ref="P138:P144" si="77">D138</f>
        <v>SGC에너지</v>
      </c>
      <c r="Q138" s="126">
        <f t="shared" ref="Q138:Q144" si="78">SUMIF($C$12:$C$106,P138,$J$12:$J$106)</f>
        <v>0</v>
      </c>
      <c r="R138" s="111">
        <f t="shared" ref="R138:R144" si="79">SUMIF($C$12:$C$106,P138,$BA$12:$BA$106)</f>
        <v>0</v>
      </c>
      <c r="S138" s="126" t="str">
        <f>IFERROR(Q138/R138,"")</f>
        <v/>
      </c>
      <c r="T138" s="122"/>
      <c r="U138" s="125" t="str">
        <f>P138</f>
        <v>SGC에너지</v>
      </c>
      <c r="V138" s="126">
        <f>Q138</f>
        <v>0</v>
      </c>
      <c r="W138" s="111">
        <f>R138</f>
        <v>0</v>
      </c>
      <c r="X138" s="163" t="str">
        <f>IFERROR(V138/W138,"")</f>
        <v/>
      </c>
      <c r="Y138" s="164">
        <f t="shared" ref="Y138:Y144" si="80">G138/1000</f>
        <v>0</v>
      </c>
      <c r="Z138" s="111"/>
      <c r="AA138" s="158" t="str">
        <f t="shared" ref="AA138:AA156" si="81">IFERROR(IF(Y138=0,"",Y138/Z138),"")</f>
        <v/>
      </c>
      <c r="AO138" s="335"/>
      <c r="AP138" s="336">
        <f>Y138-AO138</f>
        <v>0</v>
      </c>
      <c r="AQ138" s="452"/>
    </row>
    <row r="139" spans="3:44" ht="17.45" customHeight="1">
      <c r="C139" s="1104"/>
      <c r="D139" s="110" t="s">
        <v>59</v>
      </c>
      <c r="E139" s="111">
        <f t="shared" si="70"/>
        <v>0</v>
      </c>
      <c r="F139" s="111">
        <f t="shared" si="71"/>
        <v>67000</v>
      </c>
      <c r="G139" s="111">
        <f t="shared" ref="G139:G162" si="82">E139+F139</f>
        <v>67000</v>
      </c>
      <c r="H139" s="112">
        <f t="shared" si="72"/>
        <v>0</v>
      </c>
      <c r="I139" s="112">
        <f t="shared" si="73"/>
        <v>1</v>
      </c>
      <c r="J139" s="112">
        <f t="shared" si="74"/>
        <v>1</v>
      </c>
      <c r="K139" s="111">
        <f t="shared" si="75"/>
        <v>0</v>
      </c>
      <c r="L139" s="111">
        <f t="shared" si="76"/>
        <v>0</v>
      </c>
      <c r="M139" s="111">
        <f t="shared" ref="M139:M140" si="83">K139+L139</f>
        <v>0</v>
      </c>
      <c r="P139" s="125" t="str">
        <f t="shared" si="77"/>
        <v>남동발전</v>
      </c>
      <c r="Q139" s="126">
        <f t="shared" si="78"/>
        <v>15.116666666668607</v>
      </c>
      <c r="R139" s="111">
        <f t="shared" si="79"/>
        <v>0</v>
      </c>
      <c r="S139" s="126" t="str">
        <f t="shared" ref="S139:S163" si="84">IFERROR(Q139/R139,"")</f>
        <v/>
      </c>
      <c r="T139" s="122"/>
      <c r="U139" s="125" t="str">
        <f t="shared" ref="U139:W162" si="85">P139</f>
        <v>남동발전</v>
      </c>
      <c r="V139" s="126">
        <f t="shared" si="85"/>
        <v>15.116666666668607</v>
      </c>
      <c r="W139" s="111">
        <f t="shared" si="85"/>
        <v>0</v>
      </c>
      <c r="X139" s="163" t="str">
        <f t="shared" ref="X139:X165" si="86">IFERROR(V139/W139,"")</f>
        <v/>
      </c>
      <c r="Y139" s="164">
        <f t="shared" si="80"/>
        <v>67</v>
      </c>
      <c r="Z139" s="111"/>
      <c r="AA139" s="158" t="str">
        <f t="shared" si="81"/>
        <v/>
      </c>
      <c r="AO139" s="335"/>
      <c r="AP139" s="336">
        <f t="shared" ref="AP139:AP162" si="87">Y139-AO139</f>
        <v>67</v>
      </c>
      <c r="AQ139" s="452"/>
    </row>
    <row r="140" spans="3:44" ht="17.45" customHeight="1">
      <c r="C140" s="1104"/>
      <c r="D140" s="110" t="s">
        <v>682</v>
      </c>
      <c r="E140" s="111">
        <f t="shared" si="70"/>
        <v>0</v>
      </c>
      <c r="F140" s="111">
        <f t="shared" si="71"/>
        <v>0</v>
      </c>
      <c r="G140" s="111">
        <f t="shared" si="82"/>
        <v>0</v>
      </c>
      <c r="H140" s="112" t="str">
        <f t="shared" si="72"/>
        <v/>
      </c>
      <c r="I140" s="112" t="str">
        <f t="shared" si="73"/>
        <v/>
      </c>
      <c r="J140" s="112" t="str">
        <f t="shared" si="74"/>
        <v/>
      </c>
      <c r="K140" s="111">
        <f t="shared" si="75"/>
        <v>0</v>
      </c>
      <c r="L140" s="111">
        <f t="shared" si="76"/>
        <v>0</v>
      </c>
      <c r="M140" s="111">
        <f t="shared" si="83"/>
        <v>0</v>
      </c>
      <c r="P140" s="125" t="str">
        <f t="shared" si="77"/>
        <v>J-POWER</v>
      </c>
      <c r="Q140" s="126">
        <f t="shared" si="78"/>
        <v>0</v>
      </c>
      <c r="R140" s="111">
        <f t="shared" si="79"/>
        <v>0</v>
      </c>
      <c r="S140" s="126" t="str">
        <f t="shared" si="84"/>
        <v/>
      </c>
      <c r="T140" s="122"/>
      <c r="U140" s="125" t="str">
        <f t="shared" si="85"/>
        <v>J-POWER</v>
      </c>
      <c r="V140" s="126">
        <f t="shared" si="85"/>
        <v>0</v>
      </c>
      <c r="W140" s="111">
        <f t="shared" si="85"/>
        <v>0</v>
      </c>
      <c r="X140" s="163" t="str">
        <f t="shared" si="86"/>
        <v/>
      </c>
      <c r="Y140" s="164">
        <f t="shared" si="80"/>
        <v>0</v>
      </c>
      <c r="Z140" s="111"/>
      <c r="AA140" s="158" t="str">
        <f t="shared" si="81"/>
        <v/>
      </c>
      <c r="AO140" s="335"/>
      <c r="AP140" s="336">
        <f t="shared" si="87"/>
        <v>0</v>
      </c>
      <c r="AQ140" s="452"/>
    </row>
    <row r="141" spans="3:44" ht="17.45" customHeight="1">
      <c r="C141" s="1104"/>
      <c r="D141" s="110" t="s">
        <v>428</v>
      </c>
      <c r="E141" s="111">
        <f t="shared" si="70"/>
        <v>0</v>
      </c>
      <c r="F141" s="111">
        <f t="shared" si="71"/>
        <v>0</v>
      </c>
      <c r="G141" s="111">
        <f t="shared" si="82"/>
        <v>0</v>
      </c>
      <c r="H141" s="112" t="str">
        <f t="shared" si="72"/>
        <v/>
      </c>
      <c r="I141" s="112" t="str">
        <f t="shared" si="73"/>
        <v/>
      </c>
      <c r="J141" s="112" t="str">
        <f t="shared" si="74"/>
        <v/>
      </c>
      <c r="K141" s="111">
        <f t="shared" si="75"/>
        <v>0</v>
      </c>
      <c r="L141" s="111">
        <f t="shared" si="76"/>
        <v>0</v>
      </c>
      <c r="M141" s="111">
        <f>K141+L141</f>
        <v>0</v>
      </c>
      <c r="P141" s="125" t="str">
        <f t="shared" si="77"/>
        <v>태평양시멘트</v>
      </c>
      <c r="Q141" s="126">
        <f t="shared" si="78"/>
        <v>0</v>
      </c>
      <c r="R141" s="111">
        <f t="shared" si="79"/>
        <v>0</v>
      </c>
      <c r="S141" s="126" t="str">
        <f t="shared" si="84"/>
        <v/>
      </c>
      <c r="T141" s="122"/>
      <c r="U141" s="125" t="str">
        <f t="shared" si="85"/>
        <v>태평양시멘트</v>
      </c>
      <c r="V141" s="126">
        <f t="shared" si="85"/>
        <v>0</v>
      </c>
      <c r="W141" s="111">
        <f t="shared" si="85"/>
        <v>0</v>
      </c>
      <c r="X141" s="163" t="str">
        <f t="shared" si="86"/>
        <v/>
      </c>
      <c r="Y141" s="164">
        <f t="shared" si="80"/>
        <v>0</v>
      </c>
      <c r="Z141" s="111"/>
      <c r="AA141" s="158" t="str">
        <f t="shared" si="81"/>
        <v/>
      </c>
      <c r="AO141" s="335"/>
      <c r="AP141" s="336"/>
      <c r="AQ141" s="452"/>
    </row>
    <row r="142" spans="3:44" ht="17.45" customHeight="1">
      <c r="C142" s="1104"/>
      <c r="D142" s="110" t="s">
        <v>469</v>
      </c>
      <c r="E142" s="111">
        <f t="shared" si="70"/>
        <v>0</v>
      </c>
      <c r="F142" s="111">
        <f t="shared" si="71"/>
        <v>0</v>
      </c>
      <c r="G142" s="111">
        <f t="shared" si="82"/>
        <v>0</v>
      </c>
      <c r="H142" s="112" t="str">
        <f t="shared" si="72"/>
        <v/>
      </c>
      <c r="I142" s="112" t="str">
        <f t="shared" si="73"/>
        <v/>
      </c>
      <c r="J142" s="112" t="str">
        <f t="shared" si="74"/>
        <v/>
      </c>
      <c r="K142" s="111">
        <f t="shared" si="75"/>
        <v>0</v>
      </c>
      <c r="L142" s="111">
        <f t="shared" si="76"/>
        <v>0</v>
      </c>
      <c r="M142" s="111">
        <f>K142+L142</f>
        <v>0</v>
      </c>
      <c r="P142" s="125" t="str">
        <f t="shared" si="77"/>
        <v>오사카시멘트</v>
      </c>
      <c r="Q142" s="126">
        <f t="shared" si="78"/>
        <v>0</v>
      </c>
      <c r="R142" s="111">
        <f t="shared" si="79"/>
        <v>0</v>
      </c>
      <c r="S142" s="126" t="str">
        <f t="shared" si="84"/>
        <v/>
      </c>
      <c r="T142" s="122"/>
      <c r="U142" s="125" t="str">
        <f t="shared" si="85"/>
        <v>오사카시멘트</v>
      </c>
      <c r="V142" s="126">
        <f t="shared" si="85"/>
        <v>0</v>
      </c>
      <c r="W142" s="111">
        <f t="shared" si="85"/>
        <v>0</v>
      </c>
      <c r="X142" s="163" t="str">
        <f t="shared" si="86"/>
        <v/>
      </c>
      <c r="Y142" s="164">
        <f t="shared" si="80"/>
        <v>0</v>
      </c>
      <c r="Z142" s="111"/>
      <c r="AA142" s="158" t="str">
        <f t="shared" si="81"/>
        <v/>
      </c>
      <c r="AO142" s="335"/>
      <c r="AP142" s="336"/>
      <c r="AQ142" s="452"/>
    </row>
    <row r="143" spans="3:44" ht="17.45" customHeight="1">
      <c r="C143" s="1104"/>
      <c r="D143" s="110" t="s">
        <v>168</v>
      </c>
      <c r="E143" s="111">
        <f t="shared" si="70"/>
        <v>0</v>
      </c>
      <c r="F143" s="111">
        <f t="shared" si="71"/>
        <v>0</v>
      </c>
      <c r="G143" s="111">
        <f t="shared" si="82"/>
        <v>0</v>
      </c>
      <c r="H143" s="112" t="str">
        <f t="shared" si="72"/>
        <v/>
      </c>
      <c r="I143" s="112" t="str">
        <f t="shared" si="73"/>
        <v/>
      </c>
      <c r="J143" s="112" t="str">
        <f t="shared" si="74"/>
        <v/>
      </c>
      <c r="K143" s="111">
        <f t="shared" si="75"/>
        <v>0</v>
      </c>
      <c r="L143" s="111">
        <f t="shared" si="76"/>
        <v>0</v>
      </c>
      <c r="M143" s="111">
        <f>K143+L143</f>
        <v>0</v>
      </c>
      <c r="P143" s="125" t="str">
        <f t="shared" si="77"/>
        <v>포스코인터</v>
      </c>
      <c r="Q143" s="126">
        <f t="shared" si="78"/>
        <v>0</v>
      </c>
      <c r="R143" s="111">
        <f t="shared" si="79"/>
        <v>0</v>
      </c>
      <c r="S143" s="126" t="str">
        <f t="shared" si="84"/>
        <v/>
      </c>
      <c r="T143" s="122"/>
      <c r="U143" s="125" t="str">
        <f t="shared" si="85"/>
        <v>포스코인터</v>
      </c>
      <c r="V143" s="126">
        <f t="shared" si="85"/>
        <v>0</v>
      </c>
      <c r="W143" s="111">
        <f t="shared" si="85"/>
        <v>0</v>
      </c>
      <c r="X143" s="163" t="str">
        <f t="shared" si="86"/>
        <v/>
      </c>
      <c r="Y143" s="164">
        <f t="shared" si="80"/>
        <v>0</v>
      </c>
      <c r="Z143" s="111"/>
      <c r="AA143" s="158" t="str">
        <f t="shared" si="81"/>
        <v/>
      </c>
      <c r="AO143" s="335"/>
      <c r="AP143" s="336"/>
      <c r="AQ143" s="452"/>
    </row>
    <row r="144" spans="3:44" ht="17.45" customHeight="1">
      <c r="C144" s="1104"/>
      <c r="D144" s="110" t="s">
        <v>443</v>
      </c>
      <c r="E144" s="111">
        <f t="shared" si="70"/>
        <v>0</v>
      </c>
      <c r="F144" s="111">
        <f t="shared" si="71"/>
        <v>0</v>
      </c>
      <c r="G144" s="111">
        <f t="shared" si="82"/>
        <v>0</v>
      </c>
      <c r="H144" s="112" t="str">
        <f t="shared" si="72"/>
        <v/>
      </c>
      <c r="I144" s="112" t="str">
        <f t="shared" si="73"/>
        <v/>
      </c>
      <c r="J144" s="112" t="str">
        <f>IFERROR(H144+I144,"")</f>
        <v/>
      </c>
      <c r="K144" s="111">
        <f t="shared" si="75"/>
        <v>0</v>
      </c>
      <c r="L144" s="111">
        <f t="shared" si="76"/>
        <v>0</v>
      </c>
      <c r="M144" s="111">
        <f>K144+L144</f>
        <v>0</v>
      </c>
      <c r="P144" s="125" t="str">
        <f t="shared" si="77"/>
        <v>도하기업</v>
      </c>
      <c r="Q144" s="126">
        <f t="shared" si="78"/>
        <v>0</v>
      </c>
      <c r="R144" s="111">
        <f t="shared" si="79"/>
        <v>0</v>
      </c>
      <c r="S144" s="126" t="str">
        <f t="shared" si="84"/>
        <v/>
      </c>
      <c r="T144" s="122"/>
      <c r="U144" s="125" t="str">
        <f t="shared" si="85"/>
        <v>도하기업</v>
      </c>
      <c r="V144" s="126">
        <f t="shared" si="85"/>
        <v>0</v>
      </c>
      <c r="W144" s="111">
        <f t="shared" si="85"/>
        <v>0</v>
      </c>
      <c r="X144" s="163" t="str">
        <f t="shared" si="86"/>
        <v/>
      </c>
      <c r="Y144" s="164">
        <f t="shared" si="80"/>
        <v>0</v>
      </c>
      <c r="Z144" s="111"/>
      <c r="AA144" s="158" t="str">
        <f t="shared" si="81"/>
        <v/>
      </c>
      <c r="AO144" s="335"/>
      <c r="AP144" s="336">
        <f t="shared" si="87"/>
        <v>0</v>
      </c>
      <c r="AQ144" s="452"/>
      <c r="AR144" s="337"/>
    </row>
    <row r="145" spans="3:44" ht="17.45" customHeight="1">
      <c r="C145" s="1105"/>
      <c r="D145" s="113" t="s">
        <v>61</v>
      </c>
      <c r="E145" s="114">
        <f>SUM(E138:E144)</f>
        <v>0</v>
      </c>
      <c r="F145" s="114">
        <f>SUM(F138:F144)</f>
        <v>67000</v>
      </c>
      <c r="G145" s="114">
        <f>SUM(G138:G144)</f>
        <v>67000</v>
      </c>
      <c r="H145" s="115">
        <f t="shared" si="72"/>
        <v>0</v>
      </c>
      <c r="I145" s="115">
        <f t="shared" si="73"/>
        <v>1</v>
      </c>
      <c r="J145" s="115">
        <f>IFERROR(H145+I145,"")</f>
        <v>1</v>
      </c>
      <c r="K145" s="114">
        <f t="shared" ref="K145:M145" si="88">SUM(K138:K144)</f>
        <v>0</v>
      </c>
      <c r="L145" s="114">
        <f t="shared" si="88"/>
        <v>0</v>
      </c>
      <c r="M145" s="114">
        <f t="shared" si="88"/>
        <v>0</v>
      </c>
      <c r="P145" s="128" t="s">
        <v>61</v>
      </c>
      <c r="Q145" s="129">
        <f>SUM(Q138:Q144)</f>
        <v>15.116666666668607</v>
      </c>
      <c r="R145" s="114">
        <f>SUM(R138:R144)</f>
        <v>0</v>
      </c>
      <c r="S145" s="129" t="str">
        <f t="shared" si="84"/>
        <v/>
      </c>
      <c r="T145" s="122"/>
      <c r="U145" s="128" t="s">
        <v>61</v>
      </c>
      <c r="V145" s="129">
        <f>SUM(V138:V144)</f>
        <v>15.116666666668607</v>
      </c>
      <c r="W145" s="114">
        <f>SUM(W138:W144)</f>
        <v>0</v>
      </c>
      <c r="X145" s="159" t="str">
        <f t="shared" si="86"/>
        <v/>
      </c>
      <c r="Y145" s="160">
        <f>SUM(Y138:Y144)</f>
        <v>67</v>
      </c>
      <c r="Z145" s="114">
        <f>SUM(Z138:Z144)</f>
        <v>0</v>
      </c>
      <c r="AA145" s="156" t="str">
        <f t="shared" si="81"/>
        <v/>
      </c>
      <c r="AO145" s="338">
        <f>SUM(AO138:AO144)</f>
        <v>0</v>
      </c>
      <c r="AP145" s="338">
        <f>SUM(AP138:AP144)</f>
        <v>67</v>
      </c>
      <c r="AQ145" s="453"/>
    </row>
    <row r="146" spans="3:44" ht="17.45" customHeight="1">
      <c r="C146" s="1103" t="s">
        <v>62</v>
      </c>
      <c r="D146" s="110" t="s">
        <v>367</v>
      </c>
      <c r="E146" s="111">
        <f t="shared" ref="E146:E157" si="89">SUMIF($C$12:$C$106,D146,$M$12:$M$106)</f>
        <v>0</v>
      </c>
      <c r="F146" s="111">
        <f t="shared" ref="F146:F162" si="90">SUMIF($C$12:$C$106,D146,$N$12:$N$106)</f>
        <v>0</v>
      </c>
      <c r="G146" s="111">
        <f t="shared" ref="G146" si="91">E146+F146</f>
        <v>0</v>
      </c>
      <c r="H146" s="112" t="str">
        <f t="shared" si="72"/>
        <v/>
      </c>
      <c r="I146" s="112" t="str">
        <f t="shared" si="73"/>
        <v/>
      </c>
      <c r="J146" s="112" t="str">
        <f t="shared" ref="J146:J157" si="92">IFERROR(H146+I146,"")</f>
        <v/>
      </c>
      <c r="K146" s="111">
        <f t="shared" ref="K146:K162" si="93">SUMIF($C$12:$C$106,D146,$AY$12:$AY$106)</f>
        <v>0</v>
      </c>
      <c r="L146" s="111">
        <f t="shared" ref="L146:L162" si="94">SUMIF($C$12:$C$106,D146,$AZ$12:$AZ$106)</f>
        <v>0</v>
      </c>
      <c r="M146" s="111">
        <f t="shared" ref="M146:M162" si="95">K146+L146</f>
        <v>0</v>
      </c>
      <c r="P146" s="125" t="str">
        <f t="shared" ref="P146:P162" si="96">D146</f>
        <v>보임코퍼레이션</v>
      </c>
      <c r="Q146" s="126">
        <f t="shared" ref="Q146:Q162" si="97">SUMIF($C$12:$C$106,P146,$J$12:$J$106)</f>
        <v>0</v>
      </c>
      <c r="R146" s="111">
        <f t="shared" ref="R146:R162" si="98">SUMIF($C$12:$C$106,P146,$BA$12:$BA$106)</f>
        <v>0</v>
      </c>
      <c r="S146" s="126" t="str">
        <f t="shared" si="84"/>
        <v/>
      </c>
      <c r="T146" s="122"/>
      <c r="U146" s="125" t="str">
        <f t="shared" ref="U146:W161" si="99">P146</f>
        <v>보임코퍼레이션</v>
      </c>
      <c r="V146" s="126">
        <f t="shared" si="99"/>
        <v>0</v>
      </c>
      <c r="W146" s="111">
        <f t="shared" si="99"/>
        <v>0</v>
      </c>
      <c r="X146" s="163" t="str">
        <f t="shared" si="86"/>
        <v/>
      </c>
      <c r="Y146" s="164">
        <f t="shared" ref="Y146:Y162" si="100">G146/1000</f>
        <v>0</v>
      </c>
      <c r="Z146" s="111"/>
      <c r="AA146" s="158" t="str">
        <f t="shared" si="81"/>
        <v/>
      </c>
      <c r="AO146" s="335"/>
      <c r="AP146" s="336">
        <f t="shared" ref="AP146" si="101">Y146-AO146</f>
        <v>0</v>
      </c>
      <c r="AQ146" s="452"/>
    </row>
    <row r="147" spans="3:44" ht="17.45" customHeight="1">
      <c r="C147" s="1104"/>
      <c r="D147" s="110" t="s">
        <v>222</v>
      </c>
      <c r="E147" s="111">
        <f t="shared" si="89"/>
        <v>0</v>
      </c>
      <c r="F147" s="111">
        <f t="shared" si="90"/>
        <v>0</v>
      </c>
      <c r="G147" s="111">
        <f t="shared" si="82"/>
        <v>0</v>
      </c>
      <c r="H147" s="112" t="str">
        <f t="shared" si="72"/>
        <v/>
      </c>
      <c r="I147" s="112" t="str">
        <f t="shared" si="73"/>
        <v/>
      </c>
      <c r="J147" s="112" t="str">
        <f t="shared" si="92"/>
        <v/>
      </c>
      <c r="K147" s="111">
        <f t="shared" si="93"/>
        <v>0</v>
      </c>
      <c r="L147" s="111">
        <f t="shared" si="94"/>
        <v>0</v>
      </c>
      <c r="M147" s="111">
        <f t="shared" si="95"/>
        <v>0</v>
      </c>
      <c r="P147" s="125" t="str">
        <f t="shared" si="96"/>
        <v>태경비케이</v>
      </c>
      <c r="Q147" s="126">
        <f t="shared" si="97"/>
        <v>0</v>
      </c>
      <c r="R147" s="111">
        <f t="shared" si="98"/>
        <v>0</v>
      </c>
      <c r="S147" s="126" t="str">
        <f t="shared" si="84"/>
        <v/>
      </c>
      <c r="T147" s="122"/>
      <c r="U147" s="125" t="str">
        <f t="shared" si="85"/>
        <v>태경비케이</v>
      </c>
      <c r="V147" s="126">
        <f t="shared" si="99"/>
        <v>0</v>
      </c>
      <c r="W147" s="111">
        <f t="shared" si="99"/>
        <v>0</v>
      </c>
      <c r="X147" s="163" t="str">
        <f t="shared" si="86"/>
        <v/>
      </c>
      <c r="Y147" s="164">
        <f t="shared" si="100"/>
        <v>0</v>
      </c>
      <c r="Z147" s="111"/>
      <c r="AA147" s="158" t="str">
        <f t="shared" si="81"/>
        <v/>
      </c>
      <c r="AO147" s="335"/>
      <c r="AP147" s="336">
        <f t="shared" si="87"/>
        <v>0</v>
      </c>
      <c r="AQ147" s="452"/>
    </row>
    <row r="148" spans="3:44" ht="17.45" customHeight="1">
      <c r="C148" s="1104"/>
      <c r="D148" s="110" t="s">
        <v>78</v>
      </c>
      <c r="E148" s="111">
        <f t="shared" si="89"/>
        <v>0</v>
      </c>
      <c r="F148" s="111">
        <f t="shared" si="90"/>
        <v>0</v>
      </c>
      <c r="G148" s="111">
        <f t="shared" si="82"/>
        <v>0</v>
      </c>
      <c r="H148" s="112" t="str">
        <f t="shared" si="72"/>
        <v/>
      </c>
      <c r="I148" s="112" t="str">
        <f t="shared" si="73"/>
        <v/>
      </c>
      <c r="J148" s="112" t="str">
        <f t="shared" si="92"/>
        <v/>
      </c>
      <c r="K148" s="111">
        <f t="shared" si="93"/>
        <v>0</v>
      </c>
      <c r="L148" s="111">
        <f t="shared" si="94"/>
        <v>0</v>
      </c>
      <c r="M148" s="111">
        <f t="shared" si="95"/>
        <v>0</v>
      </c>
      <c r="P148" s="125" t="str">
        <f t="shared" si="96"/>
        <v>삼영산업</v>
      </c>
      <c r="Q148" s="126">
        <f t="shared" si="97"/>
        <v>0</v>
      </c>
      <c r="R148" s="111">
        <f t="shared" si="98"/>
        <v>0</v>
      </c>
      <c r="S148" s="126" t="str">
        <f t="shared" si="84"/>
        <v/>
      </c>
      <c r="T148" s="122"/>
      <c r="U148" s="125" t="str">
        <f t="shared" si="85"/>
        <v>삼영산업</v>
      </c>
      <c r="V148" s="126">
        <f t="shared" si="99"/>
        <v>0</v>
      </c>
      <c r="W148" s="111">
        <f t="shared" si="99"/>
        <v>0</v>
      </c>
      <c r="X148" s="163" t="str">
        <f t="shared" si="86"/>
        <v/>
      </c>
      <c r="Y148" s="164">
        <f t="shared" si="100"/>
        <v>0</v>
      </c>
      <c r="Z148" s="111"/>
      <c r="AA148" s="158" t="str">
        <f t="shared" si="81"/>
        <v/>
      </c>
      <c r="AO148" s="335"/>
      <c r="AP148" s="336">
        <f t="shared" si="87"/>
        <v>0</v>
      </c>
      <c r="AQ148" s="452"/>
    </row>
    <row r="149" spans="3:44" ht="17.25" customHeight="1">
      <c r="C149" s="1104"/>
      <c r="D149" s="110" t="s">
        <v>176</v>
      </c>
      <c r="E149" s="111">
        <f t="shared" si="89"/>
        <v>0</v>
      </c>
      <c r="F149" s="111">
        <f t="shared" si="90"/>
        <v>0</v>
      </c>
      <c r="G149" s="111">
        <f t="shared" si="82"/>
        <v>0</v>
      </c>
      <c r="H149" s="112" t="str">
        <f t="shared" si="72"/>
        <v/>
      </c>
      <c r="I149" s="112" t="str">
        <f t="shared" si="73"/>
        <v/>
      </c>
      <c r="J149" s="112" t="str">
        <f t="shared" si="92"/>
        <v/>
      </c>
      <c r="K149" s="111">
        <f t="shared" si="93"/>
        <v>0</v>
      </c>
      <c r="L149" s="111">
        <f t="shared" si="94"/>
        <v>0</v>
      </c>
      <c r="M149" s="111">
        <f t="shared" si="95"/>
        <v>0</v>
      </c>
      <c r="P149" s="125" t="str">
        <f t="shared" si="96"/>
        <v>고려시멘트</v>
      </c>
      <c r="Q149" s="126">
        <f t="shared" si="97"/>
        <v>0</v>
      </c>
      <c r="R149" s="111">
        <f t="shared" si="98"/>
        <v>0</v>
      </c>
      <c r="S149" s="126" t="str">
        <f t="shared" si="84"/>
        <v/>
      </c>
      <c r="T149" s="122"/>
      <c r="U149" s="125" t="str">
        <f t="shared" si="85"/>
        <v>고려시멘트</v>
      </c>
      <c r="V149" s="126">
        <f t="shared" si="99"/>
        <v>0</v>
      </c>
      <c r="W149" s="111">
        <f t="shared" si="99"/>
        <v>0</v>
      </c>
      <c r="X149" s="163" t="str">
        <f t="shared" si="86"/>
        <v/>
      </c>
      <c r="Y149" s="164">
        <f t="shared" si="100"/>
        <v>0</v>
      </c>
      <c r="Z149" s="111"/>
      <c r="AA149" s="158" t="str">
        <f t="shared" si="81"/>
        <v/>
      </c>
      <c r="AO149" s="335"/>
      <c r="AP149" s="336">
        <f t="shared" si="87"/>
        <v>0</v>
      </c>
      <c r="AQ149" s="452"/>
    </row>
    <row r="150" spans="3:44" ht="17.45" customHeight="1">
      <c r="C150" s="1104"/>
      <c r="D150" s="110" t="s">
        <v>63</v>
      </c>
      <c r="E150" s="111">
        <f t="shared" si="89"/>
        <v>0</v>
      </c>
      <c r="F150" s="111">
        <f t="shared" si="90"/>
        <v>0</v>
      </c>
      <c r="G150" s="111">
        <f t="shared" si="82"/>
        <v>0</v>
      </c>
      <c r="H150" s="112" t="str">
        <f t="shared" si="72"/>
        <v/>
      </c>
      <c r="I150" s="112" t="str">
        <f t="shared" si="73"/>
        <v/>
      </c>
      <c r="J150" s="112" t="str">
        <f t="shared" si="92"/>
        <v/>
      </c>
      <c r="K150" s="111">
        <f t="shared" si="93"/>
        <v>0</v>
      </c>
      <c r="L150" s="111">
        <f t="shared" si="94"/>
        <v>0</v>
      </c>
      <c r="M150" s="111">
        <f t="shared" si="95"/>
        <v>0</v>
      </c>
      <c r="P150" s="125" t="str">
        <f t="shared" si="96"/>
        <v>청해실업</v>
      </c>
      <c r="Q150" s="126">
        <f t="shared" si="97"/>
        <v>0</v>
      </c>
      <c r="R150" s="111">
        <f t="shared" si="98"/>
        <v>0</v>
      </c>
      <c r="S150" s="126" t="str">
        <f t="shared" si="84"/>
        <v/>
      </c>
      <c r="T150" s="122"/>
      <c r="U150" s="125" t="str">
        <f t="shared" si="85"/>
        <v>청해실업</v>
      </c>
      <c r="V150" s="126">
        <f t="shared" si="99"/>
        <v>0</v>
      </c>
      <c r="W150" s="111">
        <f t="shared" si="99"/>
        <v>0</v>
      </c>
      <c r="X150" s="163" t="str">
        <f t="shared" si="86"/>
        <v/>
      </c>
      <c r="Y150" s="164">
        <f t="shared" si="100"/>
        <v>0</v>
      </c>
      <c r="Z150" s="111"/>
      <c r="AA150" s="158" t="str">
        <f t="shared" si="81"/>
        <v/>
      </c>
      <c r="AO150" s="339"/>
      <c r="AP150" s="340">
        <f t="shared" si="87"/>
        <v>0</v>
      </c>
      <c r="AQ150" s="454"/>
      <c r="AR150" s="240" t="s">
        <v>30</v>
      </c>
    </row>
    <row r="151" spans="3:44" ht="17.45" customHeight="1">
      <c r="C151" s="1104"/>
      <c r="D151" s="110" t="s">
        <v>64</v>
      </c>
      <c r="E151" s="111">
        <f t="shared" si="89"/>
        <v>0</v>
      </c>
      <c r="F151" s="111">
        <f t="shared" si="90"/>
        <v>73727</v>
      </c>
      <c r="G151" s="111">
        <f t="shared" si="82"/>
        <v>73727</v>
      </c>
      <c r="H151" s="112">
        <f t="shared" si="72"/>
        <v>0</v>
      </c>
      <c r="I151" s="112">
        <f t="shared" si="73"/>
        <v>1</v>
      </c>
      <c r="J151" s="112">
        <f t="shared" si="92"/>
        <v>1</v>
      </c>
      <c r="K151" s="111">
        <f t="shared" si="93"/>
        <v>0</v>
      </c>
      <c r="L151" s="111">
        <f t="shared" si="94"/>
        <v>1</v>
      </c>
      <c r="M151" s="111">
        <f t="shared" si="95"/>
        <v>1</v>
      </c>
      <c r="P151" s="125" t="str">
        <f t="shared" si="96"/>
        <v>한화에너지</v>
      </c>
      <c r="Q151" s="126">
        <f t="shared" si="97"/>
        <v>16.423611111109494</v>
      </c>
      <c r="R151" s="111">
        <f t="shared" si="98"/>
        <v>1</v>
      </c>
      <c r="S151" s="126">
        <f t="shared" si="84"/>
        <v>16.423611111109494</v>
      </c>
      <c r="T151" s="122"/>
      <c r="U151" s="125" t="str">
        <f t="shared" si="85"/>
        <v>한화에너지</v>
      </c>
      <c r="V151" s="126">
        <f t="shared" si="99"/>
        <v>16.423611111109494</v>
      </c>
      <c r="W151" s="111">
        <f t="shared" si="99"/>
        <v>1</v>
      </c>
      <c r="X151" s="163">
        <f t="shared" si="86"/>
        <v>16.423611111109494</v>
      </c>
      <c r="Y151" s="164">
        <f t="shared" si="100"/>
        <v>73.727000000000004</v>
      </c>
      <c r="Z151" s="111"/>
      <c r="AA151" s="158" t="str">
        <f t="shared" si="81"/>
        <v/>
      </c>
      <c r="AO151" s="335"/>
      <c r="AP151" s="336">
        <f t="shared" si="87"/>
        <v>73.727000000000004</v>
      </c>
      <c r="AQ151" s="452"/>
    </row>
    <row r="152" spans="3:44" ht="17.45" customHeight="1">
      <c r="C152" s="1104"/>
      <c r="D152" s="110" t="s">
        <v>777</v>
      </c>
      <c r="E152" s="111">
        <f t="shared" si="89"/>
        <v>0</v>
      </c>
      <c r="F152" s="111">
        <f t="shared" si="90"/>
        <v>75355</v>
      </c>
      <c r="G152" s="111">
        <f t="shared" si="82"/>
        <v>75355</v>
      </c>
      <c r="H152" s="112">
        <f t="shared" si="72"/>
        <v>0</v>
      </c>
      <c r="I152" s="112">
        <f t="shared" si="73"/>
        <v>1</v>
      </c>
      <c r="J152" s="112">
        <f t="shared" si="92"/>
        <v>1</v>
      </c>
      <c r="K152" s="111">
        <f t="shared" si="93"/>
        <v>0</v>
      </c>
      <c r="L152" s="111">
        <f t="shared" si="94"/>
        <v>0</v>
      </c>
      <c r="M152" s="111">
        <f t="shared" si="95"/>
        <v>0</v>
      </c>
      <c r="P152" s="125" t="str">
        <f t="shared" si="96"/>
        <v>포스코</v>
      </c>
      <c r="Q152" s="126">
        <f t="shared" si="97"/>
        <v>10.058333333334303</v>
      </c>
      <c r="R152" s="111">
        <f t="shared" si="98"/>
        <v>0</v>
      </c>
      <c r="S152" s="126" t="str">
        <f t="shared" si="84"/>
        <v/>
      </c>
      <c r="T152" s="122"/>
      <c r="U152" s="125" t="str">
        <f t="shared" si="85"/>
        <v>포스코</v>
      </c>
      <c r="V152" s="126">
        <f t="shared" si="99"/>
        <v>10.058333333334303</v>
      </c>
      <c r="W152" s="111">
        <f t="shared" si="99"/>
        <v>0</v>
      </c>
      <c r="X152" s="163" t="str">
        <f t="shared" si="86"/>
        <v/>
      </c>
      <c r="Y152" s="164">
        <f t="shared" si="100"/>
        <v>75.355000000000004</v>
      </c>
      <c r="Z152" s="111"/>
      <c r="AA152" s="158" t="str">
        <f t="shared" si="81"/>
        <v/>
      </c>
      <c r="AO152" s="335"/>
      <c r="AP152" s="336">
        <f t="shared" si="87"/>
        <v>75.355000000000004</v>
      </c>
      <c r="AQ152" s="452"/>
    </row>
    <row r="153" spans="3:44" ht="17.45" customHeight="1">
      <c r="C153" s="1104"/>
      <c r="D153" s="110" t="s">
        <v>501</v>
      </c>
      <c r="E153" s="111">
        <f t="shared" si="89"/>
        <v>0</v>
      </c>
      <c r="F153" s="111">
        <f t="shared" si="90"/>
        <v>0</v>
      </c>
      <c r="G153" s="111">
        <f t="shared" si="82"/>
        <v>0</v>
      </c>
      <c r="H153" s="112" t="str">
        <f t="shared" si="72"/>
        <v/>
      </c>
      <c r="I153" s="112" t="str">
        <f t="shared" si="73"/>
        <v/>
      </c>
      <c r="J153" s="112" t="str">
        <f t="shared" si="92"/>
        <v/>
      </c>
      <c r="K153" s="111">
        <f t="shared" si="93"/>
        <v>0</v>
      </c>
      <c r="L153" s="111">
        <f t="shared" si="94"/>
        <v>0</v>
      </c>
      <c r="M153" s="111">
        <f t="shared" si="95"/>
        <v>0</v>
      </c>
      <c r="P153" s="125" t="str">
        <f t="shared" si="96"/>
        <v>전북에너지</v>
      </c>
      <c r="Q153" s="126">
        <f t="shared" si="97"/>
        <v>0</v>
      </c>
      <c r="R153" s="111">
        <f t="shared" si="98"/>
        <v>0</v>
      </c>
      <c r="S153" s="126" t="str">
        <f t="shared" si="84"/>
        <v/>
      </c>
      <c r="T153" s="122"/>
      <c r="U153" s="125" t="str">
        <f t="shared" si="85"/>
        <v>전북에너지</v>
      </c>
      <c r="V153" s="126">
        <f t="shared" si="99"/>
        <v>0</v>
      </c>
      <c r="W153" s="111">
        <f t="shared" si="99"/>
        <v>0</v>
      </c>
      <c r="X153" s="163" t="str">
        <f t="shared" si="86"/>
        <v/>
      </c>
      <c r="Y153" s="164">
        <f t="shared" si="100"/>
        <v>0</v>
      </c>
      <c r="Z153" s="111"/>
      <c r="AA153" s="158" t="str">
        <f>IFERROR(IF(Y153=0,"",Y153/Z153),"")</f>
        <v/>
      </c>
      <c r="AO153" s="335"/>
      <c r="AP153" s="336">
        <f t="shared" si="87"/>
        <v>0</v>
      </c>
      <c r="AQ153" s="452"/>
    </row>
    <row r="154" spans="3:44" ht="17.45" customHeight="1">
      <c r="C154" s="1104"/>
      <c r="D154" s="110" t="s">
        <v>65</v>
      </c>
      <c r="E154" s="111">
        <f t="shared" si="89"/>
        <v>0</v>
      </c>
      <c r="F154" s="111">
        <f t="shared" si="90"/>
        <v>0</v>
      </c>
      <c r="G154" s="111">
        <f t="shared" si="82"/>
        <v>0</v>
      </c>
      <c r="H154" s="112" t="str">
        <f t="shared" si="72"/>
        <v/>
      </c>
      <c r="I154" s="112" t="str">
        <f t="shared" si="73"/>
        <v/>
      </c>
      <c r="J154" s="112" t="str">
        <f t="shared" si="92"/>
        <v/>
      </c>
      <c r="K154" s="111">
        <f t="shared" si="93"/>
        <v>0</v>
      </c>
      <c r="L154" s="111">
        <f t="shared" si="94"/>
        <v>0</v>
      </c>
      <c r="M154" s="111">
        <f t="shared" si="95"/>
        <v>0</v>
      </c>
      <c r="P154" s="125" t="str">
        <f t="shared" si="96"/>
        <v>LG상사</v>
      </c>
      <c r="Q154" s="126">
        <f t="shared" si="97"/>
        <v>0</v>
      </c>
      <c r="R154" s="111">
        <f t="shared" si="98"/>
        <v>0</v>
      </c>
      <c r="S154" s="126" t="str">
        <f t="shared" si="84"/>
        <v/>
      </c>
      <c r="T154" s="122"/>
      <c r="U154" s="125" t="str">
        <f t="shared" si="85"/>
        <v>LG상사</v>
      </c>
      <c r="V154" s="126">
        <f>Q154</f>
        <v>0</v>
      </c>
      <c r="W154" s="111">
        <f>R154</f>
        <v>0</v>
      </c>
      <c r="X154" s="163" t="str">
        <f>IFERROR(V154/W154,"")</f>
        <v/>
      </c>
      <c r="Y154" s="164">
        <f t="shared" si="100"/>
        <v>0</v>
      </c>
      <c r="Z154" s="111"/>
      <c r="AA154" s="158" t="str">
        <f t="shared" si="81"/>
        <v/>
      </c>
      <c r="AO154" s="335"/>
      <c r="AP154" s="336">
        <f t="shared" si="87"/>
        <v>0</v>
      </c>
      <c r="AQ154" s="452"/>
    </row>
    <row r="155" spans="3:44" ht="17.45" customHeight="1">
      <c r="C155" s="1104"/>
      <c r="D155" s="110" t="s">
        <v>66</v>
      </c>
      <c r="E155" s="111">
        <f t="shared" si="89"/>
        <v>0</v>
      </c>
      <c r="F155" s="111">
        <f t="shared" si="90"/>
        <v>0</v>
      </c>
      <c r="G155" s="111">
        <f t="shared" si="82"/>
        <v>0</v>
      </c>
      <c r="H155" s="112" t="str">
        <f t="shared" si="72"/>
        <v/>
      </c>
      <c r="I155" s="112" t="str">
        <f t="shared" si="73"/>
        <v/>
      </c>
      <c r="J155" s="112" t="str">
        <f t="shared" si="92"/>
        <v/>
      </c>
      <c r="K155" s="111">
        <f t="shared" si="93"/>
        <v>0</v>
      </c>
      <c r="L155" s="111">
        <f t="shared" si="94"/>
        <v>0</v>
      </c>
      <c r="M155" s="111">
        <f t="shared" si="95"/>
        <v>0</v>
      </c>
      <c r="P155" s="125" t="str">
        <f t="shared" si="96"/>
        <v>LG화학</v>
      </c>
      <c r="Q155" s="126">
        <f t="shared" si="97"/>
        <v>0</v>
      </c>
      <c r="R155" s="111">
        <f t="shared" si="98"/>
        <v>0</v>
      </c>
      <c r="S155" s="126" t="str">
        <f t="shared" si="84"/>
        <v/>
      </c>
      <c r="T155" s="122"/>
      <c r="U155" s="125" t="str">
        <f t="shared" si="85"/>
        <v>LG화학</v>
      </c>
      <c r="V155" s="126">
        <f t="shared" si="99"/>
        <v>0</v>
      </c>
      <c r="W155" s="111">
        <f t="shared" si="99"/>
        <v>0</v>
      </c>
      <c r="X155" s="163" t="str">
        <f t="shared" si="86"/>
        <v/>
      </c>
      <c r="Y155" s="164">
        <f t="shared" si="100"/>
        <v>0</v>
      </c>
      <c r="Z155" s="111"/>
      <c r="AA155" s="158" t="str">
        <f t="shared" si="81"/>
        <v/>
      </c>
      <c r="AO155" s="335"/>
      <c r="AP155" s="336">
        <f t="shared" si="87"/>
        <v>0</v>
      </c>
      <c r="AQ155" s="452"/>
    </row>
    <row r="156" spans="3:44" ht="17.45" customHeight="1">
      <c r="C156" s="1104"/>
      <c r="D156" s="110" t="s">
        <v>67</v>
      </c>
      <c r="E156" s="111">
        <f t="shared" si="89"/>
        <v>0</v>
      </c>
      <c r="F156" s="111">
        <f t="shared" si="90"/>
        <v>0</v>
      </c>
      <c r="G156" s="111">
        <f t="shared" si="82"/>
        <v>0</v>
      </c>
      <c r="H156" s="112" t="str">
        <f t="shared" si="72"/>
        <v/>
      </c>
      <c r="I156" s="112" t="str">
        <f t="shared" si="73"/>
        <v/>
      </c>
      <c r="J156" s="112" t="str">
        <f t="shared" si="92"/>
        <v/>
      </c>
      <c r="K156" s="111">
        <f t="shared" si="93"/>
        <v>0</v>
      </c>
      <c r="L156" s="111">
        <f t="shared" si="94"/>
        <v>0</v>
      </c>
      <c r="M156" s="111">
        <f t="shared" si="95"/>
        <v>0</v>
      </c>
      <c r="P156" s="125" t="str">
        <f t="shared" si="96"/>
        <v>OCI SE</v>
      </c>
      <c r="Q156" s="126">
        <f t="shared" si="97"/>
        <v>0</v>
      </c>
      <c r="R156" s="111">
        <f t="shared" si="98"/>
        <v>0</v>
      </c>
      <c r="S156" s="126" t="str">
        <f t="shared" si="84"/>
        <v/>
      </c>
      <c r="T156" s="122"/>
      <c r="U156" s="125" t="str">
        <f t="shared" si="85"/>
        <v>OCI SE</v>
      </c>
      <c r="V156" s="126">
        <f t="shared" si="99"/>
        <v>0</v>
      </c>
      <c r="W156" s="111">
        <f t="shared" si="99"/>
        <v>0</v>
      </c>
      <c r="X156" s="163" t="str">
        <f t="shared" si="86"/>
        <v/>
      </c>
      <c r="Y156" s="164">
        <f t="shared" si="100"/>
        <v>0</v>
      </c>
      <c r="Z156" s="111"/>
      <c r="AA156" s="158" t="str">
        <f t="shared" si="81"/>
        <v/>
      </c>
      <c r="AO156" s="335"/>
      <c r="AP156" s="336">
        <f t="shared" si="87"/>
        <v>0</v>
      </c>
      <c r="AQ156" s="452"/>
    </row>
    <row r="157" spans="3:44" ht="17.45" customHeight="1">
      <c r="C157" s="1104"/>
      <c r="D157" s="110" t="s">
        <v>37</v>
      </c>
      <c r="E157" s="111">
        <f t="shared" si="89"/>
        <v>0</v>
      </c>
      <c r="F157" s="111">
        <f t="shared" si="90"/>
        <v>0</v>
      </c>
      <c r="G157" s="111">
        <f t="shared" si="82"/>
        <v>0</v>
      </c>
      <c r="H157" s="112" t="str">
        <f t="shared" si="72"/>
        <v/>
      </c>
      <c r="I157" s="112" t="str">
        <f t="shared" si="73"/>
        <v/>
      </c>
      <c r="J157" s="112" t="str">
        <f t="shared" si="92"/>
        <v/>
      </c>
      <c r="K157" s="111">
        <f t="shared" si="93"/>
        <v>0</v>
      </c>
      <c r="L157" s="111">
        <f t="shared" si="94"/>
        <v>0</v>
      </c>
      <c r="M157" s="111">
        <f t="shared" si="95"/>
        <v>0</v>
      </c>
      <c r="P157" s="125" t="str">
        <f t="shared" si="96"/>
        <v>청해소재</v>
      </c>
      <c r="Q157" s="126">
        <f t="shared" si="97"/>
        <v>0</v>
      </c>
      <c r="R157" s="111">
        <f t="shared" si="98"/>
        <v>0</v>
      </c>
      <c r="S157" s="126" t="str">
        <f t="shared" si="84"/>
        <v/>
      </c>
      <c r="T157" s="122"/>
      <c r="U157" s="125" t="str">
        <f t="shared" si="85"/>
        <v>청해소재</v>
      </c>
      <c r="V157" s="126">
        <f t="shared" si="99"/>
        <v>0</v>
      </c>
      <c r="W157" s="111">
        <f t="shared" si="99"/>
        <v>0</v>
      </c>
      <c r="X157" s="163" t="str">
        <f>IFERROR(V157/W157,"")</f>
        <v/>
      </c>
      <c r="Y157" s="164">
        <f t="shared" si="100"/>
        <v>0</v>
      </c>
      <c r="Z157" s="111"/>
      <c r="AA157" s="158" t="str">
        <f>IFERROR(IF(Y157=0,"",Y157/Z157),"")</f>
        <v/>
      </c>
      <c r="AO157" s="335"/>
      <c r="AP157" s="336">
        <f t="shared" si="87"/>
        <v>0</v>
      </c>
      <c r="AQ157" s="452"/>
      <c r="AR157" s="240" t="s">
        <v>157</v>
      </c>
    </row>
    <row r="158" spans="3:44" ht="17.45" customHeight="1">
      <c r="C158" s="1104"/>
      <c r="D158" s="110" t="s">
        <v>366</v>
      </c>
      <c r="E158" s="111"/>
      <c r="F158" s="111">
        <f t="shared" si="90"/>
        <v>0</v>
      </c>
      <c r="G158" s="111">
        <f t="shared" si="82"/>
        <v>0</v>
      </c>
      <c r="H158" s="112" t="str">
        <f t="shared" si="72"/>
        <v/>
      </c>
      <c r="I158" s="112" t="str">
        <f t="shared" si="73"/>
        <v/>
      </c>
      <c r="J158" s="112" t="str">
        <f>IFERROR(H158+I158,"")</f>
        <v/>
      </c>
      <c r="K158" s="111">
        <f t="shared" si="93"/>
        <v>0</v>
      </c>
      <c r="L158" s="111">
        <f t="shared" si="94"/>
        <v>0</v>
      </c>
      <c r="M158" s="111">
        <f t="shared" si="95"/>
        <v>0</v>
      </c>
      <c r="P158" s="125" t="str">
        <f t="shared" si="96"/>
        <v>김천에너지</v>
      </c>
      <c r="Q158" s="126">
        <f t="shared" si="97"/>
        <v>0</v>
      </c>
      <c r="R158" s="111">
        <f t="shared" si="98"/>
        <v>0</v>
      </c>
      <c r="S158" s="126" t="str">
        <f t="shared" si="84"/>
        <v/>
      </c>
      <c r="T158" s="122"/>
      <c r="U158" s="125" t="str">
        <f t="shared" si="85"/>
        <v>김천에너지</v>
      </c>
      <c r="V158" s="126">
        <f t="shared" si="99"/>
        <v>0</v>
      </c>
      <c r="W158" s="111">
        <f t="shared" si="99"/>
        <v>0</v>
      </c>
      <c r="X158" s="163" t="str">
        <f t="shared" si="86"/>
        <v/>
      </c>
      <c r="Y158" s="164">
        <f t="shared" si="100"/>
        <v>0</v>
      </c>
      <c r="Z158" s="111"/>
      <c r="AA158" s="158" t="str">
        <f t="shared" ref="AA158:AA167" si="102">IFERROR(IF(Y158=0,"",Y158/Z158),"")</f>
        <v/>
      </c>
      <c r="AO158" s="335"/>
      <c r="AP158" s="336">
        <f t="shared" si="87"/>
        <v>0</v>
      </c>
      <c r="AQ158" s="452"/>
    </row>
    <row r="159" spans="3:44" ht="17.45" customHeight="1">
      <c r="C159" s="1104"/>
      <c r="D159" s="110" t="s">
        <v>107</v>
      </c>
      <c r="E159" s="111">
        <f>SUMIF($C$12:$C$106,D159,$M$12:$M$106)</f>
        <v>0</v>
      </c>
      <c r="F159" s="111">
        <f t="shared" si="90"/>
        <v>0</v>
      </c>
      <c r="G159" s="111">
        <f t="shared" si="82"/>
        <v>0</v>
      </c>
      <c r="H159" s="112" t="str">
        <f t="shared" si="72"/>
        <v/>
      </c>
      <c r="I159" s="112" t="str">
        <f t="shared" si="73"/>
        <v/>
      </c>
      <c r="J159" s="112" t="str">
        <f>IFERROR(H159+I159,"")</f>
        <v/>
      </c>
      <c r="K159" s="111">
        <f t="shared" si="93"/>
        <v>0</v>
      </c>
      <c r="L159" s="111">
        <f t="shared" si="94"/>
        <v>0</v>
      </c>
      <c r="M159" s="111">
        <f t="shared" si="95"/>
        <v>0</v>
      </c>
      <c r="P159" s="125" t="str">
        <f t="shared" si="96"/>
        <v>대구염색공단</v>
      </c>
      <c r="Q159" s="126">
        <f t="shared" si="97"/>
        <v>0</v>
      </c>
      <c r="R159" s="111">
        <f t="shared" si="98"/>
        <v>0</v>
      </c>
      <c r="S159" s="126" t="str">
        <f t="shared" si="84"/>
        <v/>
      </c>
      <c r="T159" s="122"/>
      <c r="U159" s="125" t="str">
        <f t="shared" si="85"/>
        <v>대구염색공단</v>
      </c>
      <c r="V159" s="126">
        <f t="shared" si="99"/>
        <v>0</v>
      </c>
      <c r="W159" s="111">
        <f t="shared" si="99"/>
        <v>0</v>
      </c>
      <c r="X159" s="163" t="str">
        <f t="shared" si="86"/>
        <v/>
      </c>
      <c r="Y159" s="164">
        <f t="shared" si="100"/>
        <v>0</v>
      </c>
      <c r="Z159" s="111"/>
      <c r="AA159" s="158" t="str">
        <f t="shared" si="102"/>
        <v/>
      </c>
      <c r="AO159" s="335"/>
      <c r="AP159" s="336">
        <f t="shared" si="87"/>
        <v>0</v>
      </c>
      <c r="AQ159" s="452"/>
    </row>
    <row r="160" spans="3:44" ht="17.45" customHeight="1">
      <c r="C160" s="1104"/>
      <c r="D160" s="110" t="s">
        <v>108</v>
      </c>
      <c r="E160" s="111">
        <f>SUMIF($C$12:$C$106,D160,$M$12:$M$106)</f>
        <v>0</v>
      </c>
      <c r="F160" s="111">
        <f t="shared" si="90"/>
        <v>0</v>
      </c>
      <c r="G160" s="111">
        <f t="shared" si="82"/>
        <v>0</v>
      </c>
      <c r="H160" s="112" t="str">
        <f t="shared" si="72"/>
        <v/>
      </c>
      <c r="I160" s="112" t="str">
        <f t="shared" si="73"/>
        <v/>
      </c>
      <c r="J160" s="112" t="str">
        <f t="shared" ref="J160:J162" si="103">IFERROR(H160+I160,"")</f>
        <v/>
      </c>
      <c r="K160" s="111">
        <f t="shared" si="93"/>
        <v>0</v>
      </c>
      <c r="L160" s="111">
        <f t="shared" si="94"/>
        <v>0</v>
      </c>
      <c r="M160" s="111">
        <f t="shared" si="95"/>
        <v>0</v>
      </c>
      <c r="P160" s="125" t="str">
        <f t="shared" si="96"/>
        <v>SNNC(니켈)</v>
      </c>
      <c r="Q160" s="126">
        <f t="shared" si="97"/>
        <v>0</v>
      </c>
      <c r="R160" s="111">
        <f t="shared" si="98"/>
        <v>0</v>
      </c>
      <c r="S160" s="126" t="str">
        <f t="shared" si="84"/>
        <v/>
      </c>
      <c r="T160" s="122"/>
      <c r="U160" s="125" t="str">
        <f t="shared" si="85"/>
        <v>SNNC(니켈)</v>
      </c>
      <c r="V160" s="126">
        <f t="shared" si="99"/>
        <v>0</v>
      </c>
      <c r="W160" s="111">
        <f t="shared" si="99"/>
        <v>0</v>
      </c>
      <c r="X160" s="163" t="str">
        <f t="shared" si="86"/>
        <v/>
      </c>
      <c r="Y160" s="164">
        <f t="shared" si="100"/>
        <v>0</v>
      </c>
      <c r="Z160" s="111"/>
      <c r="AA160" s="158" t="str">
        <f t="shared" si="102"/>
        <v/>
      </c>
      <c r="AO160" s="335"/>
      <c r="AP160" s="336">
        <f t="shared" si="87"/>
        <v>0</v>
      </c>
      <c r="AQ160" s="452"/>
    </row>
    <row r="161" spans="3:44" ht="17.45" customHeight="1">
      <c r="C161" s="1104"/>
      <c r="D161" s="110" t="s">
        <v>704</v>
      </c>
      <c r="E161" s="111">
        <f>SUMIF($C$12:$C$106,D161,$M$12:$M$106)</f>
        <v>0</v>
      </c>
      <c r="F161" s="111">
        <f t="shared" si="90"/>
        <v>0</v>
      </c>
      <c r="G161" s="111">
        <f t="shared" si="82"/>
        <v>0</v>
      </c>
      <c r="H161" s="112" t="str">
        <f t="shared" si="72"/>
        <v/>
      </c>
      <c r="I161" s="112" t="str">
        <f t="shared" si="73"/>
        <v/>
      </c>
      <c r="J161" s="112" t="str">
        <f t="shared" si="103"/>
        <v/>
      </c>
      <c r="K161" s="111">
        <f t="shared" si="93"/>
        <v>0</v>
      </c>
      <c r="L161" s="111">
        <f t="shared" si="94"/>
        <v>0</v>
      </c>
      <c r="M161" s="111">
        <f t="shared" si="95"/>
        <v>0</v>
      </c>
      <c r="P161" s="125" t="str">
        <f t="shared" si="96"/>
        <v>렘코</v>
      </c>
      <c r="Q161" s="126">
        <f t="shared" si="97"/>
        <v>0</v>
      </c>
      <c r="R161" s="111">
        <f t="shared" si="98"/>
        <v>0</v>
      </c>
      <c r="S161" s="126" t="str">
        <f t="shared" si="84"/>
        <v/>
      </c>
      <c r="T161" s="122"/>
      <c r="U161" s="125" t="s">
        <v>704</v>
      </c>
      <c r="V161" s="126">
        <f t="shared" si="99"/>
        <v>0</v>
      </c>
      <c r="W161" s="111">
        <f t="shared" si="99"/>
        <v>0</v>
      </c>
      <c r="X161" s="163" t="str">
        <f t="shared" si="86"/>
        <v/>
      </c>
      <c r="Y161" s="164">
        <f t="shared" si="100"/>
        <v>0</v>
      </c>
      <c r="Z161" s="111"/>
      <c r="AA161" s="158" t="str">
        <f t="shared" si="102"/>
        <v/>
      </c>
      <c r="AO161" s="335"/>
      <c r="AP161" s="336">
        <f t="shared" si="87"/>
        <v>0</v>
      </c>
      <c r="AQ161" s="452"/>
    </row>
    <row r="162" spans="3:44" ht="17.45" customHeight="1">
      <c r="C162" s="1104"/>
      <c r="D162" s="110" t="s">
        <v>68</v>
      </c>
      <c r="E162" s="111">
        <f>SUMIF($C$12:$C$106,D162,$M$12:$M$106)</f>
        <v>0</v>
      </c>
      <c r="F162" s="111">
        <f t="shared" si="90"/>
        <v>46000</v>
      </c>
      <c r="G162" s="111">
        <f t="shared" si="82"/>
        <v>46000</v>
      </c>
      <c r="H162" s="112">
        <f t="shared" si="72"/>
        <v>0</v>
      </c>
      <c r="I162" s="112">
        <f t="shared" si="73"/>
        <v>1</v>
      </c>
      <c r="J162" s="112">
        <f t="shared" si="103"/>
        <v>1</v>
      </c>
      <c r="K162" s="111">
        <f t="shared" si="93"/>
        <v>0</v>
      </c>
      <c r="L162" s="111">
        <f t="shared" si="94"/>
        <v>1</v>
      </c>
      <c r="M162" s="111">
        <f t="shared" si="95"/>
        <v>1</v>
      </c>
      <c r="P162" s="125" t="str">
        <f t="shared" si="96"/>
        <v>SNNC</v>
      </c>
      <c r="Q162" s="126">
        <f t="shared" si="97"/>
        <v>10.395833333335759</v>
      </c>
      <c r="R162" s="111">
        <f t="shared" si="98"/>
        <v>1</v>
      </c>
      <c r="S162" s="126">
        <f t="shared" si="84"/>
        <v>10.395833333335759</v>
      </c>
      <c r="T162" s="122"/>
      <c r="U162" s="125" t="str">
        <f t="shared" si="85"/>
        <v>SNNC</v>
      </c>
      <c r="V162" s="126">
        <f t="shared" si="85"/>
        <v>10.395833333335759</v>
      </c>
      <c r="W162" s="111">
        <f t="shared" si="85"/>
        <v>1</v>
      </c>
      <c r="X162" s="163">
        <f t="shared" si="86"/>
        <v>10.395833333335759</v>
      </c>
      <c r="Y162" s="164">
        <f t="shared" si="100"/>
        <v>46</v>
      </c>
      <c r="Z162" s="111"/>
      <c r="AA162" s="158" t="str">
        <f t="shared" si="102"/>
        <v/>
      </c>
      <c r="AO162" s="335"/>
      <c r="AP162" s="336">
        <f t="shared" si="87"/>
        <v>46</v>
      </c>
      <c r="AQ162" s="452"/>
    </row>
    <row r="163" spans="3:44" ht="17.45" customHeight="1" thickBot="1">
      <c r="C163" s="1105"/>
      <c r="D163" s="113" t="s">
        <v>61</v>
      </c>
      <c r="E163" s="114">
        <f>SUM(E146:E162)</f>
        <v>0</v>
      </c>
      <c r="F163" s="179">
        <f>SUM(F146:F162)</f>
        <v>195082</v>
      </c>
      <c r="G163" s="114">
        <f>SUM(G146:G162)</f>
        <v>195082</v>
      </c>
      <c r="H163" s="115">
        <f t="shared" si="72"/>
        <v>0</v>
      </c>
      <c r="I163" s="185">
        <f t="shared" si="73"/>
        <v>1</v>
      </c>
      <c r="J163" s="115">
        <f>IFERROR(H163+I163,"")</f>
        <v>1</v>
      </c>
      <c r="K163" s="114">
        <f>SUM(K146:K162)</f>
        <v>0</v>
      </c>
      <c r="L163" s="114">
        <f>SUM(L146:L162)</f>
        <v>2</v>
      </c>
      <c r="M163" s="114">
        <f>SUM(M146:M162)</f>
        <v>2</v>
      </c>
      <c r="P163" s="128" t="s">
        <v>61</v>
      </c>
      <c r="Q163" s="129">
        <f>SUM(Q146:Q162)</f>
        <v>36.877777777779556</v>
      </c>
      <c r="R163" s="114">
        <f>SUM(R146:R162)</f>
        <v>2</v>
      </c>
      <c r="S163" s="129">
        <f t="shared" si="84"/>
        <v>18.438888888889778</v>
      </c>
      <c r="T163" s="122"/>
      <c r="U163" s="128" t="s">
        <v>61</v>
      </c>
      <c r="V163" s="129">
        <f>SUM(V146:V162)</f>
        <v>36.877777777779556</v>
      </c>
      <c r="W163" s="114">
        <f>SUM(W146:W162)</f>
        <v>2</v>
      </c>
      <c r="X163" s="161">
        <f>IFERROR(V163/W163,"")</f>
        <v>18.438888888889778</v>
      </c>
      <c r="Y163" s="160">
        <f>SUM(Y146:Y162)</f>
        <v>195.08199999999999</v>
      </c>
      <c r="Z163" s="114">
        <f>SUM(Z147:Z162)</f>
        <v>0</v>
      </c>
      <c r="AA163" s="156" t="str">
        <f t="shared" si="102"/>
        <v/>
      </c>
      <c r="AO163" s="341">
        <f>SUM(AO147:AO162)</f>
        <v>0</v>
      </c>
      <c r="AP163" s="341">
        <f>SUM(AP146:AP162)</f>
        <v>195.08199999999999</v>
      </c>
      <c r="AQ163" s="455"/>
    </row>
    <row r="164" spans="3:44" ht="17.45" customHeight="1" thickTop="1" thickBot="1">
      <c r="C164" s="1106" t="s">
        <v>57</v>
      </c>
      <c r="D164" s="1106"/>
      <c r="E164" s="147">
        <f>SUM(E163,E145)</f>
        <v>0</v>
      </c>
      <c r="F164" s="182">
        <f>SUM(F163,F145)</f>
        <v>262082</v>
      </c>
      <c r="G164" s="149">
        <f>SUM(G163,G145)</f>
        <v>262082</v>
      </c>
      <c r="H164" s="183">
        <f t="shared" si="72"/>
        <v>0</v>
      </c>
      <c r="I164" s="186">
        <f t="shared" si="73"/>
        <v>1</v>
      </c>
      <c r="J164" s="184">
        <f>IFERROR(H164+I164,"")</f>
        <v>1</v>
      </c>
      <c r="K164" s="116">
        <f>SUM(K163,K145)</f>
        <v>0</v>
      </c>
      <c r="L164" s="116">
        <f>SUM(L163,L145)</f>
        <v>2</v>
      </c>
      <c r="M164" s="116">
        <f>SUM(M163,M145)</f>
        <v>2</v>
      </c>
      <c r="P164" s="131" t="s">
        <v>79</v>
      </c>
      <c r="Q164" s="132">
        <f>SUM(Q163,Q145)</f>
        <v>51.994444444448163</v>
      </c>
      <c r="R164" s="116">
        <f>SUM(R163,R145)</f>
        <v>2</v>
      </c>
      <c r="S164" s="132">
        <f>IFERROR(Q164/R164,"")</f>
        <v>25.997222222224082</v>
      </c>
      <c r="T164" s="122"/>
      <c r="U164" s="131" t="s">
        <v>76</v>
      </c>
      <c r="V164" s="132">
        <f>SUM(V163,V145)</f>
        <v>51.994444444448163</v>
      </c>
      <c r="W164" s="147">
        <f>SUM(W163,W145)</f>
        <v>2</v>
      </c>
      <c r="X164" s="133">
        <f>IFERROR(V164/W164,"")</f>
        <v>25.997222222224082</v>
      </c>
      <c r="Y164" s="162">
        <f>SUM(Y145,Y163)</f>
        <v>262.08199999999999</v>
      </c>
      <c r="Z164" s="149">
        <f>SUM(Z145,Z163)</f>
        <v>0</v>
      </c>
      <c r="AA164" s="157" t="str">
        <f t="shared" si="102"/>
        <v/>
      </c>
      <c r="AO164" s="342">
        <f>SUM(AO145,AO163)</f>
        <v>0</v>
      </c>
      <c r="AP164" s="342">
        <f>SUM(AP145,AP163)</f>
        <v>262.08199999999999</v>
      </c>
      <c r="AQ164" s="456"/>
    </row>
    <row r="165" spans="3:44" ht="17.45" customHeight="1">
      <c r="E165" s="343" t="e">
        <f>IF(E164=#REF!,"","CHECK")</f>
        <v>#REF!</v>
      </c>
      <c r="F165" s="344" t="e">
        <f>IF(F164=#REF!,"","CHECK")</f>
        <v>#REF!</v>
      </c>
      <c r="G165" s="344" t="e">
        <f>IF(G164=#REF!,"","CHECK")</f>
        <v>#REF!</v>
      </c>
      <c r="P165" s="134" t="s">
        <v>77</v>
      </c>
      <c r="Q165" s="126"/>
      <c r="R165" s="126"/>
      <c r="S165" s="126" t="str">
        <f>IFERROR(Q165/R165,"")</f>
        <v/>
      </c>
      <c r="T165" s="122"/>
      <c r="U165" s="134" t="s">
        <v>77</v>
      </c>
      <c r="V165" s="126"/>
      <c r="W165" s="111"/>
      <c r="X165" s="165" t="str">
        <f t="shared" si="86"/>
        <v/>
      </c>
      <c r="Y165" s="163"/>
      <c r="Z165" s="126"/>
      <c r="AA165" s="158" t="str">
        <f t="shared" si="102"/>
        <v/>
      </c>
      <c r="AO165" s="335"/>
      <c r="AP165" s="336">
        <f t="shared" ref="AP165:AP166" si="104">Y165-AO165</f>
        <v>0</v>
      </c>
      <c r="AQ165" s="452"/>
    </row>
    <row r="166" spans="3:44" ht="17.45" customHeight="1" thickBot="1">
      <c r="U166" s="345" t="s">
        <v>109</v>
      </c>
      <c r="V166" s="345"/>
      <c r="W166" s="328"/>
      <c r="X166" s="346"/>
      <c r="Y166" s="346">
        <f>$F$181/1000</f>
        <v>0</v>
      </c>
      <c r="Z166" s="347"/>
      <c r="AA166" s="200" t="str">
        <f>IFERROR(IF(Y166=0,"",Y166/Z166),"")</f>
        <v/>
      </c>
      <c r="AO166" s="335"/>
      <c r="AP166" s="336">
        <f t="shared" si="104"/>
        <v>0</v>
      </c>
      <c r="AQ166" s="452"/>
    </row>
    <row r="167" spans="3:44" ht="17.45" customHeight="1" thickBot="1">
      <c r="C167" s="1099" t="s">
        <v>173</v>
      </c>
      <c r="D167" s="1100" t="s">
        <v>52</v>
      </c>
      <c r="E167" s="1100"/>
      <c r="F167" s="1100"/>
      <c r="G167" s="1100" t="s">
        <v>73</v>
      </c>
      <c r="H167" s="1100" t="s">
        <v>75</v>
      </c>
      <c r="I167" s="1100" t="s">
        <v>95</v>
      </c>
      <c r="J167" s="119"/>
      <c r="K167" s="1099" t="s">
        <v>172</v>
      </c>
      <c r="L167" s="1102" t="s">
        <v>124</v>
      </c>
      <c r="M167" s="1102"/>
      <c r="N167" s="1102"/>
      <c r="O167" s="1102" t="s">
        <v>75</v>
      </c>
      <c r="P167" s="1102"/>
      <c r="Q167" s="1102"/>
      <c r="R167" s="1097" t="s">
        <v>72</v>
      </c>
      <c r="S167" s="1097" t="s">
        <v>73</v>
      </c>
      <c r="T167" s="1097" t="s">
        <v>74</v>
      </c>
      <c r="U167" s="262" t="s">
        <v>110</v>
      </c>
      <c r="V167" s="262"/>
      <c r="W167" s="334"/>
      <c r="X167" s="346"/>
      <c r="Y167" s="346">
        <f>SUM(Y164,Y165,Y166)</f>
        <v>262.08199999999999</v>
      </c>
      <c r="Z167" s="348">
        <f>SUM(Z164,Z166)</f>
        <v>0</v>
      </c>
      <c r="AA167" s="201" t="str">
        <f t="shared" si="102"/>
        <v/>
      </c>
      <c r="AO167" s="342">
        <f>SUM(AO164,AO166)</f>
        <v>0</v>
      </c>
      <c r="AP167" s="342">
        <f>SUM(AP164,AP166)</f>
        <v>262.08199999999999</v>
      </c>
      <c r="AQ167" s="456"/>
    </row>
    <row r="168" spans="3:44" ht="17.45" customHeight="1">
      <c r="C168" s="1099"/>
      <c r="D168" s="233" t="s">
        <v>55</v>
      </c>
      <c r="E168" s="233" t="s">
        <v>56</v>
      </c>
      <c r="F168" s="233" t="s">
        <v>57</v>
      </c>
      <c r="G168" s="1100"/>
      <c r="H168" s="1100"/>
      <c r="I168" s="1100"/>
      <c r="J168" s="119"/>
      <c r="K168" s="1099"/>
      <c r="L168" s="235" t="s">
        <v>125</v>
      </c>
      <c r="M168" s="235" t="s">
        <v>126</v>
      </c>
      <c r="N168" s="235" t="s">
        <v>123</v>
      </c>
      <c r="O168" s="235" t="s">
        <v>125</v>
      </c>
      <c r="P168" s="235" t="s">
        <v>126</v>
      </c>
      <c r="Q168" s="235" t="s">
        <v>123</v>
      </c>
      <c r="R168" s="1098"/>
      <c r="S168" s="1098"/>
      <c r="T168" s="1098"/>
    </row>
    <row r="169" spans="3:44" ht="17.45" customHeight="1">
      <c r="C169" s="139" t="s">
        <v>81</v>
      </c>
      <c r="D169" s="111">
        <f t="shared" ref="D169:D179" si="105">SUMIF($S$12:$S$106,C169,$M$12:$M$106)</f>
        <v>0</v>
      </c>
      <c r="E169" s="111">
        <f t="shared" ref="E169:E179" si="106">SUMIF($S$12:$S$106,C169,$N$12:$N$106)</f>
        <v>140727</v>
      </c>
      <c r="F169" s="111">
        <f>D169+E169</f>
        <v>140727</v>
      </c>
      <c r="G169" s="111">
        <f t="shared" ref="G169:G179" si="107">SUMIF($S$12:$S$106,C169,$BA$12:$BA$106)</f>
        <v>1</v>
      </c>
      <c r="H169" s="111">
        <f t="shared" ref="H169:H179" si="108">F169/1000</f>
        <v>140.727</v>
      </c>
      <c r="I169" s="111"/>
      <c r="J169" s="119"/>
      <c r="K169" s="139" t="s">
        <v>117</v>
      </c>
      <c r="L169" s="202">
        <f t="shared" ref="L169:L176" si="109">SUMIF($R$12:$R$106,K169,$M$12:$M$106)</f>
        <v>0</v>
      </c>
      <c r="M169" s="202">
        <f t="shared" ref="M169:M176" si="110">SUMIF($R$12:$R$106,K169,$N$12:$N$106)</f>
        <v>0</v>
      </c>
      <c r="N169" s="202">
        <f>L169+M169</f>
        <v>0</v>
      </c>
      <c r="O169" s="202">
        <f>L169/1000</f>
        <v>0</v>
      </c>
      <c r="P169" s="202">
        <f>M169/1000</f>
        <v>0</v>
      </c>
      <c r="Q169" s="202">
        <f>O169+P169</f>
        <v>0</v>
      </c>
      <c r="R169" s="358">
        <f t="shared" ref="R169:R176" si="111">SUMIF($R$12:$R$106,K169,$J$12:$J$106)</f>
        <v>0</v>
      </c>
      <c r="S169" s="111">
        <f t="shared" ref="S169:S176" si="112">SUMIF($R$12:$R$106,K169,$BA$12:$BA$106)</f>
        <v>0</v>
      </c>
      <c r="T169" s="126" t="str">
        <f>IFERROR(R169/S169,"")</f>
        <v/>
      </c>
      <c r="W169" s="241" t="s">
        <v>157</v>
      </c>
      <c r="X169" s="237">
        <f>IFERROR(($Q$147+$Q$157)/($R$147+$R$157),0)</f>
        <v>0</v>
      </c>
      <c r="Y169" s="236">
        <f>Y147+Y157</f>
        <v>0</v>
      </c>
    </row>
    <row r="170" spans="3:44" ht="17.45" customHeight="1">
      <c r="C170" s="139" t="s">
        <v>82</v>
      </c>
      <c r="D170" s="111">
        <f t="shared" si="105"/>
        <v>0</v>
      </c>
      <c r="E170" s="111">
        <f t="shared" si="106"/>
        <v>46000</v>
      </c>
      <c r="F170" s="111">
        <f>D170+E170</f>
        <v>46000</v>
      </c>
      <c r="G170" s="111">
        <f t="shared" si="107"/>
        <v>1</v>
      </c>
      <c r="H170" s="111">
        <f t="shared" si="108"/>
        <v>46</v>
      </c>
      <c r="I170" s="111"/>
      <c r="J170" s="119"/>
      <c r="K170" s="139" t="s">
        <v>118</v>
      </c>
      <c r="L170" s="202">
        <f t="shared" si="109"/>
        <v>0</v>
      </c>
      <c r="M170" s="202">
        <f t="shared" si="110"/>
        <v>0</v>
      </c>
      <c r="N170" s="202">
        <f t="shared" ref="N170:N174" si="113">L170+M170</f>
        <v>0</v>
      </c>
      <c r="O170" s="202">
        <f t="shared" ref="O170:P176" si="114">L170/1000</f>
        <v>0</v>
      </c>
      <c r="P170" s="202">
        <f t="shared" si="114"/>
        <v>0</v>
      </c>
      <c r="Q170" s="202">
        <f t="shared" ref="Q170:Q176" si="115">O170+P170</f>
        <v>0</v>
      </c>
      <c r="R170" s="358">
        <f t="shared" si="111"/>
        <v>0</v>
      </c>
      <c r="S170" s="111">
        <f t="shared" si="112"/>
        <v>0</v>
      </c>
      <c r="T170" s="126" t="str">
        <f t="shared" ref="T170:T175" si="116">IFERROR(R170/S170,"")</f>
        <v/>
      </c>
    </row>
    <row r="171" spans="3:44" ht="17.45" customHeight="1">
      <c r="C171" s="139" t="s">
        <v>83</v>
      </c>
      <c r="D171" s="111">
        <f t="shared" si="105"/>
        <v>0</v>
      </c>
      <c r="E171" s="111">
        <f t="shared" si="106"/>
        <v>0</v>
      </c>
      <c r="F171" s="111">
        <f t="shared" ref="F171:F179" si="117">D171+E171</f>
        <v>0</v>
      </c>
      <c r="G171" s="111">
        <f t="shared" si="107"/>
        <v>0</v>
      </c>
      <c r="H171" s="111">
        <f t="shared" si="108"/>
        <v>0</v>
      </c>
      <c r="I171" s="111"/>
      <c r="J171" s="119"/>
      <c r="K171" s="139" t="s">
        <v>119</v>
      </c>
      <c r="L171" s="202">
        <f t="shared" si="109"/>
        <v>0</v>
      </c>
      <c r="M171" s="202">
        <f t="shared" si="110"/>
        <v>0</v>
      </c>
      <c r="N171" s="202">
        <f t="shared" si="113"/>
        <v>0</v>
      </c>
      <c r="O171" s="202">
        <f t="shared" si="114"/>
        <v>0</v>
      </c>
      <c r="P171" s="202">
        <f t="shared" si="114"/>
        <v>0</v>
      </c>
      <c r="Q171" s="202">
        <f t="shared" si="115"/>
        <v>0</v>
      </c>
      <c r="R171" s="358">
        <f t="shared" si="111"/>
        <v>0</v>
      </c>
      <c r="S171" s="111">
        <f t="shared" si="112"/>
        <v>0</v>
      </c>
      <c r="T171" s="126" t="str">
        <f t="shared" si="116"/>
        <v/>
      </c>
    </row>
    <row r="172" spans="3:44" ht="17.45" customHeight="1">
      <c r="C172" s="139" t="s">
        <v>84</v>
      </c>
      <c r="D172" s="111">
        <f t="shared" si="105"/>
        <v>0</v>
      </c>
      <c r="E172" s="111">
        <f t="shared" si="106"/>
        <v>0</v>
      </c>
      <c r="F172" s="111">
        <f t="shared" si="117"/>
        <v>0</v>
      </c>
      <c r="G172" s="111">
        <f t="shared" si="107"/>
        <v>0</v>
      </c>
      <c r="H172" s="111">
        <f t="shared" si="108"/>
        <v>0</v>
      </c>
      <c r="I172" s="111"/>
      <c r="J172" s="119"/>
      <c r="K172" s="139" t="s">
        <v>113</v>
      </c>
      <c r="L172" s="202">
        <f t="shared" si="109"/>
        <v>0</v>
      </c>
      <c r="M172" s="202">
        <f t="shared" si="110"/>
        <v>0</v>
      </c>
      <c r="N172" s="202">
        <f t="shared" si="113"/>
        <v>0</v>
      </c>
      <c r="O172" s="202">
        <f t="shared" si="114"/>
        <v>0</v>
      </c>
      <c r="P172" s="202">
        <f t="shared" si="114"/>
        <v>0</v>
      </c>
      <c r="Q172" s="202">
        <f t="shared" si="115"/>
        <v>0</v>
      </c>
      <c r="R172" s="358">
        <f t="shared" si="111"/>
        <v>0</v>
      </c>
      <c r="S172" s="111">
        <f t="shared" si="112"/>
        <v>0</v>
      </c>
      <c r="T172" s="126" t="str">
        <f t="shared" si="116"/>
        <v/>
      </c>
    </row>
    <row r="173" spans="3:44" ht="17.45" customHeight="1">
      <c r="C173" s="139" t="s">
        <v>223</v>
      </c>
      <c r="D173" s="111">
        <f t="shared" si="105"/>
        <v>0</v>
      </c>
      <c r="E173" s="111">
        <f t="shared" si="106"/>
        <v>75355</v>
      </c>
      <c r="F173" s="111">
        <f t="shared" si="117"/>
        <v>75355</v>
      </c>
      <c r="G173" s="111">
        <f t="shared" si="107"/>
        <v>0</v>
      </c>
      <c r="H173" s="111">
        <f t="shared" si="108"/>
        <v>75.355000000000004</v>
      </c>
      <c r="I173" s="111"/>
      <c r="J173" s="119"/>
      <c r="K173" s="139" t="s">
        <v>120</v>
      </c>
      <c r="L173" s="202">
        <f t="shared" si="109"/>
        <v>0</v>
      </c>
      <c r="M173" s="202">
        <f t="shared" si="110"/>
        <v>0</v>
      </c>
      <c r="N173" s="202">
        <f t="shared" si="113"/>
        <v>0</v>
      </c>
      <c r="O173" s="202">
        <f t="shared" si="114"/>
        <v>0</v>
      </c>
      <c r="P173" s="202">
        <f t="shared" si="114"/>
        <v>0</v>
      </c>
      <c r="Q173" s="202">
        <f t="shared" si="115"/>
        <v>0</v>
      </c>
      <c r="R173" s="358">
        <f t="shared" si="111"/>
        <v>0</v>
      </c>
      <c r="S173" s="111">
        <f t="shared" si="112"/>
        <v>0</v>
      </c>
      <c r="T173" s="126" t="str">
        <f t="shared" si="116"/>
        <v/>
      </c>
      <c r="U173" s="57"/>
      <c r="V173" s="57"/>
      <c r="W173" s="57"/>
      <c r="X173" s="57"/>
      <c r="Y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</row>
    <row r="174" spans="3:44" ht="17.45" customHeight="1">
      <c r="C174" s="139" t="s">
        <v>158</v>
      </c>
      <c r="D174" s="111">
        <f t="shared" si="105"/>
        <v>0</v>
      </c>
      <c r="E174" s="111">
        <f t="shared" si="106"/>
        <v>0</v>
      </c>
      <c r="F174" s="111">
        <f t="shared" si="117"/>
        <v>0</v>
      </c>
      <c r="G174" s="111">
        <f t="shared" si="107"/>
        <v>0</v>
      </c>
      <c r="H174" s="111">
        <f t="shared" si="108"/>
        <v>0</v>
      </c>
      <c r="I174" s="111"/>
      <c r="J174" s="119"/>
      <c r="K174" s="139" t="s">
        <v>121</v>
      </c>
      <c r="L174" s="202">
        <f t="shared" si="109"/>
        <v>0</v>
      </c>
      <c r="M174" s="202">
        <f t="shared" si="110"/>
        <v>0</v>
      </c>
      <c r="N174" s="202">
        <f t="shared" si="113"/>
        <v>0</v>
      </c>
      <c r="O174" s="202">
        <f t="shared" si="114"/>
        <v>0</v>
      </c>
      <c r="P174" s="202">
        <f t="shared" si="114"/>
        <v>0</v>
      </c>
      <c r="Q174" s="202">
        <f t="shared" si="115"/>
        <v>0</v>
      </c>
      <c r="R174" s="358">
        <f t="shared" si="111"/>
        <v>0</v>
      </c>
      <c r="S174" s="111">
        <f t="shared" si="112"/>
        <v>0</v>
      </c>
      <c r="T174" s="126" t="str">
        <f>IFERROR(R174/S174,"")</f>
        <v/>
      </c>
      <c r="U174" s="57"/>
      <c r="V174" s="57"/>
      <c r="W174" s="57"/>
      <c r="X174" s="57"/>
      <c r="Y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</row>
    <row r="175" spans="3:44" ht="17.45" customHeight="1">
      <c r="C175" s="139" t="s">
        <v>518</v>
      </c>
      <c r="D175" s="111">
        <f t="shared" si="105"/>
        <v>0</v>
      </c>
      <c r="E175" s="111">
        <f t="shared" si="106"/>
        <v>0</v>
      </c>
      <c r="F175" s="111">
        <f t="shared" si="117"/>
        <v>0</v>
      </c>
      <c r="G175" s="111">
        <f t="shared" si="107"/>
        <v>0</v>
      </c>
      <c r="H175" s="111">
        <f t="shared" si="108"/>
        <v>0</v>
      </c>
      <c r="I175" s="111"/>
      <c r="J175" s="119"/>
      <c r="K175" s="139" t="s">
        <v>122</v>
      </c>
      <c r="L175" s="202">
        <f t="shared" si="109"/>
        <v>0</v>
      </c>
      <c r="M175" s="202">
        <f t="shared" si="110"/>
        <v>262082</v>
      </c>
      <c r="N175" s="202">
        <f>L175+M175</f>
        <v>262082</v>
      </c>
      <c r="O175" s="202">
        <f t="shared" si="114"/>
        <v>0</v>
      </c>
      <c r="P175" s="202">
        <f t="shared" si="114"/>
        <v>262.08199999999999</v>
      </c>
      <c r="Q175" s="202">
        <f t="shared" si="115"/>
        <v>262.08199999999999</v>
      </c>
      <c r="R175" s="358">
        <f t="shared" si="111"/>
        <v>51.994444444448163</v>
      </c>
      <c r="S175" s="111">
        <f t="shared" si="112"/>
        <v>2</v>
      </c>
      <c r="T175" s="126">
        <f t="shared" si="116"/>
        <v>25.997222222224082</v>
      </c>
      <c r="U175" s="57"/>
      <c r="V175" s="57"/>
      <c r="W175" s="57"/>
      <c r="X175" s="57"/>
      <c r="Y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</row>
    <row r="176" spans="3:44" ht="17.45" customHeight="1">
      <c r="C176" s="139" t="s">
        <v>96</v>
      </c>
      <c r="D176" s="111">
        <f t="shared" si="105"/>
        <v>0</v>
      </c>
      <c r="E176" s="111">
        <f t="shared" si="106"/>
        <v>0</v>
      </c>
      <c r="F176" s="111">
        <f t="shared" si="117"/>
        <v>0</v>
      </c>
      <c r="G176" s="111">
        <f t="shared" si="107"/>
        <v>0</v>
      </c>
      <c r="H176" s="111">
        <f t="shared" si="108"/>
        <v>0</v>
      </c>
      <c r="I176" s="142" t="s">
        <v>30</v>
      </c>
      <c r="J176" s="119"/>
      <c r="K176" s="139" t="s">
        <v>162</v>
      </c>
      <c r="L176" s="202">
        <f t="shared" si="109"/>
        <v>0</v>
      </c>
      <c r="M176" s="202">
        <f t="shared" si="110"/>
        <v>0</v>
      </c>
      <c r="N176" s="202">
        <f>L176+M176</f>
        <v>0</v>
      </c>
      <c r="O176" s="202">
        <f t="shared" si="114"/>
        <v>0</v>
      </c>
      <c r="P176" s="202">
        <f t="shared" si="114"/>
        <v>0</v>
      </c>
      <c r="Q176" s="202">
        <f t="shared" si="115"/>
        <v>0</v>
      </c>
      <c r="R176" s="358">
        <f t="shared" si="111"/>
        <v>0</v>
      </c>
      <c r="S176" s="111">
        <f t="shared" si="112"/>
        <v>0</v>
      </c>
      <c r="T176" s="126" t="str">
        <f>IFERROR(R176/S176,"")</f>
        <v/>
      </c>
      <c r="U176" s="57"/>
      <c r="V176" s="57"/>
      <c r="W176" s="57"/>
      <c r="X176" s="57"/>
      <c r="Y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</row>
    <row r="177" spans="3:44" ht="17.45" customHeight="1">
      <c r="C177" s="139" t="s">
        <v>86</v>
      </c>
      <c r="D177" s="111">
        <f t="shared" si="105"/>
        <v>0</v>
      </c>
      <c r="E177" s="111">
        <f t="shared" si="106"/>
        <v>0</v>
      </c>
      <c r="F177" s="111">
        <f t="shared" si="117"/>
        <v>0</v>
      </c>
      <c r="G177" s="111">
        <f t="shared" si="107"/>
        <v>0</v>
      </c>
      <c r="H177" s="111">
        <f t="shared" si="108"/>
        <v>0</v>
      </c>
      <c r="I177" s="111"/>
      <c r="J177" s="119"/>
      <c r="K177" s="232" t="s">
        <v>123</v>
      </c>
      <c r="L177" s="203">
        <f>SUM(L169:L176)</f>
        <v>0</v>
      </c>
      <c r="M177" s="203">
        <f t="shared" ref="M177:Q177" si="118">SUM(M169:M176)</f>
        <v>262082</v>
      </c>
      <c r="N177" s="203">
        <f t="shared" si="118"/>
        <v>262082</v>
      </c>
      <c r="O177" s="203">
        <f t="shared" si="118"/>
        <v>0</v>
      </c>
      <c r="P177" s="203">
        <f t="shared" si="118"/>
        <v>262.08199999999999</v>
      </c>
      <c r="Q177" s="203">
        <f t="shared" si="118"/>
        <v>262.08199999999999</v>
      </c>
      <c r="R177" s="359">
        <f>SUM(R169:R176)</f>
        <v>51.994444444448163</v>
      </c>
      <c r="S177" s="359">
        <f>SUM(S169:S176)</f>
        <v>2</v>
      </c>
      <c r="T177" s="359">
        <f>IFERROR(R177/S177,"")</f>
        <v>25.997222222224082</v>
      </c>
      <c r="U177" s="57"/>
      <c r="V177" s="57"/>
      <c r="W177" s="57"/>
      <c r="X177" s="57"/>
      <c r="Y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</row>
    <row r="178" spans="3:44" ht="17.45" customHeight="1">
      <c r="C178" s="139" t="s">
        <v>169</v>
      </c>
      <c r="D178" s="111">
        <f t="shared" si="105"/>
        <v>0</v>
      </c>
      <c r="E178" s="111">
        <f t="shared" si="106"/>
        <v>0</v>
      </c>
      <c r="F178" s="111">
        <f t="shared" si="117"/>
        <v>0</v>
      </c>
      <c r="G178" s="111">
        <f t="shared" si="107"/>
        <v>0</v>
      </c>
      <c r="H178" s="111">
        <f t="shared" si="108"/>
        <v>0</v>
      </c>
      <c r="I178" s="111"/>
      <c r="J178" s="119"/>
      <c r="L178" s="343" t="str">
        <f>IF(L177=E164,"","CHECK")</f>
        <v/>
      </c>
      <c r="M178" s="343" t="str">
        <f>IF(M177=F164,"","CHECK")</f>
        <v/>
      </c>
      <c r="N178" s="343" t="str">
        <f>IF(N177=G164,"","CHECK")</f>
        <v/>
      </c>
      <c r="T178" s="343" t="str">
        <f>IF(T177=J190,"","CHECK")</f>
        <v>CHECK</v>
      </c>
      <c r="U178" s="57"/>
      <c r="V178" s="57"/>
      <c r="W178" s="57"/>
      <c r="X178" s="57"/>
      <c r="Y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</row>
    <row r="179" spans="3:44" ht="17.45" customHeight="1">
      <c r="C179" s="139" t="s">
        <v>155</v>
      </c>
      <c r="D179" s="111">
        <f t="shared" si="105"/>
        <v>0</v>
      </c>
      <c r="E179" s="111">
        <f t="shared" si="106"/>
        <v>0</v>
      </c>
      <c r="F179" s="111">
        <f t="shared" si="117"/>
        <v>0</v>
      </c>
      <c r="G179" s="111">
        <f t="shared" si="107"/>
        <v>0</v>
      </c>
      <c r="H179" s="111">
        <f t="shared" si="108"/>
        <v>0</v>
      </c>
      <c r="I179" s="111"/>
      <c r="J179" s="119"/>
      <c r="L179" s="239" t="s">
        <v>754</v>
      </c>
      <c r="M179" s="283" t="s">
        <v>755</v>
      </c>
      <c r="N179" s="384">
        <f>1550000-N175</f>
        <v>1287918</v>
      </c>
      <c r="Q179" s="360" t="s">
        <v>161</v>
      </c>
      <c r="R179" s="359">
        <f>SUM(R169:R174)</f>
        <v>0</v>
      </c>
      <c r="S179" s="359">
        <f>SUM(S169:S174)</f>
        <v>0</v>
      </c>
      <c r="T179" s="359" t="str">
        <f>IFERROR(R179/S179,"")</f>
        <v/>
      </c>
      <c r="U179" s="57"/>
      <c r="V179" s="57"/>
      <c r="W179" s="57"/>
      <c r="X179" s="57"/>
      <c r="Y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</row>
    <row r="180" spans="3:44" ht="17.45" customHeight="1">
      <c r="C180" s="113" t="s">
        <v>61</v>
      </c>
      <c r="D180" s="114">
        <f>SUM(D167:D179)</f>
        <v>0</v>
      </c>
      <c r="E180" s="114">
        <f>SUM(E169:E179)</f>
        <v>262082</v>
      </c>
      <c r="F180" s="114">
        <f>SUM(F169:F179)</f>
        <v>262082</v>
      </c>
      <c r="G180" s="114">
        <f>SUM(G169:G179)</f>
        <v>2</v>
      </c>
      <c r="H180" s="114">
        <f>SUM(H169:H179)</f>
        <v>262.08199999999999</v>
      </c>
      <c r="I180" s="114"/>
      <c r="J180" s="119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</row>
    <row r="181" spans="3:44" ht="17.45" customHeight="1" thickBot="1">
      <c r="C181" s="151" t="s">
        <v>87</v>
      </c>
      <c r="D181" s="152"/>
      <c r="E181" s="152"/>
      <c r="F181" s="153"/>
      <c r="G181" s="143"/>
      <c r="H181" s="144">
        <f>F181/1000</f>
        <v>0</v>
      </c>
      <c r="I181" s="145"/>
      <c r="J181" s="119"/>
      <c r="U181" s="57"/>
      <c r="V181" s="57"/>
      <c r="W181" s="57"/>
      <c r="X181" s="57"/>
      <c r="Y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</row>
    <row r="182" spans="3:44" ht="17.45" customHeight="1" thickTop="1" thickBot="1">
      <c r="C182" s="151" t="s">
        <v>57</v>
      </c>
      <c r="D182" s="122"/>
      <c r="E182" s="122"/>
      <c r="F182" s="140">
        <f>SUM(F180:F181)</f>
        <v>262082</v>
      </c>
      <c r="G182" s="122"/>
      <c r="H182" s="199">
        <f>SUM(H180:H181)</f>
        <v>262.08199999999999</v>
      </c>
      <c r="I182" s="344" t="str">
        <f>IF(H182=Y167,"","CHECK")</f>
        <v/>
      </c>
      <c r="J182" s="119"/>
      <c r="L182" s="221"/>
      <c r="U182" s="57"/>
      <c r="V182" s="57"/>
      <c r="W182" s="57"/>
      <c r="X182" s="57"/>
      <c r="Y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</row>
    <row r="183" spans="3:44" ht="17.45" customHeight="1" thickTop="1">
      <c r="C183" s="137"/>
      <c r="D183" s="122"/>
      <c r="E183" s="122"/>
      <c r="F183" s="154"/>
      <c r="G183" s="122"/>
      <c r="H183" s="122"/>
      <c r="I183" s="137"/>
      <c r="J183" s="119"/>
      <c r="U183" s="57"/>
      <c r="V183" s="57"/>
      <c r="W183" s="57"/>
      <c r="X183" s="57"/>
      <c r="Y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</row>
    <row r="184" spans="3:44" ht="17.45" customHeight="1">
      <c r="C184" s="1099" t="s">
        <v>174</v>
      </c>
      <c r="D184" s="1100" t="s">
        <v>52</v>
      </c>
      <c r="E184" s="1100"/>
      <c r="F184" s="1100"/>
      <c r="G184" s="1100" t="s">
        <v>73</v>
      </c>
      <c r="H184" s="1100" t="s">
        <v>75</v>
      </c>
      <c r="I184" s="1101" t="s">
        <v>72</v>
      </c>
      <c r="J184" s="1101"/>
      <c r="U184" s="57"/>
      <c r="V184" s="57"/>
      <c r="W184" s="57"/>
      <c r="X184" s="57"/>
      <c r="Y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</row>
    <row r="185" spans="3:44" ht="17.45" customHeight="1">
      <c r="C185" s="1099"/>
      <c r="D185" s="233" t="s">
        <v>55</v>
      </c>
      <c r="E185" s="233" t="s">
        <v>56</v>
      </c>
      <c r="F185" s="233" t="s">
        <v>57</v>
      </c>
      <c r="G185" s="1100"/>
      <c r="H185" s="1100"/>
      <c r="I185" s="234" t="s">
        <v>89</v>
      </c>
      <c r="J185" s="234" t="s">
        <v>90</v>
      </c>
      <c r="U185" s="57"/>
      <c r="V185" s="57"/>
      <c r="W185" s="57"/>
      <c r="X185" s="57"/>
      <c r="Y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</row>
    <row r="186" spans="3:44" ht="17.45" customHeight="1">
      <c r="C186" s="138" t="s">
        <v>91</v>
      </c>
      <c r="D186" s="111">
        <f>SUMIF($W$12:$W$106,C186,$M$12:$M$106)</f>
        <v>0</v>
      </c>
      <c r="E186" s="111">
        <f>SUMIF($W$12:$W$106,C186,$N$12:$N$106)</f>
        <v>0</v>
      </c>
      <c r="F186" s="111">
        <f>D186+E186</f>
        <v>0</v>
      </c>
      <c r="G186" s="111">
        <f>SUMIF($W$12:$W$106,C186,$BA$12:$BA$106)</f>
        <v>0</v>
      </c>
      <c r="H186" s="111">
        <f>F186/1000</f>
        <v>0</v>
      </c>
      <c r="I186" s="126">
        <f>SUMIF($W$12:$W$106,C186,$J$12:$J$106)</f>
        <v>0</v>
      </c>
      <c r="J186" s="141" t="str">
        <f>IFERROR(I186/G186,"")</f>
        <v/>
      </c>
      <c r="U186" s="57"/>
      <c r="V186" s="57"/>
      <c r="W186" s="57"/>
      <c r="X186" s="57"/>
      <c r="Y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</row>
    <row r="187" spans="3:44" ht="17.45" customHeight="1">
      <c r="C187" s="138" t="s">
        <v>92</v>
      </c>
      <c r="D187" s="111">
        <f>SUMIF($W$12:$W$106,C187,$M$12:$M$106)</f>
        <v>0</v>
      </c>
      <c r="E187" s="111">
        <f>SUMIF($W$12:$W$106,C187,$N$12:$N$106)</f>
        <v>216082</v>
      </c>
      <c r="F187" s="111">
        <f t="shared" ref="F187:F189" si="119">D187+E187</f>
        <v>216082</v>
      </c>
      <c r="G187" s="111">
        <f>SUMIF($W$12:$W$106,C187,$BA$12:$BA$106)</f>
        <v>1</v>
      </c>
      <c r="H187" s="111">
        <f>F187/1000</f>
        <v>216.08199999999999</v>
      </c>
      <c r="I187" s="126">
        <f>SUMIF($W$12:$W$106,C187,$J$12:$J$106)</f>
        <v>41.598611111112405</v>
      </c>
      <c r="J187" s="141">
        <f>IFERROR(I187/G187,"")</f>
        <v>41.598611111112405</v>
      </c>
      <c r="U187" s="57"/>
      <c r="V187" s="57"/>
      <c r="W187" s="57"/>
      <c r="X187" s="57"/>
      <c r="Y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</row>
    <row r="188" spans="3:44" ht="17.45" customHeight="1">
      <c r="C188" s="138" t="s">
        <v>93</v>
      </c>
      <c r="D188" s="111">
        <f>SUMIF($W$12:$W$106,C188,$M$12:$M$106)</f>
        <v>0</v>
      </c>
      <c r="E188" s="111">
        <f>SUMIF($W$12:$W$106,C188,$N$12:$N$106)</f>
        <v>0</v>
      </c>
      <c r="F188" s="111">
        <f t="shared" si="119"/>
        <v>0</v>
      </c>
      <c r="G188" s="111">
        <f>SUMIF($W$12:$W$106,C188,$BA$12:$BA$106)</f>
        <v>0</v>
      </c>
      <c r="H188" s="111">
        <f>F188/1000</f>
        <v>0</v>
      </c>
      <c r="I188" s="126">
        <f>SUMIF($W$12:$W$106,C188,$J$12:$J$106)</f>
        <v>0</v>
      </c>
      <c r="J188" s="141" t="str">
        <f>IFERROR(I188/G188,"")</f>
        <v/>
      </c>
      <c r="U188" s="57"/>
      <c r="V188" s="57"/>
      <c r="W188" s="57"/>
      <c r="X188" s="57"/>
      <c r="Y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</row>
    <row r="189" spans="3:44" ht="17.45" customHeight="1" thickBot="1">
      <c r="C189" s="138" t="s">
        <v>94</v>
      </c>
      <c r="D189" s="111">
        <f>SUMIF($W$12:$W$106,C189,$M$12:$M$106)</f>
        <v>0</v>
      </c>
      <c r="E189" s="111">
        <f>SUMIF($W$12:$W$106,C189,$N$12:$N$106)</f>
        <v>0</v>
      </c>
      <c r="F189" s="111">
        <f t="shared" si="119"/>
        <v>0</v>
      </c>
      <c r="G189" s="111">
        <f>SUMIF($W$12:$W$106,C189,$BA$12:$BA$106)</f>
        <v>0</v>
      </c>
      <c r="H189" s="111">
        <f>F189/1000</f>
        <v>0</v>
      </c>
      <c r="I189" s="126">
        <f>SUMIF($W$12:$W$106,C189,$J$12:$J$106)</f>
        <v>0</v>
      </c>
      <c r="J189" s="190" t="str">
        <f>IFERROR(I189/G189,"")</f>
        <v/>
      </c>
      <c r="U189" s="57"/>
      <c r="V189" s="57"/>
      <c r="W189" s="57"/>
      <c r="X189" s="57"/>
      <c r="Y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</row>
    <row r="190" spans="3:44" ht="17.45" customHeight="1" thickBot="1">
      <c r="C190" s="113" t="s">
        <v>61</v>
      </c>
      <c r="D190" s="114">
        <f t="shared" ref="D190:I190" si="120">SUM(D186:D189)</f>
        <v>0</v>
      </c>
      <c r="E190" s="114">
        <f t="shared" si="120"/>
        <v>216082</v>
      </c>
      <c r="F190" s="114">
        <f t="shared" si="120"/>
        <v>216082</v>
      </c>
      <c r="G190" s="114">
        <f t="shared" si="120"/>
        <v>1</v>
      </c>
      <c r="H190" s="114">
        <f t="shared" si="120"/>
        <v>216.08199999999999</v>
      </c>
      <c r="I190" s="189">
        <f t="shared" si="120"/>
        <v>41.598611111112405</v>
      </c>
      <c r="J190" s="191">
        <f>IFERROR(I190/G190,"")</f>
        <v>41.598611111112405</v>
      </c>
    </row>
  </sheetData>
  <mergeCells count="60">
    <mergeCell ref="C184:C185"/>
    <mergeCell ref="D184:F184"/>
    <mergeCell ref="G184:G185"/>
    <mergeCell ref="H184:H185"/>
    <mergeCell ref="I184:J184"/>
    <mergeCell ref="G167:G168"/>
    <mergeCell ref="H167:H168"/>
    <mergeCell ref="I167:I168"/>
    <mergeCell ref="S136:S137"/>
    <mergeCell ref="U136:U137"/>
    <mergeCell ref="K167:K168"/>
    <mergeCell ref="L167:N167"/>
    <mergeCell ref="O167:Q167"/>
    <mergeCell ref="R167:R168"/>
    <mergeCell ref="S167:S168"/>
    <mergeCell ref="C138:C145"/>
    <mergeCell ref="C146:C163"/>
    <mergeCell ref="C164:D164"/>
    <mergeCell ref="C167:C168"/>
    <mergeCell ref="D167:F167"/>
    <mergeCell ref="X12:X13"/>
    <mergeCell ref="U12:U13"/>
    <mergeCell ref="V12:V13"/>
    <mergeCell ref="T167:T168"/>
    <mergeCell ref="Z136:Z137"/>
    <mergeCell ref="V136:V137"/>
    <mergeCell ref="W136:W137"/>
    <mergeCell ref="X136:X137"/>
    <mergeCell ref="Y136:Y137"/>
    <mergeCell ref="W12:W13"/>
    <mergeCell ref="D57:D58"/>
    <mergeCell ref="C136:D137"/>
    <mergeCell ref="E136:G136"/>
    <mergeCell ref="H136:J136"/>
    <mergeCell ref="K136:M136"/>
    <mergeCell ref="K128:R128"/>
    <mergeCell ref="P136:P137"/>
    <mergeCell ref="Q136:Q137"/>
    <mergeCell ref="R136:R137"/>
    <mergeCell ref="AO12:AO13"/>
    <mergeCell ref="AR12:AR13"/>
    <mergeCell ref="Y12:Y13"/>
    <mergeCell ref="Z12:Z13"/>
    <mergeCell ref="AA12:AA13"/>
    <mergeCell ref="AA136:AA137"/>
    <mergeCell ref="C2:AR2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AN12:AN13"/>
    <mergeCell ref="N12:N13"/>
    <mergeCell ref="O12:O13"/>
    <mergeCell ref="R12:R13"/>
    <mergeCell ref="S12:S13"/>
  </mergeCells>
  <phoneticPr fontId="10" type="noConversion"/>
  <conditionalFormatting sqref="R50">
    <cfRule type="uniqueValues" dxfId="3" priority="4"/>
  </conditionalFormatting>
  <conditionalFormatting sqref="R55:R56">
    <cfRule type="uniqueValues" dxfId="2" priority="3"/>
  </conditionalFormatting>
  <conditionalFormatting sqref="R57:R59">
    <cfRule type="uniqueValues" dxfId="1" priority="2"/>
  </conditionalFormatting>
  <conditionalFormatting sqref="R64:R65">
    <cfRule type="uniqueValues" dxfId="0" priority="1"/>
  </conditionalFormatting>
  <printOptions horizontalCentered="1"/>
  <pageMargins left="0.39370078740157483" right="0.39370078740157483" top="0.39370078740157483" bottom="0.39370078740157483" header="0.31496062992125984" footer="0.31496062992125984"/>
  <pageSetup paperSize="9"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H8:R20"/>
  <sheetViews>
    <sheetView workbookViewId="0">
      <selection activeCell="H9" sqref="H9:R20"/>
    </sheetView>
  </sheetViews>
  <sheetFormatPr defaultRowHeight="16.5"/>
  <cols>
    <col min="13" max="13" width="11" bestFit="1" customWidth="1"/>
    <col min="14" max="14" width="11.875" bestFit="1" customWidth="1"/>
  </cols>
  <sheetData>
    <row r="8" spans="8:18" ht="17.25" thickBot="1"/>
    <row r="9" spans="8:18" ht="17.25" thickBot="1">
      <c r="H9" s="807">
        <v>1</v>
      </c>
      <c r="I9" s="803">
        <v>45810</v>
      </c>
      <c r="J9" s="803">
        <v>45810</v>
      </c>
      <c r="K9" s="804">
        <v>1728272</v>
      </c>
      <c r="L9" s="804">
        <v>172827</v>
      </c>
      <c r="M9" s="804">
        <v>1901099</v>
      </c>
      <c r="N9" s="805">
        <v>4748000</v>
      </c>
      <c r="O9" s="803">
        <v>45838</v>
      </c>
      <c r="P9" s="806"/>
      <c r="Q9" s="806"/>
      <c r="R9" s="806"/>
    </row>
    <row r="10" spans="8:18" ht="17.25" thickBot="1">
      <c r="H10" s="807">
        <v>2</v>
      </c>
      <c r="I10" s="803">
        <v>45812</v>
      </c>
      <c r="J10" s="803">
        <v>45812</v>
      </c>
      <c r="K10" s="804">
        <v>10010000</v>
      </c>
      <c r="L10" s="804">
        <v>1001000</v>
      </c>
      <c r="M10" s="804">
        <v>11011000</v>
      </c>
      <c r="N10" s="805">
        <v>27500000</v>
      </c>
      <c r="O10" s="803">
        <v>45838</v>
      </c>
      <c r="P10" s="806"/>
      <c r="Q10" s="806"/>
      <c r="R10" s="806"/>
    </row>
    <row r="11" spans="8:18" ht="17.25" thickBot="1">
      <c r="H11" s="807">
        <v>3</v>
      </c>
      <c r="I11" s="803">
        <v>45813</v>
      </c>
      <c r="J11" s="803">
        <v>45813</v>
      </c>
      <c r="K11" s="804">
        <v>1954316</v>
      </c>
      <c r="L11" s="804">
        <v>195432</v>
      </c>
      <c r="M11" s="804">
        <v>2149748</v>
      </c>
      <c r="N11" s="805">
        <v>5369000</v>
      </c>
      <c r="O11" s="803">
        <v>45838</v>
      </c>
      <c r="P11" s="806"/>
      <c r="Q11" s="806"/>
      <c r="R11" s="806"/>
    </row>
    <row r="12" spans="8:18" ht="17.25" thickBot="1">
      <c r="H12" s="807">
        <v>4</v>
      </c>
      <c r="I12" s="803">
        <v>45817</v>
      </c>
      <c r="J12" s="803">
        <v>45817</v>
      </c>
      <c r="K12" s="804">
        <v>4779320</v>
      </c>
      <c r="L12" s="804">
        <v>477932</v>
      </c>
      <c r="M12" s="804">
        <v>5257252</v>
      </c>
      <c r="N12" s="805">
        <v>13130000</v>
      </c>
      <c r="O12" s="803">
        <v>45838</v>
      </c>
      <c r="P12" s="806"/>
      <c r="Q12" s="806"/>
      <c r="R12" s="806"/>
    </row>
    <row r="13" spans="8:18" ht="17.25" thickBot="1">
      <c r="H13" s="807">
        <v>5</v>
      </c>
      <c r="I13" s="803">
        <v>45818</v>
      </c>
      <c r="J13" s="803">
        <v>45818</v>
      </c>
      <c r="K13" s="804">
        <v>1928108</v>
      </c>
      <c r="L13" s="804">
        <v>192811</v>
      </c>
      <c r="M13" s="804">
        <v>2120919</v>
      </c>
      <c r="N13" s="805">
        <v>5297000</v>
      </c>
      <c r="O13" s="803">
        <v>45838</v>
      </c>
      <c r="P13" s="806"/>
      <c r="Q13" s="806"/>
      <c r="R13" s="806"/>
    </row>
    <row r="14" spans="8:18" ht="17.25" thickBot="1">
      <c r="H14" s="807">
        <v>6</v>
      </c>
      <c r="I14" s="803">
        <v>45823</v>
      </c>
      <c r="J14" s="803">
        <v>45823</v>
      </c>
      <c r="K14" s="804">
        <v>9100000</v>
      </c>
      <c r="L14" s="804">
        <v>910000</v>
      </c>
      <c r="M14" s="804">
        <v>10010000</v>
      </c>
      <c r="N14" s="805">
        <v>25000000</v>
      </c>
      <c r="O14" s="803">
        <v>45838</v>
      </c>
      <c r="P14" s="806"/>
      <c r="Q14" s="806"/>
      <c r="R14" s="806"/>
    </row>
    <row r="15" spans="8:18" ht="17.25" thickBot="1">
      <c r="H15" s="807">
        <v>7</v>
      </c>
      <c r="I15" s="803">
        <v>45824</v>
      </c>
      <c r="J15" s="803">
        <v>45824</v>
      </c>
      <c r="K15" s="804">
        <v>11736816</v>
      </c>
      <c r="L15" s="804">
        <v>1173682</v>
      </c>
      <c r="M15" s="804">
        <v>12910498</v>
      </c>
      <c r="N15" s="805">
        <v>32244000</v>
      </c>
      <c r="O15" s="803">
        <v>45838</v>
      </c>
      <c r="P15" s="806"/>
      <c r="Q15" s="806"/>
      <c r="R15" s="806"/>
    </row>
    <row r="16" spans="8:18" ht="17.25" thickBot="1">
      <c r="H16" s="807">
        <v>8</v>
      </c>
      <c r="I16" s="803">
        <v>45826</v>
      </c>
      <c r="J16" s="803">
        <v>45826</v>
      </c>
      <c r="K16" s="804">
        <v>4834648</v>
      </c>
      <c r="L16" s="804">
        <v>483465</v>
      </c>
      <c r="M16" s="804">
        <v>5318113</v>
      </c>
      <c r="N16" s="805">
        <v>13282000</v>
      </c>
      <c r="O16" s="803">
        <v>45838</v>
      </c>
      <c r="P16" s="806"/>
      <c r="Q16" s="806"/>
      <c r="R16" s="806"/>
    </row>
    <row r="17" spans="8:18" ht="17.25" thickBot="1">
      <c r="H17" s="807">
        <v>9</v>
      </c>
      <c r="I17" s="803">
        <v>45828</v>
      </c>
      <c r="J17" s="803">
        <v>45828</v>
      </c>
      <c r="K17" s="804">
        <v>10010000</v>
      </c>
      <c r="L17" s="804">
        <v>1001000</v>
      </c>
      <c r="M17" s="804">
        <v>11011000</v>
      </c>
      <c r="N17" s="805">
        <v>27500000</v>
      </c>
      <c r="O17" s="803">
        <v>45838</v>
      </c>
      <c r="P17" s="806"/>
      <c r="Q17" s="806"/>
      <c r="R17" s="806"/>
    </row>
    <row r="18" spans="8:18" ht="17.25" thickBot="1">
      <c r="H18" s="807">
        <v>10</v>
      </c>
      <c r="I18" s="803">
        <v>45831</v>
      </c>
      <c r="J18" s="803">
        <v>45831</v>
      </c>
      <c r="K18" s="804">
        <v>10991708</v>
      </c>
      <c r="L18" s="804">
        <v>1099171</v>
      </c>
      <c r="M18" s="804">
        <v>12090879</v>
      </c>
      <c r="N18" s="805">
        <v>30197000</v>
      </c>
      <c r="O18" s="803">
        <v>45838</v>
      </c>
      <c r="P18" s="806"/>
      <c r="Q18" s="806"/>
      <c r="R18" s="806"/>
    </row>
    <row r="19" spans="8:18" ht="17.25" thickBot="1">
      <c r="H19" s="807">
        <v>11</v>
      </c>
      <c r="I19" s="803">
        <v>45834</v>
      </c>
      <c r="J19" s="803">
        <v>45834</v>
      </c>
      <c r="K19" s="804">
        <v>3892616</v>
      </c>
      <c r="L19" s="804">
        <v>389262</v>
      </c>
      <c r="M19" s="804">
        <v>4281878</v>
      </c>
      <c r="N19" s="805">
        <v>10694000</v>
      </c>
      <c r="O19" s="803">
        <v>45838</v>
      </c>
      <c r="P19" s="806"/>
      <c r="Q19" s="806"/>
      <c r="R19" s="806"/>
    </row>
    <row r="20" spans="8:18" ht="17.25" thickBot="1">
      <c r="H20" s="807">
        <v>12</v>
      </c>
      <c r="I20" s="803">
        <v>45838</v>
      </c>
      <c r="J20" s="803">
        <v>45838</v>
      </c>
      <c r="K20" s="804">
        <v>6273176</v>
      </c>
      <c r="L20" s="804">
        <v>627318</v>
      </c>
      <c r="M20" s="804">
        <v>6900494</v>
      </c>
      <c r="N20" s="805">
        <v>17234000</v>
      </c>
      <c r="O20" s="803">
        <v>45838</v>
      </c>
      <c r="P20" s="806"/>
      <c r="Q20" s="806"/>
      <c r="R20" s="806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5</vt:i4>
      </vt:variant>
    </vt:vector>
  </HeadingPairs>
  <TitlesOfParts>
    <vt:vector size="14" baseType="lpstr">
      <vt:lpstr>CTS 반입선박</vt:lpstr>
      <vt:lpstr>7선석 접안(니켈)</vt:lpstr>
      <vt:lpstr>CTS 반입선박(항만공사 송부용)</vt:lpstr>
      <vt:lpstr>Test</vt:lpstr>
      <vt:lpstr>2023년 하역스케쥴</vt:lpstr>
      <vt:lpstr>해송+육송 반출실적</vt:lpstr>
      <vt:lpstr>반입모선 이적작업 관리</vt:lpstr>
      <vt:lpstr>(이력관리용)</vt:lpstr>
      <vt:lpstr>Sheet1</vt:lpstr>
      <vt:lpstr>'(이력관리용)'!Print_Area</vt:lpstr>
      <vt:lpstr>'2023년 하역스케쥴'!Print_Area</vt:lpstr>
      <vt:lpstr>'7선석 접안(니켈)'!Print_Area</vt:lpstr>
      <vt:lpstr>'CTS 반입선박'!Print_Area</vt:lpstr>
      <vt:lpstr>'CTS 반입선박(항만공사 송부용)'!Print_Area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SNNC</dc:creator>
  <cp:lastModifiedBy>박시진(Park Si Jin)_과장_광양CTS섹션</cp:lastModifiedBy>
  <cp:lastPrinted>2026-03-19T04:21:00Z</cp:lastPrinted>
  <dcterms:created xsi:type="dcterms:W3CDTF">2016-02-02T01:17:40Z</dcterms:created>
  <dcterms:modified xsi:type="dcterms:W3CDTF">2026-03-24T06:10:47Z</dcterms:modified>
</cp:coreProperties>
</file>
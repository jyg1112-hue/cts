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Rayful2_Docs\joyg1112\CHECKOUT\26042416055143\"/>
    </mc:Choice>
  </mc:AlternateContent>
  <xr:revisionPtr revIDLastSave="0" documentId="13_ncr:1_{08B81084-C2A5-484B-B892-568D8831DB36}" xr6:coauthVersionLast="47" xr6:coauthVersionMax="47" xr10:uidLastSave="{00000000-0000-0000-0000-000000000000}"/>
  <bookViews>
    <workbookView xWindow="28680" yWindow="-120" windowWidth="29040" windowHeight="15720" tabRatio="634" firstSheet="1" activeTab="1" xr2:uid="{00000000-000D-0000-FFFF-FFFF00000000}"/>
  </bookViews>
  <sheets>
    <sheet name="Sheet2" sheetId="189" state="hidden" r:id="rId1"/>
    <sheet name="반출입스케줄" sheetId="193" r:id="rId2"/>
    <sheet name="Time table (2)" sheetId="194" r:id="rId3"/>
    <sheet name="Sheet1" sheetId="191" r:id="rId4"/>
  </sheets>
  <definedNames>
    <definedName name="_xlnm.Print_Area" localSheetId="2">'Time table (2)'!$A$1:$BQ$8</definedName>
    <definedName name="_xlnm.Print_Area" localSheetId="1">반출입스케줄!$A$2:$Q$1234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7" i="193" l="1"/>
  <c r="G839" i="193"/>
  <c r="G810" i="193"/>
  <c r="G809" i="193"/>
  <c r="G807" i="193"/>
  <c r="G805" i="193"/>
  <c r="G798" i="193"/>
  <c r="G799" i="193" s="1"/>
  <c r="G796" i="193"/>
  <c r="G790" i="193"/>
  <c r="G785" i="193"/>
  <c r="G779" i="193"/>
  <c r="G776" i="193"/>
  <c r="G774" i="193"/>
  <c r="G773" i="193"/>
  <c r="G739" i="193"/>
  <c r="G738" i="193"/>
  <c r="G733" i="193"/>
  <c r="G704" i="193"/>
  <c r="G677" i="193"/>
  <c r="G659" i="193"/>
  <c r="G655" i="193"/>
  <c r="G642" i="193"/>
  <c r="G640" i="193"/>
  <c r="G572" i="193"/>
  <c r="G504" i="193"/>
  <c r="G486" i="193"/>
  <c r="G474" i="193"/>
  <c r="G368" i="193"/>
  <c r="G357" i="193"/>
  <c r="G355" i="193"/>
  <c r="G350" i="193"/>
  <c r="G347" i="193"/>
  <c r="G313" i="193"/>
  <c r="G303" i="193"/>
  <c r="G301" i="193"/>
  <c r="G253" i="193"/>
  <c r="G233" i="193"/>
  <c r="G130" i="193"/>
  <c r="G99" i="193"/>
  <c r="G95" i="193"/>
  <c r="G61" i="193"/>
  <c r="G52" i="193"/>
  <c r="G12" i="193"/>
  <c r="BH2" i="194" l="1"/>
  <c r="BI2" i="194" s="1"/>
  <c r="BJ2" i="194" s="1"/>
  <c r="BK2" i="194" s="1"/>
  <c r="BL2" i="194" s="1"/>
  <c r="BM2" i="194" s="1"/>
  <c r="BN2" i="194" s="1"/>
  <c r="BO2" i="194" s="1"/>
  <c r="BP2" i="194" s="1"/>
  <c r="BQ2" i="194" s="1"/>
  <c r="BR2" i="194" s="1"/>
  <c r="BS2" i="194" s="1"/>
  <c r="BT2" i="194" s="1"/>
  <c r="BU2" i="194" s="1"/>
  <c r="BV2" i="194" s="1"/>
  <c r="BW2" i="194" s="1"/>
  <c r="BX2" i="194" s="1"/>
  <c r="BY2" i="194" s="1"/>
  <c r="BH16" i="189" l="1"/>
  <c r="BH17" i="189"/>
  <c r="BH18" i="189"/>
  <c r="BI18" i="189" l="1"/>
  <c r="BI17" i="189"/>
  <c r="BI16" i="189"/>
</calcChain>
</file>

<file path=xl/sharedStrings.xml><?xml version="1.0" encoding="utf-8"?>
<sst xmlns="http://schemas.openxmlformats.org/spreadsheetml/2006/main" count="6839" uniqueCount="1398">
  <si>
    <t>선 명</t>
    <phoneticPr fontId="5" type="noConversion"/>
  </si>
  <si>
    <t>탄 종</t>
    <phoneticPr fontId="5" type="noConversion"/>
  </si>
  <si>
    <t>수요가</t>
    <phoneticPr fontId="5" type="noConversion"/>
  </si>
  <si>
    <t>수량(톤)</t>
    <phoneticPr fontId="5" type="noConversion"/>
  </si>
  <si>
    <t>입항(예정)</t>
    <phoneticPr fontId="4" type="noConversion"/>
  </si>
  <si>
    <t>구간</t>
    <phoneticPr fontId="4" type="noConversion"/>
  </si>
  <si>
    <t>야드</t>
    <phoneticPr fontId="5" type="noConversion"/>
  </si>
  <si>
    <t>이항양하</t>
    <phoneticPr fontId="4" type="noConversion"/>
  </si>
  <si>
    <t>SV요청</t>
    <phoneticPr fontId="4" type="noConversion"/>
  </si>
  <si>
    <t>S</t>
    <phoneticPr fontId="4" type="noConversion"/>
  </si>
  <si>
    <t>비고</t>
    <phoneticPr fontId="4" type="noConversion"/>
  </si>
  <si>
    <t>X</t>
    <phoneticPr fontId="4" type="noConversion"/>
  </si>
  <si>
    <t>중국</t>
    <phoneticPr fontId="4" type="noConversion"/>
  </si>
  <si>
    <t>남동발전</t>
    <phoneticPr fontId="4" type="noConversion"/>
  </si>
  <si>
    <t>인니</t>
    <phoneticPr fontId="4" type="noConversion"/>
  </si>
  <si>
    <t>V</t>
    <phoneticPr fontId="4" type="noConversion"/>
  </si>
  <si>
    <t>O</t>
    <phoneticPr fontId="4" type="noConversion"/>
  </si>
  <si>
    <t>Y</t>
    <phoneticPr fontId="4" type="noConversion"/>
  </si>
  <si>
    <t>T</t>
    <phoneticPr fontId="4" type="noConversion"/>
  </si>
  <si>
    <t>U</t>
    <phoneticPr fontId="4" type="noConversion"/>
  </si>
  <si>
    <t>한화에너지</t>
    <phoneticPr fontId="4" type="noConversion"/>
  </si>
  <si>
    <t>미국(P-COKE)</t>
    <phoneticPr fontId="4" type="noConversion"/>
  </si>
  <si>
    <t>인니(KCH)</t>
    <phoneticPr fontId="4" type="noConversion"/>
  </si>
  <si>
    <t>선별</t>
    <phoneticPr fontId="4" type="noConversion"/>
  </si>
  <si>
    <t>10-160</t>
    <phoneticPr fontId="4" type="noConversion"/>
  </si>
  <si>
    <t>300-400</t>
    <phoneticPr fontId="4" type="noConversion"/>
  </si>
  <si>
    <t>러시아</t>
    <phoneticPr fontId="4" type="noConversion"/>
  </si>
  <si>
    <t xml:space="preserve"> </t>
    <phoneticPr fontId="4" type="noConversion"/>
  </si>
  <si>
    <t>250-400</t>
    <phoneticPr fontId="4" type="noConversion"/>
  </si>
  <si>
    <t>290-400</t>
    <phoneticPr fontId="4" type="noConversion"/>
  </si>
  <si>
    <t>320-400</t>
    <phoneticPr fontId="4" type="noConversion"/>
  </si>
  <si>
    <t>JK군장호</t>
    <phoneticPr fontId="4" type="noConversion"/>
  </si>
  <si>
    <t>150-0</t>
    <phoneticPr fontId="4" type="noConversion"/>
  </si>
  <si>
    <t>접안(예정)</t>
    <phoneticPr fontId="4" type="noConversion"/>
  </si>
  <si>
    <t>180-300</t>
    <phoneticPr fontId="4" type="noConversion"/>
  </si>
  <si>
    <t>310-400</t>
    <phoneticPr fontId="4" type="noConversion"/>
  </si>
  <si>
    <t>110-400</t>
    <phoneticPr fontId="4" type="noConversion"/>
  </si>
  <si>
    <t>0-220</t>
    <phoneticPr fontId="4" type="noConversion"/>
  </si>
  <si>
    <t>호주</t>
    <phoneticPr fontId="4" type="noConversion"/>
  </si>
  <si>
    <t>SNNC</t>
    <phoneticPr fontId="4" type="noConversion"/>
  </si>
  <si>
    <t>330-400</t>
    <phoneticPr fontId="4" type="noConversion"/>
  </si>
  <si>
    <t>OCI SE</t>
    <phoneticPr fontId="4" type="noConversion"/>
  </si>
  <si>
    <t>260-300</t>
    <phoneticPr fontId="4" type="noConversion"/>
  </si>
  <si>
    <t>200-400</t>
    <phoneticPr fontId="4" type="noConversion"/>
  </si>
  <si>
    <t>대구염색공단</t>
    <phoneticPr fontId="4" type="noConversion"/>
  </si>
  <si>
    <t>250-280</t>
    <phoneticPr fontId="4" type="noConversion"/>
  </si>
  <si>
    <t>태국(석고)</t>
    <phoneticPr fontId="4" type="noConversion"/>
  </si>
  <si>
    <t>청해실업</t>
    <phoneticPr fontId="4" type="noConversion"/>
  </si>
  <si>
    <t>240-400</t>
    <phoneticPr fontId="4" type="noConversion"/>
  </si>
  <si>
    <t>R</t>
    <phoneticPr fontId="4" type="noConversion"/>
  </si>
  <si>
    <t>340-400</t>
    <phoneticPr fontId="4" type="noConversion"/>
  </si>
  <si>
    <t>170-210</t>
    <phoneticPr fontId="4" type="noConversion"/>
  </si>
  <si>
    <t>순서</t>
    <phoneticPr fontId="4" type="noConversion"/>
  </si>
  <si>
    <t>O</t>
  </si>
  <si>
    <t>GNS HOPE</t>
    <phoneticPr fontId="4" type="noConversion"/>
  </si>
  <si>
    <t>0-150</t>
    <phoneticPr fontId="4" type="noConversion"/>
  </si>
  <si>
    <t>280-400</t>
    <phoneticPr fontId="4" type="noConversion"/>
  </si>
  <si>
    <t>캐나다</t>
    <phoneticPr fontId="4" type="noConversion"/>
  </si>
  <si>
    <t>210-270</t>
    <phoneticPr fontId="4" type="noConversion"/>
  </si>
  <si>
    <t>270-400</t>
    <phoneticPr fontId="4" type="noConversion"/>
  </si>
  <si>
    <t>삼영산업</t>
    <phoneticPr fontId="4" type="noConversion"/>
  </si>
  <si>
    <t>270-240</t>
    <phoneticPr fontId="4" type="noConversion"/>
  </si>
  <si>
    <t>250-200</t>
    <phoneticPr fontId="4" type="noConversion"/>
  </si>
  <si>
    <t>920-1020</t>
    <phoneticPr fontId="4" type="noConversion"/>
  </si>
  <si>
    <t>전북에너지</t>
    <phoneticPr fontId="4" type="noConversion"/>
  </si>
  <si>
    <t>SEA EMPIRE</t>
    <phoneticPr fontId="4" type="noConversion"/>
  </si>
  <si>
    <t>190-240</t>
    <phoneticPr fontId="4" type="noConversion"/>
  </si>
  <si>
    <t>90-150</t>
    <phoneticPr fontId="4" type="noConversion"/>
  </si>
  <si>
    <t>120-190</t>
    <phoneticPr fontId="4" type="noConversion"/>
  </si>
  <si>
    <t>1140-1300</t>
    <phoneticPr fontId="4" type="noConversion"/>
  </si>
  <si>
    <t>10-150</t>
    <phoneticPr fontId="4" type="noConversion"/>
  </si>
  <si>
    <t>990-1060</t>
    <phoneticPr fontId="4" type="noConversion"/>
  </si>
  <si>
    <t>미정</t>
    <phoneticPr fontId="4" type="noConversion"/>
  </si>
  <si>
    <t>10-90</t>
    <phoneticPr fontId="4" type="noConversion"/>
  </si>
  <si>
    <t>10-120</t>
    <phoneticPr fontId="4" type="noConversion"/>
  </si>
  <si>
    <t>140-190</t>
    <phoneticPr fontId="4" type="noConversion"/>
  </si>
  <si>
    <t>250-310</t>
    <phoneticPr fontId="4" type="noConversion"/>
  </si>
  <si>
    <t>180-240</t>
    <phoneticPr fontId="4" type="noConversion"/>
  </si>
  <si>
    <t>CBC FUYI</t>
    <phoneticPr fontId="4" type="noConversion"/>
  </si>
  <si>
    <t>400-220</t>
    <phoneticPr fontId="4" type="noConversion"/>
  </si>
  <si>
    <t>400-240</t>
    <phoneticPr fontId="4" type="noConversion"/>
  </si>
  <si>
    <t>50-10</t>
    <phoneticPr fontId="4" type="noConversion"/>
  </si>
  <si>
    <t>160-280</t>
    <phoneticPr fontId="4" type="noConversion"/>
  </si>
  <si>
    <t>100-40</t>
    <phoneticPr fontId="4" type="noConversion"/>
  </si>
  <si>
    <t>950-1060</t>
    <phoneticPr fontId="4" type="noConversion"/>
  </si>
  <si>
    <t>DAEBO GLADSTONE</t>
    <phoneticPr fontId="4" type="noConversion"/>
  </si>
  <si>
    <t>190-400</t>
    <phoneticPr fontId="4" type="noConversion"/>
  </si>
  <si>
    <t>SEA OPAL</t>
    <phoneticPr fontId="4" type="noConversion"/>
  </si>
  <si>
    <t>10-70</t>
    <phoneticPr fontId="4" type="noConversion"/>
  </si>
  <si>
    <t>통로4m, 옹벽1/2</t>
    <phoneticPr fontId="4" type="noConversion"/>
  </si>
  <si>
    <t>통로3m, 옹벽1/2</t>
    <phoneticPr fontId="4" type="noConversion"/>
  </si>
  <si>
    <t>GLOVIS DIAMOND</t>
    <phoneticPr fontId="4" type="noConversion"/>
  </si>
  <si>
    <t>위모선완료후</t>
    <phoneticPr fontId="4" type="noConversion"/>
  </si>
  <si>
    <t>2. 해송반출</t>
    <phoneticPr fontId="4" type="noConversion"/>
  </si>
  <si>
    <t>SGC에너지</t>
    <phoneticPr fontId="4" type="noConversion"/>
  </si>
  <si>
    <t>0-120</t>
    <phoneticPr fontId="4" type="noConversion"/>
  </si>
  <si>
    <t>10-140</t>
    <phoneticPr fontId="4" type="noConversion"/>
  </si>
  <si>
    <t>비고</t>
    <phoneticPr fontId="5" type="noConversion"/>
  </si>
  <si>
    <t>한국22호</t>
    <phoneticPr fontId="4" type="noConversion"/>
  </si>
  <si>
    <t>JASPER DREAM</t>
    <phoneticPr fontId="4" type="noConversion"/>
  </si>
  <si>
    <t>통로 4m, 옹벽 0</t>
  </si>
  <si>
    <t>#2,5,8H 구분적치</t>
    <phoneticPr fontId="4" type="noConversion"/>
  </si>
  <si>
    <t>#3,7 구분적치</t>
    <phoneticPr fontId="4" type="noConversion"/>
  </si>
  <si>
    <r>
      <t xml:space="preserve">통로 4m, 옹벽 0
</t>
    </r>
    <r>
      <rPr>
        <sz val="10"/>
        <color rgb="FFFF0000"/>
        <rFont val="맑은 고딕"/>
        <family val="3"/>
        <charset val="129"/>
        <scheme val="minor"/>
      </rPr>
      <t>2브랜드 구분적치 확인철저</t>
    </r>
    <phoneticPr fontId="4" type="noConversion"/>
  </si>
  <si>
    <t>W-MAYFAIR</t>
    <phoneticPr fontId="4" type="noConversion"/>
  </si>
  <si>
    <t>통로 3m, 옹벽 1/2</t>
    <phoneticPr fontId="4" type="noConversion"/>
  </si>
  <si>
    <t>950-1150</t>
    <phoneticPr fontId="4" type="noConversion"/>
  </si>
  <si>
    <t>STAR KAMILA</t>
    <phoneticPr fontId="4" type="noConversion"/>
  </si>
  <si>
    <t>DONG HONG 8</t>
    <phoneticPr fontId="4" type="noConversion"/>
  </si>
  <si>
    <t>반입 즉시 전량 이적(→보조 70)</t>
    <phoneticPr fontId="4" type="noConversion"/>
  </si>
  <si>
    <t>12/23 / #3</t>
    <phoneticPr fontId="4" type="noConversion"/>
  </si>
  <si>
    <t>12/19 / #7</t>
    <phoneticPr fontId="4" type="noConversion"/>
  </si>
  <si>
    <t>12/18 / #7</t>
    <phoneticPr fontId="4" type="noConversion"/>
  </si>
  <si>
    <t>260-400</t>
    <phoneticPr fontId="4" type="noConversion"/>
  </si>
  <si>
    <t>240-550</t>
    <phoneticPr fontId="4" type="noConversion"/>
  </si>
  <si>
    <t>580-720</t>
    <phoneticPr fontId="4" type="noConversion"/>
  </si>
  <si>
    <t>ORIENTAL ENTERPRISE</t>
    <phoneticPr fontId="4" type="noConversion"/>
  </si>
  <si>
    <t>10-110</t>
    <phoneticPr fontId="4" type="noConversion"/>
  </si>
  <si>
    <t>통로 4m, 옹벽 1/2</t>
    <phoneticPr fontId="4" type="noConversion"/>
  </si>
  <si>
    <t>WELPROFIT</t>
    <phoneticPr fontId="4" type="noConversion"/>
  </si>
  <si>
    <t>NEWCASTLE EXPRESS</t>
    <phoneticPr fontId="4" type="noConversion"/>
  </si>
  <si>
    <t>GW MATHILDE</t>
    <phoneticPr fontId="4" type="noConversion"/>
  </si>
  <si>
    <t>태경비케이</t>
    <phoneticPr fontId="4" type="noConversion"/>
  </si>
  <si>
    <t>반입 즉시 전량 이적</t>
    <phoneticPr fontId="4" type="noConversion"/>
  </si>
  <si>
    <t>740-1020</t>
    <phoneticPr fontId="4" type="noConversion"/>
  </si>
  <si>
    <t>90-10</t>
    <phoneticPr fontId="4" type="noConversion"/>
  </si>
  <si>
    <t>SUN GRACE</t>
    <phoneticPr fontId="4" type="noConversion"/>
  </si>
  <si>
    <t>EVOIKOS THEO</t>
    <phoneticPr fontId="4" type="noConversion"/>
  </si>
  <si>
    <t>통로 5m, 옹벽 0, 떠먹기</t>
    <phoneticPr fontId="4" type="noConversion"/>
  </si>
  <si>
    <t>통로 5m, 옹벽 0</t>
    <phoneticPr fontId="4" type="noConversion"/>
  </si>
  <si>
    <t>HPC FUTURE</t>
    <phoneticPr fontId="4" type="noConversion"/>
  </si>
  <si>
    <t>930-1080</t>
    <phoneticPr fontId="4" type="noConversion"/>
  </si>
  <si>
    <t>650-920</t>
    <phoneticPr fontId="4" type="noConversion"/>
  </si>
  <si>
    <t>성신씨엠</t>
    <phoneticPr fontId="4" type="noConversion"/>
  </si>
  <si>
    <t>한일시멘트</t>
    <phoneticPr fontId="4" type="noConversion"/>
  </si>
  <si>
    <t>장미3호</t>
    <phoneticPr fontId="4" type="noConversion"/>
  </si>
  <si>
    <t>110-240</t>
    <phoneticPr fontId="4" type="noConversion"/>
  </si>
  <si>
    <t>NERAIDA</t>
    <phoneticPr fontId="4" type="noConversion"/>
  </si>
  <si>
    <t>45-75</t>
    <phoneticPr fontId="4" type="noConversion"/>
  </si>
  <si>
    <t>DARYA SHANTI</t>
    <phoneticPr fontId="4" type="noConversion"/>
  </si>
  <si>
    <t>1030-1110</t>
    <phoneticPr fontId="4" type="noConversion"/>
  </si>
  <si>
    <t>10-100</t>
    <phoneticPr fontId="4" type="noConversion"/>
  </si>
  <si>
    <t>김천에너지</t>
    <phoneticPr fontId="4" type="noConversion"/>
  </si>
  <si>
    <t>1020-1220</t>
    <phoneticPr fontId="4" type="noConversion"/>
  </si>
  <si>
    <t>2,4H 비우기, 1,3,5H 떠먹기</t>
    <phoneticPr fontId="4" type="noConversion"/>
  </si>
  <si>
    <t>300-370</t>
    <phoneticPr fontId="4" type="noConversion"/>
  </si>
  <si>
    <t>보임에너지</t>
    <phoneticPr fontId="4" type="noConversion"/>
  </si>
  <si>
    <t>쌍용기초소재</t>
    <phoneticPr fontId="4" type="noConversion"/>
  </si>
  <si>
    <t>GLOVIS DESIRE</t>
    <phoneticPr fontId="4" type="noConversion"/>
  </si>
  <si>
    <t>HL IBT</t>
    <phoneticPr fontId="4" type="noConversion"/>
  </si>
  <si>
    <t>110-230</t>
    <phoneticPr fontId="4" type="noConversion"/>
  </si>
  <si>
    <t>10-80</t>
    <phoneticPr fontId="4" type="noConversion"/>
  </si>
  <si>
    <t>야드 부족시 통로 메우기</t>
    <phoneticPr fontId="4" type="noConversion"/>
  </si>
  <si>
    <t>3/5/7 H</t>
    <phoneticPr fontId="4" type="noConversion"/>
  </si>
  <si>
    <t>2/6/8 H</t>
    <phoneticPr fontId="4" type="noConversion"/>
  </si>
  <si>
    <r>
      <t xml:space="preserve">통로 5m, 옹벽 0
</t>
    </r>
    <r>
      <rPr>
        <sz val="10"/>
        <color rgb="FFFF0000"/>
        <rFont val="맑은 고딕"/>
        <family val="3"/>
        <charset val="129"/>
        <scheme val="minor"/>
      </rPr>
      <t>2 브랜드 구분적치 必</t>
    </r>
    <phoneticPr fontId="4" type="noConversion"/>
  </si>
  <si>
    <t>230-280</t>
    <phoneticPr fontId="4" type="noConversion"/>
  </si>
  <si>
    <t>1) CW 02</t>
    <phoneticPr fontId="4" type="noConversion"/>
  </si>
  <si>
    <t>2) CW 01</t>
    <phoneticPr fontId="4" type="noConversion"/>
  </si>
  <si>
    <t>화 물</t>
    <phoneticPr fontId="5" type="noConversion"/>
  </si>
  <si>
    <t>하역시 분진 심할 것으로 예상
착수 전 살수 충분히 시행
외부살수업체 안전관리 철저</t>
    <phoneticPr fontId="4" type="noConversion"/>
  </si>
  <si>
    <t>하역시 분진 심할 것으로 예상
야드 반입지점 살수차 항시 대기</t>
    <phoneticPr fontId="4" type="noConversion"/>
  </si>
  <si>
    <t>1030-1170</t>
    <phoneticPr fontId="4" type="noConversion"/>
  </si>
  <si>
    <t>MSXT HERA</t>
    <phoneticPr fontId="4" type="noConversion"/>
  </si>
  <si>
    <t>선석</t>
    <phoneticPr fontId="4" type="noConversion"/>
  </si>
  <si>
    <t>#5</t>
    <phoneticPr fontId="4" type="noConversion"/>
  </si>
  <si>
    <t>#7</t>
    <phoneticPr fontId="4" type="noConversion"/>
  </si>
  <si>
    <t>240-110</t>
    <phoneticPr fontId="4" type="noConversion"/>
  </si>
  <si>
    <t>710-850</t>
    <phoneticPr fontId="4" type="noConversion"/>
  </si>
  <si>
    <t>GNS HARMONY</t>
    <phoneticPr fontId="4" type="noConversion"/>
  </si>
  <si>
    <t>MEDI OSAKA</t>
    <phoneticPr fontId="4" type="noConversion"/>
  </si>
  <si>
    <t>광양 마무리</t>
    <phoneticPr fontId="4" type="noConversion"/>
  </si>
  <si>
    <t>100-250</t>
    <phoneticPr fontId="4" type="noConversion"/>
  </si>
  <si>
    <t>FU RONG FENG</t>
    <phoneticPr fontId="4" type="noConversion"/>
  </si>
  <si>
    <t>LOUISIANA MAMA</t>
    <phoneticPr fontId="4" type="noConversion"/>
  </si>
  <si>
    <t>320-510</t>
    <phoneticPr fontId="4" type="noConversion"/>
  </si>
  <si>
    <t>GUO YUAN 8</t>
    <phoneticPr fontId="4" type="noConversion"/>
  </si>
  <si>
    <t>S야드 계획량 先반입. 1,2,7H 우선
비우기. 3/26 24:00 이안 → #7선석 
쉬프팅 예정</t>
    <phoneticPr fontId="4" type="noConversion"/>
  </si>
  <si>
    <t>LILA SEOUL</t>
    <phoneticPr fontId="4" type="noConversion"/>
  </si>
  <si>
    <t>합판 제거된 옹벽 높이 기준으로
옹벽 1/2 적치요청</t>
    <phoneticPr fontId="4" type="noConversion"/>
  </si>
  <si>
    <t>#2</t>
    <phoneticPr fontId="4" type="noConversion"/>
  </si>
  <si>
    <t>210-400</t>
    <phoneticPr fontId="4" type="noConversion"/>
  </si>
  <si>
    <t>10-200</t>
    <phoneticPr fontId="4" type="noConversion"/>
  </si>
  <si>
    <t>200 지점부터 남으로 적치요망</t>
    <phoneticPr fontId="4" type="noConversion"/>
  </si>
  <si>
    <t>10-250</t>
    <phoneticPr fontId="4" type="noConversion"/>
  </si>
  <si>
    <t>통로 3m, 옹벽 1/2
4/30 #4선석, 5/1 #2선석 재접안</t>
    <phoneticPr fontId="4" type="noConversion"/>
  </si>
  <si>
    <t>GREAT WENCHENG</t>
    <phoneticPr fontId="4" type="noConversion"/>
  </si>
  <si>
    <t>BAO MAY</t>
    <phoneticPr fontId="4" type="noConversion"/>
  </si>
  <si>
    <t>XIN XIANG HAI</t>
    <phoneticPr fontId="4" type="noConversion"/>
  </si>
  <si>
    <t>810-960</t>
    <phoneticPr fontId="4" type="noConversion"/>
  </si>
  <si>
    <t>800-950</t>
    <phoneticPr fontId="4" type="noConversion"/>
  </si>
  <si>
    <t>FORTUNE LADY</t>
    <phoneticPr fontId="4" type="noConversion"/>
  </si>
  <si>
    <t>삼성5호</t>
    <phoneticPr fontId="4" type="noConversion"/>
  </si>
  <si>
    <t>SM CHALLENGER</t>
    <phoneticPr fontId="4" type="noConversion"/>
  </si>
  <si>
    <t>260-320</t>
    <phoneticPr fontId="4" type="noConversion"/>
  </si>
  <si>
    <t>1170-1300</t>
    <phoneticPr fontId="4" type="noConversion"/>
  </si>
  <si>
    <t>70-180</t>
    <phoneticPr fontId="4" type="noConversion"/>
  </si>
  <si>
    <t>광양→삼천포</t>
    <phoneticPr fontId="4" type="noConversion"/>
  </si>
  <si>
    <t>통로 5m, 옹벽 0
3,5,7H</t>
    <phoneticPr fontId="4" type="noConversion"/>
  </si>
  <si>
    <t>XING GUANG 18</t>
    <phoneticPr fontId="4" type="noConversion"/>
  </si>
  <si>
    <t>광양→군산</t>
    <phoneticPr fontId="4" type="noConversion"/>
  </si>
  <si>
    <t>DL ACACIA</t>
    <phoneticPr fontId="4" type="noConversion"/>
  </si>
  <si>
    <t>HL VISION</t>
    <phoneticPr fontId="4" type="noConversion"/>
  </si>
  <si>
    <t>광양단독</t>
    <phoneticPr fontId="4" type="noConversion"/>
  </si>
  <si>
    <t>910-1010</t>
    <phoneticPr fontId="4" type="noConversion"/>
  </si>
  <si>
    <t>110-290</t>
    <phoneticPr fontId="4" type="noConversion"/>
  </si>
  <si>
    <t>970-1030</t>
    <phoneticPr fontId="4" type="noConversion"/>
  </si>
  <si>
    <t>OCCITAN KEY</t>
    <phoneticPr fontId="4" type="noConversion"/>
  </si>
  <si>
    <t>Emerald Enterprise</t>
    <phoneticPr fontId="4" type="noConversion"/>
  </si>
  <si>
    <t>260-360</t>
    <phoneticPr fontId="4" type="noConversion"/>
  </si>
  <si>
    <t>10-180</t>
    <phoneticPr fontId="4" type="noConversion"/>
  </si>
  <si>
    <t>170-240</t>
    <phoneticPr fontId="4" type="noConversion"/>
  </si>
  <si>
    <t>#2-&gt;#7</t>
    <phoneticPr fontId="4" type="noConversion"/>
  </si>
  <si>
    <t>840-940</t>
    <phoneticPr fontId="4" type="noConversion"/>
  </si>
  <si>
    <t>840-880</t>
    <phoneticPr fontId="4" type="noConversion"/>
  </si>
  <si>
    <t>BAO WEALTH</t>
    <phoneticPr fontId="4" type="noConversion"/>
  </si>
  <si>
    <t>1060-1230</t>
    <phoneticPr fontId="4" type="noConversion"/>
  </si>
  <si>
    <r>
      <t xml:space="preserve">통로 5m, 옹벽 0
</t>
    </r>
    <r>
      <rPr>
        <sz val="10"/>
        <color rgb="FF0000FF"/>
        <rFont val="맑은 고딕"/>
        <family val="3"/>
        <charset val="129"/>
        <scheme val="minor"/>
      </rPr>
      <t>포스코 합적모선(SNNC화물 3,5,7H)</t>
    </r>
    <phoneticPr fontId="4" type="noConversion"/>
  </si>
  <si>
    <t>#6</t>
    <phoneticPr fontId="4" type="noConversion"/>
  </si>
  <si>
    <t>OCEAN TIDE</t>
    <phoneticPr fontId="4" type="noConversion"/>
  </si>
  <si>
    <t>700-800</t>
    <phoneticPr fontId="4" type="noConversion"/>
  </si>
  <si>
    <t>250-480</t>
    <phoneticPr fontId="4" type="noConversion"/>
  </si>
  <si>
    <t>120-400</t>
    <phoneticPr fontId="4" type="noConversion"/>
  </si>
  <si>
    <t>140-400</t>
    <phoneticPr fontId="4" type="noConversion"/>
  </si>
  <si>
    <t>태평양시멘트</t>
    <phoneticPr fontId="4" type="noConversion"/>
  </si>
  <si>
    <t>BRAVE HEART</t>
    <phoneticPr fontId="4" type="noConversion"/>
  </si>
  <si>
    <t>광양→중국</t>
    <phoneticPr fontId="4" type="noConversion"/>
  </si>
  <si>
    <t>800-640</t>
    <phoneticPr fontId="4" type="noConversion"/>
  </si>
  <si>
    <t>800-660</t>
    <phoneticPr fontId="4" type="noConversion"/>
  </si>
  <si>
    <t>ROYAL AWARD</t>
    <phoneticPr fontId="4" type="noConversion"/>
  </si>
  <si>
    <t>광양→포항</t>
    <phoneticPr fontId="4" type="noConversion"/>
  </si>
  <si>
    <t>110-180</t>
    <phoneticPr fontId="4" type="noConversion"/>
  </si>
  <si>
    <t>PAN ENERGEN</t>
    <phoneticPr fontId="4" type="noConversion"/>
  </si>
  <si>
    <t>290-140</t>
    <phoneticPr fontId="4" type="noConversion"/>
  </si>
  <si>
    <t>170-340</t>
    <phoneticPr fontId="4" type="noConversion"/>
  </si>
  <si>
    <t>20-230</t>
    <phoneticPr fontId="4" type="noConversion"/>
  </si>
  <si>
    <t>BEKS LEO</t>
    <phoneticPr fontId="4" type="noConversion"/>
  </si>
  <si>
    <t>220-400</t>
    <phoneticPr fontId="4" type="noConversion"/>
  </si>
  <si>
    <t>1,240-1,260</t>
    <phoneticPr fontId="4" type="noConversion"/>
  </si>
  <si>
    <t>집탄최소화</t>
    <phoneticPr fontId="4" type="noConversion"/>
  </si>
  <si>
    <t>STH ATHENS</t>
    <phoneticPr fontId="4" type="noConversion"/>
  </si>
  <si>
    <t>오사카시멘트</t>
    <phoneticPr fontId="4" type="noConversion"/>
  </si>
  <si>
    <t>0-140</t>
    <phoneticPr fontId="4" type="noConversion"/>
  </si>
  <si>
    <t>0-70</t>
    <phoneticPr fontId="4" type="noConversion"/>
  </si>
  <si>
    <t>STAHLA</t>
    <phoneticPr fontId="4" type="noConversion"/>
  </si>
  <si>
    <t>920-1,000</t>
    <phoneticPr fontId="4" type="noConversion"/>
  </si>
  <si>
    <t>1300-1,230</t>
    <phoneticPr fontId="4" type="noConversion"/>
  </si>
  <si>
    <t>#6
#5</t>
    <phoneticPr fontId="4" type="noConversion"/>
  </si>
  <si>
    <t>광양단독
(포스코 합적모선)</t>
    <phoneticPr fontId="4" type="noConversion"/>
  </si>
  <si>
    <t>400-300</t>
    <phoneticPr fontId="4" type="noConversion"/>
  </si>
  <si>
    <t>통로 4m, 옹벽 0</t>
    <phoneticPr fontId="4" type="noConversion"/>
  </si>
  <si>
    <t>통로 3m, 옹벽 0</t>
    <phoneticPr fontId="4" type="noConversion"/>
  </si>
  <si>
    <t>이항양하
(광양-&gt;군산)</t>
    <phoneticPr fontId="4" type="noConversion"/>
  </si>
  <si>
    <t>통로 4m. 옹벽 0</t>
    <phoneticPr fontId="4" type="noConversion"/>
  </si>
  <si>
    <t>잔탄처리</t>
    <phoneticPr fontId="4" type="noConversion"/>
  </si>
  <si>
    <t>FUHAI</t>
    <phoneticPr fontId="4" type="noConversion"/>
  </si>
  <si>
    <t>80-270</t>
    <phoneticPr fontId="4" type="noConversion"/>
  </si>
  <si>
    <t>800-900</t>
    <phoneticPr fontId="4" type="noConversion"/>
  </si>
  <si>
    <t>EXPRESS</t>
    <phoneticPr fontId="4" type="noConversion"/>
  </si>
  <si>
    <t>700-780</t>
    <phoneticPr fontId="4" type="noConversion"/>
  </si>
  <si>
    <t>이항양하(광양-&gt;동해)</t>
    <phoneticPr fontId="4" type="noConversion"/>
  </si>
  <si>
    <t>STAR BETTY</t>
    <phoneticPr fontId="4" type="noConversion"/>
  </si>
  <si>
    <t>통로 3m. 옹벽 1/2</t>
    <phoneticPr fontId="4" type="noConversion"/>
  </si>
  <si>
    <t>950-1100</t>
    <phoneticPr fontId="4" type="noConversion"/>
  </si>
  <si>
    <t>520-690</t>
    <phoneticPr fontId="4" type="noConversion"/>
  </si>
  <si>
    <t>#6, #7</t>
    <phoneticPr fontId="4" type="noConversion"/>
  </si>
  <si>
    <t>반입후 즉시이적
(T:180-230, T:900-1000)</t>
    <phoneticPr fontId="4" type="noConversion"/>
  </si>
  <si>
    <t>이항양하
(광양-&gt;동해)</t>
    <phoneticPr fontId="4" type="noConversion"/>
  </si>
  <si>
    <t>STAR WAVE</t>
    <phoneticPr fontId="4" type="noConversion"/>
  </si>
  <si>
    <t>1070-1200</t>
    <phoneticPr fontId="4" type="noConversion"/>
  </si>
  <si>
    <t>1300-1240</t>
    <phoneticPr fontId="4" type="noConversion"/>
  </si>
  <si>
    <t>SEA HONESTY</t>
    <phoneticPr fontId="4" type="noConversion"/>
  </si>
  <si>
    <t>170-280</t>
    <phoneticPr fontId="4" type="noConversion"/>
  </si>
  <si>
    <t>#5-&gt;#6</t>
    <phoneticPr fontId="4" type="noConversion"/>
  </si>
  <si>
    <t>FUDA</t>
    <phoneticPr fontId="4" type="noConversion"/>
  </si>
  <si>
    <t>NEW LEGEND PEARL</t>
    <phoneticPr fontId="4" type="noConversion"/>
  </si>
  <si>
    <t>100-200</t>
    <phoneticPr fontId="4" type="noConversion"/>
  </si>
  <si>
    <t>10/28 PM</t>
    <phoneticPr fontId="4" type="noConversion"/>
  </si>
  <si>
    <t>240-160</t>
    <phoneticPr fontId="4" type="noConversion"/>
  </si>
  <si>
    <t>PAN FREESIA</t>
    <phoneticPr fontId="4" type="noConversion"/>
  </si>
  <si>
    <t>160-290</t>
    <phoneticPr fontId="4" type="noConversion"/>
  </si>
  <si>
    <t>통로 3m, 옹벽0</t>
    <phoneticPr fontId="4" type="noConversion"/>
  </si>
  <si>
    <r>
      <t xml:space="preserve">통로 3m, 옹벽 1/2
</t>
    </r>
    <r>
      <rPr>
        <sz val="10"/>
        <color rgb="FFFF0000"/>
        <rFont val="맑은 고딕"/>
        <family val="3"/>
        <charset val="129"/>
        <scheme val="minor"/>
      </rPr>
      <t>#2 3만톤 하역 후 이안, 외항대기.
7선석 ALBION BAY 완료 후 재접안 예정</t>
    </r>
    <phoneticPr fontId="4" type="noConversion"/>
  </si>
  <si>
    <t>1140-1240</t>
    <phoneticPr fontId="4" type="noConversion"/>
  </si>
  <si>
    <t>이항양하(광→포)
(포스코 합적모선)</t>
    <phoneticPr fontId="4" type="noConversion"/>
  </si>
  <si>
    <t>UNITED HALO</t>
    <phoneticPr fontId="4" type="noConversion"/>
  </si>
  <si>
    <t>410-510</t>
    <phoneticPr fontId="4" type="noConversion"/>
  </si>
  <si>
    <t>통로 4m, 옹벽0</t>
    <phoneticPr fontId="4" type="noConversion"/>
  </si>
  <si>
    <t>150-270</t>
    <phoneticPr fontId="4" type="noConversion"/>
  </si>
  <si>
    <t>290-160</t>
    <phoneticPr fontId="4" type="noConversion"/>
  </si>
  <si>
    <t>KIRAN EURASIA</t>
    <phoneticPr fontId="4" type="noConversion"/>
  </si>
  <si>
    <t>AHU C</t>
    <phoneticPr fontId="4" type="noConversion"/>
  </si>
  <si>
    <t>한일인터내셔널</t>
    <phoneticPr fontId="4" type="noConversion"/>
  </si>
  <si>
    <t>통로4m, 옹벽0</t>
    <phoneticPr fontId="4" type="noConversion"/>
  </si>
  <si>
    <t>NORD VIRGO</t>
    <phoneticPr fontId="4" type="noConversion"/>
  </si>
  <si>
    <t>박동일</t>
    <phoneticPr fontId="4" type="noConversion"/>
  </si>
  <si>
    <t>이항양하(광양→군산)</t>
    <phoneticPr fontId="4" type="noConversion"/>
  </si>
  <si>
    <t>#6→#5</t>
    <phoneticPr fontId="4" type="noConversion"/>
  </si>
  <si>
    <t>#5→#7</t>
    <phoneticPr fontId="4" type="noConversion"/>
  </si>
  <si>
    <t>1130-1210</t>
    <phoneticPr fontId="4" type="noConversion"/>
  </si>
  <si>
    <t>980-1040</t>
    <phoneticPr fontId="4" type="noConversion"/>
  </si>
  <si>
    <t>90-230</t>
    <phoneticPr fontId="4" type="noConversion"/>
  </si>
  <si>
    <t>840-970</t>
    <phoneticPr fontId="4" type="noConversion"/>
  </si>
  <si>
    <t>PACIFIC PRIDE</t>
    <phoneticPr fontId="4" type="noConversion"/>
  </si>
  <si>
    <t>BH MALLY</t>
    <phoneticPr fontId="4" type="noConversion"/>
  </si>
  <si>
    <t>티에스해피</t>
    <phoneticPr fontId="4" type="noConversion"/>
  </si>
  <si>
    <t>700-840</t>
    <phoneticPr fontId="4" type="noConversion"/>
  </si>
  <si>
    <t>통로 4m, 옹벽1/2</t>
    <phoneticPr fontId="4" type="noConversion"/>
  </si>
  <si>
    <t>#2→#5</t>
    <phoneticPr fontId="4" type="noConversion"/>
  </si>
  <si>
    <t>PROTEFS</t>
    <phoneticPr fontId="4" type="noConversion"/>
  </si>
  <si>
    <t>ITG UMING</t>
    <phoneticPr fontId="4" type="noConversion"/>
  </si>
  <si>
    <t>통로3m, 옹벽 1/2</t>
    <phoneticPr fontId="4" type="noConversion"/>
  </si>
  <si>
    <t>SEN TREASURE</t>
    <phoneticPr fontId="4" type="noConversion"/>
  </si>
  <si>
    <t>이항양하(광양→포항)</t>
    <phoneticPr fontId="4" type="noConversion"/>
  </si>
  <si>
    <t>맥스틸(무연탄)</t>
    <phoneticPr fontId="4" type="noConversion"/>
  </si>
  <si>
    <t>반입즉시 이적</t>
    <phoneticPr fontId="4" type="noConversion"/>
  </si>
  <si>
    <t>100-170</t>
    <phoneticPr fontId="4" type="noConversion"/>
  </si>
  <si>
    <t>400-210</t>
    <phoneticPr fontId="4" type="noConversion"/>
  </si>
  <si>
    <t>0-90</t>
    <phoneticPr fontId="4" type="noConversion"/>
  </si>
  <si>
    <t>JIA YI 6</t>
    <phoneticPr fontId="4" type="noConversion"/>
  </si>
  <si>
    <t>710-800</t>
    <phoneticPr fontId="4" type="noConversion"/>
  </si>
  <si>
    <t>850-940</t>
    <phoneticPr fontId="4" type="noConversion"/>
  </si>
  <si>
    <t>1200-1300</t>
    <phoneticPr fontId="4" type="noConversion"/>
  </si>
  <si>
    <t>90-330</t>
    <phoneticPr fontId="4" type="noConversion"/>
  </si>
  <si>
    <t>#4</t>
    <phoneticPr fontId="4" type="noConversion"/>
  </si>
  <si>
    <t>통로 3m, 옹벽1/2</t>
    <phoneticPr fontId="4" type="noConversion"/>
  </si>
  <si>
    <t>FAR EASTERN MERCURY</t>
    <phoneticPr fontId="4" type="noConversion"/>
  </si>
  <si>
    <t>ORION III</t>
    <phoneticPr fontId="4" type="noConversion"/>
  </si>
  <si>
    <t>RIZE</t>
    <phoneticPr fontId="4" type="noConversion"/>
  </si>
  <si>
    <t>광양先</t>
    <phoneticPr fontId="4" type="noConversion"/>
  </si>
  <si>
    <t>0-80</t>
    <phoneticPr fontId="4" type="noConversion"/>
  </si>
  <si>
    <t>NEW JOURNEY</t>
    <phoneticPr fontId="4" type="noConversion"/>
  </si>
  <si>
    <t>석고(태국)</t>
    <phoneticPr fontId="4" type="noConversion"/>
  </si>
  <si>
    <t>990-1080</t>
    <phoneticPr fontId="4" type="noConversion"/>
  </si>
  <si>
    <t>20-60</t>
    <phoneticPr fontId="4" type="noConversion"/>
  </si>
  <si>
    <t>야드 크리닝상태 점검</t>
    <phoneticPr fontId="4" type="noConversion"/>
  </si>
  <si>
    <t>R야드 최대적치</t>
    <phoneticPr fontId="4" type="noConversion"/>
  </si>
  <si>
    <t>140-210</t>
    <phoneticPr fontId="4" type="noConversion"/>
  </si>
  <si>
    <t>650-860</t>
    <phoneticPr fontId="4" type="noConversion"/>
  </si>
  <si>
    <t>800-1000</t>
    <phoneticPr fontId="4" type="noConversion"/>
  </si>
  <si>
    <t>320-420</t>
    <phoneticPr fontId="4" type="noConversion"/>
  </si>
  <si>
    <t>DARA</t>
    <phoneticPr fontId="4" type="noConversion"/>
  </si>
  <si>
    <t>KATAGALAN WISDOM</t>
    <phoneticPr fontId="4" type="noConversion"/>
  </si>
  <si>
    <t>ATLANTIC MAYA</t>
    <phoneticPr fontId="4" type="noConversion"/>
  </si>
  <si>
    <t>P-COKE(미국)</t>
    <phoneticPr fontId="4" type="noConversion"/>
  </si>
  <si>
    <t>810-950</t>
    <phoneticPr fontId="4" type="noConversion"/>
  </si>
  <si>
    <t>420-510</t>
    <phoneticPr fontId="4" type="noConversion"/>
  </si>
  <si>
    <t>#2→#6</t>
    <phoneticPr fontId="4" type="noConversion"/>
  </si>
  <si>
    <t>STAR MONICA</t>
    <phoneticPr fontId="4" type="noConversion"/>
  </si>
  <si>
    <t>400-270</t>
    <phoneticPr fontId="4" type="noConversion"/>
  </si>
  <si>
    <t>190-270</t>
    <phoneticPr fontId="4" type="noConversion"/>
  </si>
  <si>
    <t>SHAIL AL RAYAN</t>
    <phoneticPr fontId="4" type="noConversion"/>
  </si>
  <si>
    <t>SM HARMONY 2</t>
    <phoneticPr fontId="4" type="noConversion"/>
  </si>
  <si>
    <t>1110-1170</t>
    <phoneticPr fontId="4" type="noConversion"/>
  </si>
  <si>
    <t>1090-1180</t>
    <phoneticPr fontId="4" type="noConversion"/>
  </si>
  <si>
    <t>660-800</t>
    <phoneticPr fontId="4" type="noConversion"/>
  </si>
  <si>
    <t>960-1010</t>
    <phoneticPr fontId="4" type="noConversion"/>
  </si>
  <si>
    <t>1260-1140</t>
    <phoneticPr fontId="4" type="noConversion"/>
  </si>
  <si>
    <t>840-620</t>
    <phoneticPr fontId="4" type="noConversion"/>
  </si>
  <si>
    <t>310-230</t>
    <phoneticPr fontId="4" type="noConversion"/>
  </si>
  <si>
    <t>300-220</t>
    <phoneticPr fontId="4" type="noConversion"/>
  </si>
  <si>
    <t>Bettys Perfection</t>
    <phoneticPr fontId="4" type="noConversion"/>
  </si>
  <si>
    <t>대경포인</t>
    <phoneticPr fontId="4" type="noConversion"/>
  </si>
  <si>
    <t>400-350</t>
    <phoneticPr fontId="4" type="noConversion"/>
  </si>
  <si>
    <t>중국→광양</t>
    <phoneticPr fontId="4" type="noConversion"/>
  </si>
  <si>
    <t>UM Elhanaya</t>
    <phoneticPr fontId="4" type="noConversion"/>
  </si>
  <si>
    <t>러시아(무연탄)</t>
    <phoneticPr fontId="4" type="noConversion"/>
  </si>
  <si>
    <t>220-90</t>
    <phoneticPr fontId="4" type="noConversion"/>
  </si>
  <si>
    <t>PEDHOULAS CHERRY</t>
    <phoneticPr fontId="4" type="noConversion"/>
  </si>
  <si>
    <t>400-310</t>
    <phoneticPr fontId="4" type="noConversion"/>
  </si>
  <si>
    <t>400-380</t>
    <phoneticPr fontId="4" type="noConversion"/>
  </si>
  <si>
    <t>Y야드 부족시 X야드사용</t>
    <phoneticPr fontId="4" type="noConversion"/>
  </si>
  <si>
    <t>AC ANHE</t>
    <phoneticPr fontId="4" type="noConversion"/>
  </si>
  <si>
    <t>730-600</t>
    <phoneticPr fontId="4" type="noConversion"/>
  </si>
  <si>
    <t>430-520</t>
    <phoneticPr fontId="4" type="noConversion"/>
  </si>
  <si>
    <t>1180-1290</t>
    <phoneticPr fontId="4" type="noConversion"/>
  </si>
  <si>
    <t>SM GOSEONG</t>
    <phoneticPr fontId="4" type="noConversion"/>
  </si>
  <si>
    <t>석탄(호주)</t>
    <phoneticPr fontId="4" type="noConversion"/>
  </si>
  <si>
    <t>1110-1200</t>
    <phoneticPr fontId="4" type="noConversion"/>
  </si>
  <si>
    <t>1140-980</t>
    <phoneticPr fontId="4" type="noConversion"/>
  </si>
  <si>
    <t>C.UTOPIA</t>
    <phoneticPr fontId="4" type="noConversion"/>
  </si>
  <si>
    <t>ROYAL FORWARD</t>
    <phoneticPr fontId="4" type="noConversion"/>
  </si>
  <si>
    <t>석탄(러시아)</t>
    <phoneticPr fontId="4" type="noConversion"/>
  </si>
  <si>
    <t>통로3m, 옹벽0</t>
    <phoneticPr fontId="4" type="noConversion"/>
  </si>
  <si>
    <t>AUSONE</t>
    <phoneticPr fontId="4" type="noConversion"/>
  </si>
  <si>
    <t>석탄(인니)</t>
    <phoneticPr fontId="4" type="noConversion"/>
  </si>
  <si>
    <t>Sheng Wei 18</t>
    <phoneticPr fontId="4" type="noConversion"/>
  </si>
  <si>
    <t>320-450</t>
    <phoneticPr fontId="4" type="noConversion"/>
  </si>
  <si>
    <t>850-950</t>
    <phoneticPr fontId="4" type="noConversion"/>
  </si>
  <si>
    <t>110-260</t>
    <phoneticPr fontId="4" type="noConversion"/>
  </si>
  <si>
    <t>반입후 이적</t>
    <phoneticPr fontId="4" type="noConversion"/>
  </si>
  <si>
    <t>340-280</t>
    <phoneticPr fontId="4" type="noConversion"/>
  </si>
  <si>
    <t>460-730</t>
    <phoneticPr fontId="4" type="noConversion"/>
  </si>
  <si>
    <t>DL ADONIS</t>
    <phoneticPr fontId="4" type="noConversion"/>
  </si>
  <si>
    <t>PAN Mutiara</t>
    <phoneticPr fontId="4" type="noConversion"/>
  </si>
  <si>
    <t>석탄(미국)</t>
    <phoneticPr fontId="4" type="noConversion"/>
  </si>
  <si>
    <t>ADRE</t>
    <phoneticPr fontId="4" type="noConversion"/>
  </si>
  <si>
    <t>철송 긴급물량으로 하역후 즉 반출</t>
    <phoneticPr fontId="4" type="noConversion"/>
  </si>
  <si>
    <t>0-100</t>
    <phoneticPr fontId="4" type="noConversion"/>
  </si>
  <si>
    <t>940-1,070</t>
    <phoneticPr fontId="4" type="noConversion"/>
  </si>
  <si>
    <t>1,110-1,060</t>
    <phoneticPr fontId="4" type="noConversion"/>
  </si>
  <si>
    <t>1,300-1,180</t>
    <phoneticPr fontId="4" type="noConversion"/>
  </si>
  <si>
    <t>IKAN SELIGI</t>
    <phoneticPr fontId="4" type="noConversion"/>
  </si>
  <si>
    <t>400-260</t>
    <phoneticPr fontId="4" type="noConversion"/>
  </si>
  <si>
    <t>400-90</t>
    <phoneticPr fontId="4" type="noConversion"/>
  </si>
  <si>
    <t>CHS COSMOS</t>
    <phoneticPr fontId="4" type="noConversion"/>
  </si>
  <si>
    <t>1300-1130</t>
    <phoneticPr fontId="4" type="noConversion"/>
  </si>
  <si>
    <t>JR SUMMER</t>
    <phoneticPr fontId="4" type="noConversion"/>
  </si>
  <si>
    <t>0-190</t>
    <phoneticPr fontId="4" type="noConversion"/>
  </si>
  <si>
    <t>XIN ZHOU XING</t>
    <phoneticPr fontId="4" type="noConversion"/>
  </si>
  <si>
    <t>400-280</t>
    <phoneticPr fontId="4" type="noConversion"/>
  </si>
  <si>
    <t>SAFEEN AL NOUR</t>
    <phoneticPr fontId="4" type="noConversion"/>
  </si>
  <si>
    <t>SWEET VENUS</t>
    <phoneticPr fontId="4" type="noConversion"/>
  </si>
  <si>
    <t>160-260</t>
    <phoneticPr fontId="4" type="noConversion"/>
  </si>
  <si>
    <t>0-60</t>
    <phoneticPr fontId="4" type="noConversion"/>
  </si>
  <si>
    <t>150-70</t>
    <phoneticPr fontId="4" type="noConversion"/>
  </si>
  <si>
    <t>WOORI SKY</t>
    <phoneticPr fontId="4" type="noConversion"/>
  </si>
  <si>
    <t>CURIA</t>
    <phoneticPr fontId="4" type="noConversion"/>
  </si>
  <si>
    <t>DYNA CRANE</t>
    <phoneticPr fontId="4" type="noConversion"/>
  </si>
  <si>
    <t>Oita→광양</t>
    <phoneticPr fontId="4" type="noConversion"/>
  </si>
  <si>
    <t>180-50</t>
    <phoneticPr fontId="4" type="noConversion"/>
  </si>
  <si>
    <t>Bulk Bolivia</t>
    <phoneticPr fontId="4" type="noConversion"/>
  </si>
  <si>
    <t>펫콕</t>
    <phoneticPr fontId="4" type="noConversion"/>
  </si>
  <si>
    <t>SEA DIAMOND</t>
    <phoneticPr fontId="4" type="noConversion"/>
  </si>
  <si>
    <t>920-1100</t>
    <phoneticPr fontId="4" type="noConversion"/>
  </si>
  <si>
    <t>선적량</t>
    <phoneticPr fontId="4" type="noConversion"/>
  </si>
  <si>
    <t>맥스틸</t>
    <phoneticPr fontId="4" type="noConversion"/>
  </si>
  <si>
    <t>광양→포항 떠먹기</t>
    <phoneticPr fontId="4" type="noConversion"/>
  </si>
  <si>
    <t>90-180</t>
    <phoneticPr fontId="4" type="noConversion"/>
  </si>
  <si>
    <t>수재슬라그</t>
    <phoneticPr fontId="4" type="noConversion"/>
  </si>
  <si>
    <t>0-180</t>
    <phoneticPr fontId="4" type="noConversion"/>
  </si>
  <si>
    <t>WU HUA ZHI XING</t>
    <phoneticPr fontId="4" type="noConversion"/>
  </si>
  <si>
    <t>JY ATLANTIC</t>
    <phoneticPr fontId="4" type="noConversion"/>
  </si>
  <si>
    <t>400-190</t>
    <phoneticPr fontId="4" type="noConversion"/>
  </si>
  <si>
    <t>OCEAN BEAUTY</t>
    <phoneticPr fontId="4" type="noConversion"/>
  </si>
  <si>
    <t>DIAMOND INDAH</t>
    <phoneticPr fontId="4" type="noConversion"/>
  </si>
  <si>
    <t>290-190</t>
    <phoneticPr fontId="4" type="noConversion"/>
  </si>
  <si>
    <t>EARTH OCEAN</t>
    <phoneticPr fontId="4" type="noConversion"/>
  </si>
  <si>
    <t>TIGER WEST</t>
    <phoneticPr fontId="4" type="noConversion"/>
  </si>
  <si>
    <t>#6
→
#7</t>
    <phoneticPr fontId="4" type="noConversion"/>
  </si>
  <si>
    <t>170-270</t>
    <phoneticPr fontId="4" type="noConversion"/>
  </si>
  <si>
    <t>120-210</t>
    <phoneticPr fontId="4" type="noConversion"/>
  </si>
  <si>
    <t>9/13 16:00
(#7 Shifting)</t>
    <phoneticPr fontId="4" type="noConversion"/>
  </si>
  <si>
    <t>1300-1150</t>
    <phoneticPr fontId="4" type="noConversion"/>
  </si>
  <si>
    <t>1120-1050</t>
    <phoneticPr fontId="4" type="noConversion"/>
  </si>
  <si>
    <t>MEI LAN HU</t>
    <phoneticPr fontId="4" type="noConversion"/>
  </si>
  <si>
    <t>인니(Trafigura)</t>
    <phoneticPr fontId="4" type="noConversion"/>
  </si>
  <si>
    <t>340-160</t>
    <phoneticPr fontId="4" type="noConversion"/>
  </si>
  <si>
    <t>호주(APB)</t>
    <phoneticPr fontId="4" type="noConversion"/>
  </si>
  <si>
    <t xml:space="preserve">통로3m, 옹벽0
</t>
    <phoneticPr fontId="4" type="noConversion"/>
  </si>
  <si>
    <t>1060-1200</t>
    <phoneticPr fontId="4" type="noConversion"/>
  </si>
  <si>
    <t>HPC DREAM</t>
    <phoneticPr fontId="4" type="noConversion"/>
  </si>
  <si>
    <t>석고</t>
    <phoneticPr fontId="4" type="noConversion"/>
  </si>
  <si>
    <t>1020-1080</t>
    <phoneticPr fontId="4" type="noConversion"/>
  </si>
  <si>
    <t>220-110</t>
    <phoneticPr fontId="4" type="noConversion"/>
  </si>
  <si>
    <t>10/1 19:00(#6선석)
10/5 08:00(#7선석)</t>
    <phoneticPr fontId="4" type="noConversion"/>
  </si>
  <si>
    <t>230-340</t>
    <phoneticPr fontId="4" type="noConversion"/>
  </si>
  <si>
    <t>240-130</t>
    <phoneticPr fontId="4" type="noConversion"/>
  </si>
  <si>
    <t>Bulk Malaysia</t>
    <phoneticPr fontId="4" type="noConversion"/>
  </si>
  <si>
    <t>SNNC
(합적화물)</t>
    <phoneticPr fontId="4" type="noConversion"/>
  </si>
  <si>
    <t>#2→#1</t>
    <phoneticPr fontId="4" type="noConversion"/>
  </si>
  <si>
    <t>하역기</t>
    <phoneticPr fontId="4" type="noConversion"/>
  </si>
  <si>
    <t>1300-1200</t>
    <phoneticPr fontId="4" type="noConversion"/>
  </si>
  <si>
    <t>GLOBAL EFFORT</t>
    <phoneticPr fontId="4" type="noConversion"/>
  </si>
  <si>
    <t>MARTINE</t>
    <phoneticPr fontId="4" type="noConversion"/>
  </si>
  <si>
    <t>OCEAN STAR</t>
    <phoneticPr fontId="4" type="noConversion"/>
  </si>
  <si>
    <t>PORTIA</t>
    <phoneticPr fontId="4" type="noConversion"/>
  </si>
  <si>
    <t>380-270</t>
    <phoneticPr fontId="4" type="noConversion"/>
  </si>
  <si>
    <t>380-200</t>
    <phoneticPr fontId="4" type="noConversion"/>
  </si>
  <si>
    <t>SKY KNIGHT</t>
    <phoneticPr fontId="4" type="noConversion"/>
  </si>
  <si>
    <t>CH BELLA</t>
    <phoneticPr fontId="4" type="noConversion"/>
  </si>
  <si>
    <t>20-100</t>
    <phoneticPr fontId="4" type="noConversion"/>
  </si>
  <si>
    <t>120-230</t>
    <phoneticPr fontId="4" type="noConversion"/>
  </si>
  <si>
    <t>110-170</t>
    <phoneticPr fontId="4" type="noConversion"/>
  </si>
  <si>
    <t>LOA</t>
    <phoneticPr fontId="4" type="noConversion"/>
  </si>
  <si>
    <t>ETA</t>
    <phoneticPr fontId="4" type="noConversion"/>
  </si>
  <si>
    <t>20-130</t>
    <phoneticPr fontId="4" type="noConversion"/>
  </si>
  <si>
    <t>210-300</t>
    <phoneticPr fontId="4" type="noConversion"/>
  </si>
  <si>
    <t>Fairy Island</t>
    <phoneticPr fontId="4" type="noConversion"/>
  </si>
  <si>
    <t>GLOVIS MARIA</t>
    <phoneticPr fontId="4" type="noConversion"/>
  </si>
  <si>
    <t>IONIC KATANA</t>
    <phoneticPr fontId="4" type="noConversion"/>
  </si>
  <si>
    <t>PAN GOLD</t>
    <phoneticPr fontId="4" type="noConversion"/>
  </si>
  <si>
    <t>800-940</t>
    <phoneticPr fontId="4" type="noConversion"/>
  </si>
  <si>
    <t>합적화물</t>
    <phoneticPr fontId="4" type="noConversion"/>
  </si>
  <si>
    <t>LILA FROSTBURG</t>
    <phoneticPr fontId="4" type="noConversion"/>
  </si>
  <si>
    <t>400-160</t>
    <phoneticPr fontId="4" type="noConversion"/>
  </si>
  <si>
    <t>400-250</t>
    <phoneticPr fontId="4" type="noConversion"/>
  </si>
  <si>
    <t>STL MIRACLE</t>
    <phoneticPr fontId="4" type="noConversion"/>
  </si>
  <si>
    <t>PESCADORES SW</t>
    <phoneticPr fontId="4" type="noConversion"/>
  </si>
  <si>
    <t>AMAZON</t>
    <phoneticPr fontId="4" type="noConversion"/>
  </si>
  <si>
    <t>입항일</t>
    <phoneticPr fontId="4" type="noConversion"/>
  </si>
  <si>
    <t>120-220</t>
    <phoneticPr fontId="4" type="noConversion"/>
  </si>
  <si>
    <t>JIN HUA FENG</t>
    <phoneticPr fontId="4" type="noConversion"/>
  </si>
  <si>
    <t>1300-1100</t>
    <phoneticPr fontId="4" type="noConversion"/>
  </si>
  <si>
    <t>GOLDEN MAPLE</t>
    <phoneticPr fontId="4" type="noConversion"/>
  </si>
  <si>
    <t>100-230</t>
    <phoneticPr fontId="4" type="noConversion"/>
  </si>
  <si>
    <t>GH POWER</t>
    <phoneticPr fontId="4" type="noConversion"/>
  </si>
  <si>
    <t>인니(Adaro)</t>
    <phoneticPr fontId="4" type="noConversion"/>
  </si>
  <si>
    <t>MARMARA S</t>
    <phoneticPr fontId="4" type="noConversion"/>
  </si>
  <si>
    <t>인니(STX)</t>
    <phoneticPr fontId="4" type="noConversion"/>
  </si>
  <si>
    <t>20-110</t>
    <phoneticPr fontId="4" type="noConversion"/>
  </si>
  <si>
    <t>DARYA SITA</t>
    <phoneticPr fontId="4" type="noConversion"/>
  </si>
  <si>
    <t>호주(illawarra)</t>
    <phoneticPr fontId="4" type="noConversion"/>
  </si>
  <si>
    <t>광양→일본</t>
    <phoneticPr fontId="4" type="noConversion"/>
  </si>
  <si>
    <t>2,4 HOLD 비우기</t>
    <phoneticPr fontId="4" type="noConversion"/>
  </si>
  <si>
    <t>400-230</t>
    <phoneticPr fontId="4" type="noConversion"/>
  </si>
  <si>
    <t>HPC ATLANTIC</t>
    <phoneticPr fontId="4" type="noConversion"/>
  </si>
  <si>
    <t>HAKATA QUEEN</t>
    <phoneticPr fontId="4" type="noConversion"/>
  </si>
  <si>
    <t>심야돌발정비 대응유무</t>
    <phoneticPr fontId="4" type="noConversion"/>
  </si>
  <si>
    <t>400-180</t>
    <phoneticPr fontId="4" type="noConversion"/>
  </si>
  <si>
    <t>HONOR STAR</t>
    <phoneticPr fontId="4" type="noConversion"/>
  </si>
  <si>
    <t>러시아(GSG)</t>
    <phoneticPr fontId="4" type="noConversion"/>
  </si>
  <si>
    <t>300-170</t>
    <phoneticPr fontId="4" type="noConversion"/>
  </si>
  <si>
    <t>230-100</t>
    <phoneticPr fontId="4" type="noConversion"/>
  </si>
  <si>
    <t>3 HOLD 화물 다른 브랜드로 분리적치 必</t>
    <phoneticPr fontId="4" type="noConversion"/>
  </si>
  <si>
    <t>3 HOLD</t>
    <phoneticPr fontId="4" type="noConversion"/>
  </si>
  <si>
    <t>1,2,4,5 HOLD</t>
    <phoneticPr fontId="4" type="noConversion"/>
  </si>
  <si>
    <t>80-110</t>
    <phoneticPr fontId="4" type="noConversion"/>
  </si>
  <si>
    <t>130-160</t>
    <phoneticPr fontId="4" type="noConversion"/>
  </si>
  <si>
    <t>KELLY</t>
    <phoneticPr fontId="4" type="noConversion"/>
  </si>
  <si>
    <t>ORANGE TIARA</t>
    <phoneticPr fontId="4" type="noConversion"/>
  </si>
  <si>
    <t>0-160</t>
    <phoneticPr fontId="4" type="noConversion"/>
  </si>
  <si>
    <t>170-350</t>
    <phoneticPr fontId="4" type="noConversion"/>
  </si>
  <si>
    <t>ELECTRA</t>
    <phoneticPr fontId="4" type="noConversion"/>
  </si>
  <si>
    <t>UM ELHANAYA</t>
    <phoneticPr fontId="4" type="noConversion"/>
  </si>
  <si>
    <t>W TRADER</t>
    <phoneticPr fontId="4" type="noConversion"/>
  </si>
  <si>
    <t>포스코 합적화물</t>
    <phoneticPr fontId="4" type="noConversion"/>
  </si>
  <si>
    <t>290-210</t>
    <phoneticPr fontId="4" type="noConversion"/>
  </si>
  <si>
    <t>480-600</t>
    <phoneticPr fontId="4" type="noConversion"/>
  </si>
  <si>
    <t>760-670</t>
    <phoneticPr fontId="4" type="noConversion"/>
  </si>
  <si>
    <t>하역완료</t>
    <phoneticPr fontId="4" type="noConversion"/>
  </si>
  <si>
    <t>인니(BIB)</t>
    <phoneticPr fontId="4" type="noConversion"/>
  </si>
  <si>
    <t>수니호</t>
    <phoneticPr fontId="4" type="noConversion"/>
  </si>
  <si>
    <t>CUMA</t>
    <phoneticPr fontId="4" type="noConversion"/>
  </si>
  <si>
    <t>770-970</t>
    <phoneticPr fontId="4" type="noConversion"/>
  </si>
  <si>
    <t>400-110</t>
    <phoneticPr fontId="4" type="noConversion"/>
  </si>
  <si>
    <t>용성1호</t>
    <phoneticPr fontId="4" type="noConversion"/>
  </si>
  <si>
    <t>현대오션킹15001호</t>
    <phoneticPr fontId="4" type="noConversion"/>
  </si>
  <si>
    <t>삼성2호</t>
    <phoneticPr fontId="4" type="noConversion"/>
  </si>
  <si>
    <t>CARAVOS HARMONY</t>
    <phoneticPr fontId="4" type="noConversion"/>
  </si>
  <si>
    <t>한진그린호(73)</t>
    <phoneticPr fontId="4" type="noConversion"/>
  </si>
  <si>
    <t>한진그린호(75)</t>
    <phoneticPr fontId="4" type="noConversion"/>
  </si>
  <si>
    <t>코렉스여수호(76)</t>
    <phoneticPr fontId="4" type="noConversion"/>
  </si>
  <si>
    <t>160-10</t>
    <phoneticPr fontId="4" type="noConversion"/>
  </si>
  <si>
    <t>6/20 08:00 여수도착</t>
    <phoneticPr fontId="4" type="noConversion"/>
  </si>
  <si>
    <t>250-270</t>
    <phoneticPr fontId="4" type="noConversion"/>
  </si>
  <si>
    <t>코렉스여수호(78)</t>
    <phoneticPr fontId="4" type="noConversion"/>
  </si>
  <si>
    <t>220-340</t>
    <phoneticPr fontId="4" type="noConversion"/>
  </si>
  <si>
    <t>SHUN FU WANG</t>
    <phoneticPr fontId="4" type="noConversion"/>
  </si>
  <si>
    <t>KEN SEI</t>
    <phoneticPr fontId="4" type="noConversion"/>
  </si>
  <si>
    <t>호주(ill)</t>
    <phoneticPr fontId="4" type="noConversion"/>
  </si>
  <si>
    <t>DARYA SITA 잔량</t>
    <phoneticPr fontId="4" type="noConversion"/>
  </si>
  <si>
    <t>W TRADER 하역분</t>
    <phoneticPr fontId="4" type="noConversion"/>
  </si>
  <si>
    <t>6/24 08:00 여수도착</t>
    <phoneticPr fontId="4" type="noConversion"/>
  </si>
  <si>
    <t>6/21 20:00 여수도착</t>
    <phoneticPr fontId="4" type="noConversion"/>
  </si>
  <si>
    <t>350-400</t>
    <phoneticPr fontId="4" type="noConversion"/>
  </si>
  <si>
    <t>200-10</t>
    <phoneticPr fontId="4" type="noConversion"/>
  </si>
  <si>
    <t>6/25 20:00 여수도착</t>
    <phoneticPr fontId="4" type="noConversion"/>
  </si>
  <si>
    <t>SHENG WEI 18</t>
    <phoneticPr fontId="4" type="noConversion"/>
  </si>
  <si>
    <t>370-390</t>
    <phoneticPr fontId="4" type="noConversion"/>
  </si>
  <si>
    <t>400-320</t>
    <phoneticPr fontId="4" type="noConversion"/>
  </si>
  <si>
    <t>7/1 08:00 여수도착</t>
    <phoneticPr fontId="4" type="noConversion"/>
  </si>
  <si>
    <t>7/3 08:00 여수도착</t>
    <phoneticPr fontId="4" type="noConversion"/>
  </si>
  <si>
    <t>코렉스여수호(80)</t>
    <phoneticPr fontId="4" type="noConversion"/>
  </si>
  <si>
    <t>코렉스여수호(82)</t>
    <phoneticPr fontId="4" type="noConversion"/>
  </si>
  <si>
    <t>한진그린호(83)</t>
    <phoneticPr fontId="4" type="noConversion"/>
  </si>
  <si>
    <t>7/4 08:00 여수도착</t>
    <phoneticPr fontId="4" type="noConversion"/>
  </si>
  <si>
    <t>60-160</t>
    <phoneticPr fontId="4" type="noConversion"/>
  </si>
  <si>
    <t>VENUS HISTORY</t>
    <phoneticPr fontId="4" type="noConversion"/>
  </si>
  <si>
    <t>JAG AMAIRA</t>
    <phoneticPr fontId="4" type="noConversion"/>
  </si>
  <si>
    <t>1140-1220</t>
    <phoneticPr fontId="4" type="noConversion"/>
  </si>
  <si>
    <t>200-280</t>
    <phoneticPr fontId="4" type="noConversion"/>
  </si>
  <si>
    <t>110-190</t>
    <phoneticPr fontId="4" type="noConversion"/>
  </si>
  <si>
    <t>브이샘</t>
    <phoneticPr fontId="4" type="noConversion"/>
  </si>
  <si>
    <t>용성7호</t>
    <phoneticPr fontId="4" type="noConversion"/>
  </si>
  <si>
    <t>150-60</t>
    <phoneticPr fontId="4" type="noConversion"/>
  </si>
  <si>
    <t>220-320</t>
    <phoneticPr fontId="4" type="noConversion"/>
  </si>
  <si>
    <t>7/9 08:00 여수도착</t>
    <phoneticPr fontId="4" type="noConversion"/>
  </si>
  <si>
    <t>티에스해피호</t>
    <phoneticPr fontId="4" type="noConversion"/>
  </si>
  <si>
    <t>코렉스여수호(86)</t>
    <phoneticPr fontId="4" type="noConversion"/>
  </si>
  <si>
    <t>7/13 08:00 여수도착</t>
    <phoneticPr fontId="4" type="noConversion"/>
  </si>
  <si>
    <t>목포선시멘트</t>
    <phoneticPr fontId="4" type="noConversion"/>
  </si>
  <si>
    <t>한국기초소재</t>
    <phoneticPr fontId="4" type="noConversion"/>
  </si>
  <si>
    <t>140-230</t>
    <phoneticPr fontId="4" type="noConversion"/>
  </si>
  <si>
    <t>130-60</t>
    <phoneticPr fontId="4" type="noConversion"/>
  </si>
  <si>
    <t>한진그린호(89)</t>
    <phoneticPr fontId="4" type="noConversion"/>
  </si>
  <si>
    <t>마린7호</t>
    <phoneticPr fontId="4" type="noConversion"/>
  </si>
  <si>
    <t>한진그린호(91)</t>
    <phoneticPr fontId="4" type="noConversion"/>
  </si>
  <si>
    <t>한진그린호(92)</t>
    <phoneticPr fontId="4" type="noConversion"/>
  </si>
  <si>
    <t>100-60</t>
    <phoneticPr fontId="4" type="noConversion"/>
  </si>
  <si>
    <t>7/14 08:00 여수도착</t>
    <phoneticPr fontId="4" type="noConversion"/>
  </si>
  <si>
    <t>고려기초소재</t>
    <phoneticPr fontId="4" type="noConversion"/>
  </si>
  <si>
    <t>170-180</t>
    <phoneticPr fontId="4" type="noConversion"/>
  </si>
  <si>
    <t>광양→낙포</t>
    <phoneticPr fontId="4" type="noConversion"/>
  </si>
  <si>
    <t>7/19 08:00 여수도착</t>
    <phoneticPr fontId="4" type="noConversion"/>
  </si>
  <si>
    <t>550-750</t>
    <phoneticPr fontId="4" type="noConversion"/>
  </si>
  <si>
    <t>290-410</t>
    <phoneticPr fontId="4" type="noConversion"/>
  </si>
  <si>
    <t>태화22호</t>
    <phoneticPr fontId="4" type="noConversion"/>
  </si>
  <si>
    <t>Crystal Jade</t>
    <phoneticPr fontId="4" type="noConversion"/>
  </si>
  <si>
    <t>210-20</t>
    <phoneticPr fontId="4" type="noConversion"/>
  </si>
  <si>
    <t>한진그린호(100)</t>
    <phoneticPr fontId="4" type="noConversion"/>
  </si>
  <si>
    <t>8/4 08:00 여수도착</t>
    <phoneticPr fontId="4" type="noConversion"/>
  </si>
  <si>
    <t>인니(TRA)</t>
    <phoneticPr fontId="4" type="noConversion"/>
  </si>
  <si>
    <t>7/2313:10</t>
    <phoneticPr fontId="4" type="noConversion"/>
  </si>
  <si>
    <t>250-180</t>
    <phoneticPr fontId="4" type="noConversion"/>
  </si>
  <si>
    <t>코렉스여수호(101)</t>
    <phoneticPr fontId="4" type="noConversion"/>
  </si>
  <si>
    <t>CAPE IRIS</t>
    <phoneticPr fontId="4" type="noConversion"/>
  </si>
  <si>
    <t>180-20</t>
    <phoneticPr fontId="4" type="noConversion"/>
  </si>
  <si>
    <t>광양단독(포스코 합적)</t>
    <phoneticPr fontId="4" type="noConversion"/>
  </si>
  <si>
    <t>재원니케</t>
    <phoneticPr fontId="4" type="noConversion"/>
  </si>
  <si>
    <t>코렉스여수호(103)</t>
    <phoneticPr fontId="4" type="noConversion"/>
  </si>
  <si>
    <t>8/5 08:00 여수도착</t>
    <phoneticPr fontId="4" type="noConversion"/>
  </si>
  <si>
    <t>8/8 08:00 여수도착</t>
    <phoneticPr fontId="4" type="noConversion"/>
  </si>
  <si>
    <t>760-550</t>
    <phoneticPr fontId="4" type="noConversion"/>
  </si>
  <si>
    <t>330-380</t>
    <phoneticPr fontId="4" type="noConversion"/>
  </si>
  <si>
    <t>하단작업</t>
    <phoneticPr fontId="4" type="noConversion"/>
  </si>
  <si>
    <t>PISKADOR</t>
    <phoneticPr fontId="4" type="noConversion"/>
  </si>
  <si>
    <t>코렉스여수호(107)</t>
    <phoneticPr fontId="4" type="noConversion"/>
  </si>
  <si>
    <t>8/13 08:00 여수도착</t>
    <phoneticPr fontId="4" type="noConversion"/>
  </si>
  <si>
    <t>160-20</t>
    <phoneticPr fontId="4" type="noConversion"/>
  </si>
  <si>
    <t>110-70</t>
    <phoneticPr fontId="4" type="noConversion"/>
  </si>
  <si>
    <t>여수화력</t>
    <phoneticPr fontId="4" type="noConversion"/>
  </si>
  <si>
    <t>130-20</t>
    <phoneticPr fontId="4" type="noConversion"/>
  </si>
  <si>
    <t>#3홀드 선적</t>
    <phoneticPr fontId="4" type="noConversion"/>
  </si>
  <si>
    <t>#1,2,4홀드 선적</t>
    <phoneticPr fontId="4" type="noConversion"/>
  </si>
  <si>
    <t>140-110</t>
    <phoneticPr fontId="4" type="noConversion"/>
  </si>
  <si>
    <t>800-850</t>
    <phoneticPr fontId="4" type="noConversion"/>
  </si>
  <si>
    <t>브랜드 구분 철저 (#3, #124)
S/L #1,2호기 동시선적</t>
    <phoneticPr fontId="4" type="noConversion"/>
  </si>
  <si>
    <t>낙포→광양</t>
    <phoneticPr fontId="4" type="noConversion"/>
  </si>
  <si>
    <t>150-290</t>
    <phoneticPr fontId="4" type="noConversion"/>
  </si>
  <si>
    <t>160-230</t>
    <phoneticPr fontId="4" type="noConversion"/>
  </si>
  <si>
    <t>현대당진호</t>
    <phoneticPr fontId="4" type="noConversion"/>
  </si>
  <si>
    <t>한진그린호</t>
    <phoneticPr fontId="4" type="noConversion"/>
  </si>
  <si>
    <t>8/20 13:00 여수도착</t>
    <phoneticPr fontId="4" type="noConversion"/>
  </si>
  <si>
    <t>110-20</t>
    <phoneticPr fontId="4" type="noConversion"/>
  </si>
  <si>
    <t>NEW VENTURE</t>
    <phoneticPr fontId="4" type="noConversion"/>
  </si>
  <si>
    <t>HONG XIANG</t>
    <phoneticPr fontId="4" type="noConversion"/>
  </si>
  <si>
    <t>HOANH SON GALAXY</t>
    <phoneticPr fontId="4" type="noConversion"/>
  </si>
  <si>
    <t>코렉스여수호</t>
    <phoneticPr fontId="4" type="noConversion"/>
  </si>
  <si>
    <t>290-200</t>
    <phoneticPr fontId="4" type="noConversion"/>
  </si>
  <si>
    <t>60-80</t>
    <phoneticPr fontId="4" type="noConversion"/>
  </si>
  <si>
    <t>8/25 08:00 여수도착</t>
    <phoneticPr fontId="4" type="noConversion"/>
  </si>
  <si>
    <t>환적화물</t>
    <phoneticPr fontId="4" type="noConversion"/>
  </si>
  <si>
    <t>120-140</t>
    <phoneticPr fontId="4" type="noConversion"/>
  </si>
  <si>
    <t>520-550</t>
    <phoneticPr fontId="4" type="noConversion"/>
  </si>
  <si>
    <t>1,3홀드 선적</t>
    <phoneticPr fontId="4" type="noConversion"/>
  </si>
  <si>
    <t>2,4홀드 선적</t>
    <phoneticPr fontId="4" type="noConversion"/>
  </si>
  <si>
    <t>0-110</t>
    <phoneticPr fontId="4" type="noConversion"/>
  </si>
  <si>
    <t>70-40</t>
    <phoneticPr fontId="4" type="noConversion"/>
  </si>
  <si>
    <t>210-290</t>
    <phoneticPr fontId="4" type="noConversion"/>
  </si>
  <si>
    <t>80-160</t>
    <phoneticPr fontId="4" type="noConversion"/>
  </si>
  <si>
    <t>340-380</t>
    <phoneticPr fontId="4" type="noConversion"/>
  </si>
  <si>
    <t>MV. SEA EMPIRE 신탄선적</t>
    <phoneticPr fontId="4" type="noConversion"/>
  </si>
  <si>
    <t>KEN MEI</t>
    <phoneticPr fontId="4" type="noConversion"/>
  </si>
  <si>
    <t>수출슬라그</t>
    <phoneticPr fontId="4" type="noConversion"/>
  </si>
  <si>
    <t>한진그린호(121)</t>
    <phoneticPr fontId="4" type="noConversion"/>
  </si>
  <si>
    <t>한진그린호(119)</t>
    <phoneticPr fontId="4" type="noConversion"/>
  </si>
  <si>
    <t>코렉스여수호(118)</t>
    <phoneticPr fontId="4" type="noConversion"/>
  </si>
  <si>
    <t>130-400</t>
    <phoneticPr fontId="4" type="noConversion"/>
  </si>
  <si>
    <t>110-60</t>
    <phoneticPr fontId="4" type="noConversion"/>
  </si>
  <si>
    <t>9/5 08:00 여수도착</t>
    <phoneticPr fontId="4" type="noConversion"/>
  </si>
  <si>
    <t>360-380</t>
    <phoneticPr fontId="4" type="noConversion"/>
  </si>
  <si>
    <t>9/8 08:00 여수도착</t>
    <phoneticPr fontId="4" type="noConversion"/>
  </si>
  <si>
    <t>60-120</t>
    <phoneticPr fontId="4" type="noConversion"/>
  </si>
  <si>
    <t>연성, 9/11 03:00 완료예정</t>
    <phoneticPr fontId="4" type="noConversion"/>
  </si>
  <si>
    <t>TRAWIND VISION</t>
    <phoneticPr fontId="4" type="noConversion"/>
  </si>
  <si>
    <t>호주(BEN)</t>
    <phoneticPr fontId="4" type="noConversion"/>
  </si>
  <si>
    <t>270-350</t>
    <phoneticPr fontId="4" type="noConversion"/>
  </si>
  <si>
    <t>ORIENTAL NEPTUNE</t>
    <phoneticPr fontId="4" type="noConversion"/>
  </si>
  <si>
    <t>AOMARI</t>
    <phoneticPr fontId="4" type="noConversion"/>
  </si>
  <si>
    <t>석탄(캐나다)</t>
    <phoneticPr fontId="4" type="noConversion"/>
  </si>
  <si>
    <t>SOC GLORY</t>
    <phoneticPr fontId="4" type="noConversion"/>
  </si>
  <si>
    <t>140-70</t>
    <phoneticPr fontId="4" type="noConversion"/>
  </si>
  <si>
    <t>260-160</t>
    <phoneticPr fontId="4" type="noConversion"/>
  </si>
  <si>
    <t>러시아(LXI)</t>
    <phoneticPr fontId="4" type="noConversion"/>
  </si>
  <si>
    <t>풍농</t>
    <phoneticPr fontId="4" type="noConversion"/>
  </si>
  <si>
    <t>0-210</t>
    <phoneticPr fontId="4" type="noConversion"/>
  </si>
  <si>
    <t>140-90</t>
    <phoneticPr fontId="4" type="noConversion"/>
  </si>
  <si>
    <t>해건12000호</t>
    <phoneticPr fontId="4" type="noConversion"/>
  </si>
  <si>
    <t>광양→낙포</t>
  </si>
  <si>
    <t>OCEAN GOLD</t>
    <phoneticPr fontId="4" type="noConversion"/>
  </si>
  <si>
    <t>150-280</t>
    <phoneticPr fontId="4" type="noConversion"/>
  </si>
  <si>
    <t>RED LILY</t>
    <phoneticPr fontId="4" type="noConversion"/>
  </si>
  <si>
    <t>ARISTA</t>
    <phoneticPr fontId="4" type="noConversion"/>
  </si>
  <si>
    <t>마린10001호</t>
    <phoneticPr fontId="4" type="noConversion"/>
  </si>
  <si>
    <t>10/2 08:00 여수도착</t>
    <phoneticPr fontId="4" type="noConversion"/>
  </si>
  <si>
    <t>10/6 08:00 여수도착</t>
    <phoneticPr fontId="4" type="noConversion"/>
  </si>
  <si>
    <t>400-170</t>
    <phoneticPr fontId="4" type="noConversion"/>
  </si>
  <si>
    <t>140-100</t>
    <phoneticPr fontId="4" type="noConversion"/>
  </si>
  <si>
    <t>BEI LUN HAI SAI</t>
    <phoneticPr fontId="4" type="noConversion"/>
  </si>
  <si>
    <t>190-290</t>
    <phoneticPr fontId="4" type="noConversion"/>
  </si>
  <si>
    <t>140-10</t>
    <phoneticPr fontId="4" type="noConversion"/>
  </si>
  <si>
    <t>10/10 여수도착</t>
    <phoneticPr fontId="4" type="noConversion"/>
  </si>
  <si>
    <t>220-370</t>
    <phoneticPr fontId="4" type="noConversion"/>
  </si>
  <si>
    <t>10/13 여수도착</t>
    <phoneticPr fontId="4" type="noConversion"/>
  </si>
  <si>
    <t>60-140</t>
    <phoneticPr fontId="4" type="noConversion"/>
  </si>
  <si>
    <t>400-100</t>
    <phoneticPr fontId="4" type="noConversion"/>
  </si>
  <si>
    <t>HS GLORY</t>
    <phoneticPr fontId="4" type="noConversion"/>
  </si>
  <si>
    <t>10/16 여수도착</t>
    <phoneticPr fontId="4" type="noConversion"/>
  </si>
  <si>
    <t>10/20 여수도착</t>
    <phoneticPr fontId="4" type="noConversion"/>
  </si>
  <si>
    <t>10/16 02:00 출항예정</t>
    <phoneticPr fontId="4" type="noConversion"/>
  </si>
  <si>
    <t>130-10</t>
    <phoneticPr fontId="4" type="noConversion"/>
  </si>
  <si>
    <t>태화12호</t>
    <phoneticPr fontId="4" type="noConversion"/>
  </si>
  <si>
    <t>XIN LING HANG 28</t>
    <phoneticPr fontId="4" type="noConversion"/>
  </si>
  <si>
    <t>250-370</t>
    <phoneticPr fontId="4" type="noConversion"/>
  </si>
  <si>
    <t>170-200</t>
    <phoneticPr fontId="4" type="noConversion"/>
  </si>
  <si>
    <t>120-80</t>
    <phoneticPr fontId="4" type="noConversion"/>
  </si>
  <si>
    <t>10/26 여수도착</t>
    <phoneticPr fontId="4" type="noConversion"/>
  </si>
  <si>
    <t>B/L양으로 협정必</t>
    <phoneticPr fontId="4" type="noConversion"/>
  </si>
  <si>
    <t>코크스</t>
    <phoneticPr fontId="4" type="noConversion"/>
  </si>
  <si>
    <t>포스코</t>
    <phoneticPr fontId="4" type="noConversion"/>
  </si>
  <si>
    <t>220-350</t>
    <phoneticPr fontId="4" type="noConversion"/>
  </si>
  <si>
    <t>포항 FINEX용 코크스 긴급소요에 따른 해송이송 필요</t>
    <phoneticPr fontId="4" type="noConversion"/>
  </si>
  <si>
    <t>307조양호</t>
    <phoneticPr fontId="4" type="noConversion"/>
  </si>
  <si>
    <t>RUI SGENG 6</t>
    <phoneticPr fontId="4" type="noConversion"/>
  </si>
  <si>
    <t>제니스오리온호</t>
    <phoneticPr fontId="4" type="noConversion"/>
  </si>
  <si>
    <t>150-400</t>
    <phoneticPr fontId="4" type="noConversion"/>
  </si>
  <si>
    <t>TTM HARMONY</t>
    <phoneticPr fontId="4" type="noConversion"/>
  </si>
  <si>
    <t>펫콕(미국)</t>
    <phoneticPr fontId="4" type="noConversion"/>
  </si>
  <si>
    <t>320-250</t>
    <phoneticPr fontId="4" type="noConversion"/>
  </si>
  <si>
    <t>20-150</t>
    <phoneticPr fontId="4" type="noConversion"/>
  </si>
  <si>
    <t>유건호</t>
    <phoneticPr fontId="4" type="noConversion"/>
  </si>
  <si>
    <t>CRETANSEA</t>
    <phoneticPr fontId="4" type="noConversion"/>
  </si>
  <si>
    <t>KM HONGKONG</t>
    <phoneticPr fontId="4" type="noConversion"/>
  </si>
  <si>
    <t>MISSION REVIVAL</t>
    <phoneticPr fontId="4" type="noConversion"/>
  </si>
  <si>
    <t>320-340</t>
    <phoneticPr fontId="4" type="noConversion"/>
  </si>
  <si>
    <t>140-50</t>
    <phoneticPr fontId="4" type="noConversion"/>
  </si>
  <si>
    <t>11/11 여수도착</t>
    <phoneticPr fontId="4" type="noConversion"/>
  </si>
  <si>
    <t>11/20 여수도착</t>
    <phoneticPr fontId="4" type="noConversion"/>
  </si>
  <si>
    <t>인니(WARA)</t>
    <phoneticPr fontId="4" type="noConversion"/>
  </si>
  <si>
    <r>
      <t xml:space="preserve">O
</t>
    </r>
    <r>
      <rPr>
        <sz val="11"/>
        <color rgb="FFFF0000"/>
        <rFont val="맑은 고딕"/>
        <family val="3"/>
        <charset val="129"/>
        <scheme val="minor"/>
      </rPr>
      <t>(2브랜드)</t>
    </r>
    <phoneticPr fontId="4" type="noConversion"/>
  </si>
  <si>
    <t>210-10</t>
    <phoneticPr fontId="4" type="noConversion"/>
  </si>
  <si>
    <t>광양→군산 떠먹기</t>
    <phoneticPr fontId="4" type="noConversion"/>
  </si>
  <si>
    <t>PVT HN</t>
    <phoneticPr fontId="4" type="noConversion"/>
  </si>
  <si>
    <t>190-245</t>
    <phoneticPr fontId="4" type="noConversion"/>
  </si>
  <si>
    <t>105-155</t>
    <phoneticPr fontId="4" type="noConversion"/>
  </si>
  <si>
    <t>러시아(ETC)</t>
    <phoneticPr fontId="4" type="noConversion"/>
  </si>
  <si>
    <t>90-20</t>
    <phoneticPr fontId="4" type="noConversion"/>
  </si>
  <si>
    <t>LUCKY LOONG</t>
    <phoneticPr fontId="4" type="noConversion"/>
  </si>
  <si>
    <t>고객사 BAO HORNG(대만)</t>
    <phoneticPr fontId="4" type="noConversion"/>
  </si>
  <si>
    <t>PEONIX NEREID</t>
    <phoneticPr fontId="4" type="noConversion"/>
  </si>
  <si>
    <t>11/25 여수도착</t>
    <phoneticPr fontId="4" type="noConversion"/>
  </si>
  <si>
    <t>100-400</t>
    <phoneticPr fontId="4" type="noConversion"/>
  </si>
  <si>
    <t>11/26 여수도착</t>
    <phoneticPr fontId="4" type="noConversion"/>
  </si>
  <si>
    <t>100-50</t>
    <phoneticPr fontId="4" type="noConversion"/>
  </si>
  <si>
    <t>11/19 PM ETA 고객사 YTL(말레이지아)</t>
    <phoneticPr fontId="4" type="noConversion"/>
  </si>
  <si>
    <t>CTYSTAL WAVE</t>
    <phoneticPr fontId="4" type="noConversion"/>
  </si>
  <si>
    <t>12/3 여수도착</t>
    <phoneticPr fontId="4" type="noConversion"/>
  </si>
  <si>
    <t>슬라그</t>
    <phoneticPr fontId="4" type="noConversion"/>
  </si>
  <si>
    <t>130-320</t>
    <phoneticPr fontId="4" type="noConversion"/>
  </si>
  <si>
    <t>11/23입항</t>
    <phoneticPr fontId="4" type="noConversion"/>
  </si>
  <si>
    <t>11/24입항</t>
    <phoneticPr fontId="4" type="noConversion"/>
  </si>
  <si>
    <t>11/26입항</t>
    <phoneticPr fontId="4" type="noConversion"/>
  </si>
  <si>
    <t>11/29입항</t>
    <phoneticPr fontId="4" type="noConversion"/>
  </si>
  <si>
    <t>효성(LUCKY CEMENT)</t>
    <phoneticPr fontId="4" type="noConversion"/>
  </si>
  <si>
    <t>12/5 여수도착</t>
    <phoneticPr fontId="4" type="noConversion"/>
  </si>
  <si>
    <t>호주(GLE)</t>
    <phoneticPr fontId="4" type="noConversion"/>
  </si>
  <si>
    <t xml:space="preserve"> </t>
    <phoneticPr fontId="4" type="noConversion"/>
  </si>
  <si>
    <t>12/2 여수도착</t>
    <phoneticPr fontId="4" type="noConversion"/>
  </si>
  <si>
    <t>JK군장호 완료 후</t>
    <phoneticPr fontId="4" type="noConversion"/>
  </si>
  <si>
    <t>12/1입항</t>
    <phoneticPr fontId="4" type="noConversion"/>
  </si>
  <si>
    <t>인니STX)</t>
    <phoneticPr fontId="4" type="noConversion"/>
  </si>
  <si>
    <t>290-350</t>
    <phoneticPr fontId="4" type="noConversion"/>
  </si>
  <si>
    <t>잔탄처리/1차집탄만 실시</t>
    <phoneticPr fontId="4" type="noConversion"/>
  </si>
  <si>
    <t>TAN BINH 239</t>
    <phoneticPr fontId="4" type="noConversion"/>
  </si>
  <si>
    <t>CAPE IRIS 잔탄선적</t>
    <phoneticPr fontId="4" type="noConversion"/>
  </si>
  <si>
    <t>0-200</t>
    <phoneticPr fontId="4" type="noConversion"/>
  </si>
  <si>
    <t>연성</t>
    <phoneticPr fontId="4" type="noConversion"/>
  </si>
  <si>
    <t>선양</t>
    <phoneticPr fontId="4" type="noConversion"/>
  </si>
  <si>
    <t>서보</t>
    <phoneticPr fontId="4" type="noConversion"/>
  </si>
  <si>
    <t>170-400</t>
    <phoneticPr fontId="4" type="noConversion"/>
  </si>
  <si>
    <t>110-220</t>
    <phoneticPr fontId="4" type="noConversion"/>
  </si>
  <si>
    <t>WOOYANG IVY</t>
    <phoneticPr fontId="4" type="noConversion"/>
  </si>
  <si>
    <t>Crystal Wave</t>
    <phoneticPr fontId="4" type="noConversion"/>
  </si>
  <si>
    <t>12/9 08:00 여수도착</t>
    <phoneticPr fontId="4" type="noConversion"/>
  </si>
  <si>
    <t>12/11 08:00 여수도착</t>
    <phoneticPr fontId="4" type="noConversion"/>
  </si>
  <si>
    <t>해왕</t>
    <phoneticPr fontId="4" type="noConversion"/>
  </si>
  <si>
    <t>310-350</t>
    <phoneticPr fontId="4" type="noConversion"/>
  </si>
  <si>
    <t>NENG YUAN</t>
    <phoneticPr fontId="4" type="noConversion"/>
  </si>
  <si>
    <t>광양→고성</t>
    <phoneticPr fontId="4" type="noConversion"/>
  </si>
  <si>
    <t>320-330</t>
    <phoneticPr fontId="4" type="noConversion"/>
  </si>
  <si>
    <t>12/8 10:00 NOR</t>
    <phoneticPr fontId="4" type="noConversion"/>
  </si>
  <si>
    <t>위모선 완료 후</t>
    <phoneticPr fontId="4" type="noConversion"/>
  </si>
  <si>
    <t>12/12 08:00 여수도착</t>
    <phoneticPr fontId="4" type="noConversion"/>
  </si>
  <si>
    <t>인니(BMB)</t>
    <phoneticPr fontId="4" type="noConversion"/>
  </si>
  <si>
    <t>340-360</t>
    <phoneticPr fontId="4" type="noConversion"/>
  </si>
  <si>
    <t>220-130</t>
    <phoneticPr fontId="4" type="noConversion"/>
  </si>
  <si>
    <t>2브랜드 따로 서베이 필요</t>
    <phoneticPr fontId="4" type="noConversion"/>
  </si>
  <si>
    <t>KROUSSON</t>
    <phoneticPr fontId="4" type="noConversion"/>
  </si>
  <si>
    <t>PACIFIC SEAGULL</t>
    <phoneticPr fontId="4" type="noConversion"/>
  </si>
  <si>
    <t>일본→광양</t>
    <phoneticPr fontId="4" type="noConversion"/>
  </si>
  <si>
    <t>신탄 선적</t>
    <phoneticPr fontId="4" type="noConversion"/>
  </si>
  <si>
    <t>240-340</t>
    <phoneticPr fontId="4" type="noConversion"/>
  </si>
  <si>
    <t>구탄선적</t>
    <phoneticPr fontId="4" type="noConversion"/>
  </si>
  <si>
    <t>12/17 08:00 여수도착</t>
    <phoneticPr fontId="4" type="noConversion"/>
  </si>
  <si>
    <t>140-60</t>
    <phoneticPr fontId="4" type="noConversion"/>
  </si>
  <si>
    <t>X</t>
    <phoneticPr fontId="4" type="noConversion"/>
  </si>
  <si>
    <t>한진</t>
    <phoneticPr fontId="4" type="noConversion"/>
  </si>
  <si>
    <t>광양</t>
    <phoneticPr fontId="4" type="noConversion"/>
  </si>
  <si>
    <t>여수착</t>
    <phoneticPr fontId="4" type="noConversion"/>
  </si>
  <si>
    <t>변경요청</t>
    <phoneticPr fontId="4" type="noConversion"/>
  </si>
  <si>
    <t>210-130</t>
    <phoneticPr fontId="4" type="noConversion"/>
  </si>
  <si>
    <t>신탄선적</t>
    <phoneticPr fontId="4" type="noConversion"/>
  </si>
  <si>
    <t>구탄선적/ 잔탄처리</t>
    <phoneticPr fontId="4" type="noConversion"/>
  </si>
  <si>
    <t>12/20 20:00 여수도착</t>
    <phoneticPr fontId="4" type="noConversion"/>
  </si>
  <si>
    <t>12/21 08:00 여수도착</t>
    <phoneticPr fontId="4" type="noConversion"/>
  </si>
  <si>
    <t>12/22 08:00 여수도착</t>
    <phoneticPr fontId="4" type="noConversion"/>
  </si>
  <si>
    <t>12/23 08:00 여수도착</t>
    <phoneticPr fontId="4" type="noConversion"/>
  </si>
  <si>
    <t>230-400</t>
    <phoneticPr fontId="4" type="noConversion"/>
  </si>
  <si>
    <t>190-60</t>
    <phoneticPr fontId="4" type="noConversion"/>
  </si>
  <si>
    <t>BLESSING SW</t>
    <phoneticPr fontId="4" type="noConversion"/>
  </si>
  <si>
    <t>5기휴지 주간</t>
    <phoneticPr fontId="4" type="noConversion"/>
  </si>
  <si>
    <t>170-10</t>
    <phoneticPr fontId="4" type="noConversion"/>
  </si>
  <si>
    <t>100-10</t>
    <phoneticPr fontId="4" type="noConversion"/>
  </si>
  <si>
    <t>HOANH SON STAR</t>
    <phoneticPr fontId="4" type="noConversion"/>
  </si>
  <si>
    <t>12/26 여수도착</t>
    <phoneticPr fontId="4" type="noConversion"/>
  </si>
  <si>
    <t>12/29 여수도착</t>
    <phoneticPr fontId="4" type="noConversion"/>
  </si>
  <si>
    <t>12/26 10:12 입항</t>
    <phoneticPr fontId="4" type="noConversion"/>
  </si>
  <si>
    <t>ORIENTAL CORE</t>
    <phoneticPr fontId="4" type="noConversion"/>
  </si>
  <si>
    <t>240-320</t>
    <phoneticPr fontId="4" type="noConversion"/>
  </si>
  <si>
    <t>인니(KCH 신탄)</t>
    <phoneticPr fontId="4" type="noConversion"/>
  </si>
  <si>
    <t>12/27 19:00 입항</t>
    <phoneticPr fontId="4" type="noConversion"/>
  </si>
  <si>
    <t>1/2 08:00 여수도착</t>
    <phoneticPr fontId="4" type="noConversion"/>
  </si>
  <si>
    <t>1/9 08:00 여수도착</t>
    <phoneticPr fontId="4" type="noConversion"/>
  </si>
  <si>
    <t>10-220</t>
    <phoneticPr fontId="4" type="noConversion"/>
  </si>
  <si>
    <t>0-240</t>
    <phoneticPr fontId="4" type="noConversion"/>
  </si>
  <si>
    <t>290-230</t>
    <phoneticPr fontId="4" type="noConversion"/>
  </si>
  <si>
    <t>1/1 13:00 입항</t>
    <phoneticPr fontId="4" type="noConversion"/>
  </si>
  <si>
    <t>1/5 20:00 여수도착</t>
    <phoneticPr fontId="4" type="noConversion"/>
  </si>
  <si>
    <t>1/10 08:00 여수도착</t>
    <phoneticPr fontId="4" type="noConversion"/>
  </si>
  <si>
    <t>인니(KCH 구탄)</t>
    <phoneticPr fontId="4" type="noConversion"/>
  </si>
  <si>
    <t>250-340</t>
    <phoneticPr fontId="4" type="noConversion"/>
  </si>
  <si>
    <t>1/8 08:00 여수도착</t>
    <phoneticPr fontId="4" type="noConversion"/>
  </si>
  <si>
    <t>250-330</t>
    <phoneticPr fontId="4" type="noConversion"/>
  </si>
  <si>
    <t>CRYSTAL JADE</t>
    <phoneticPr fontId="4" type="noConversion"/>
  </si>
  <si>
    <t>80-50</t>
    <phoneticPr fontId="4" type="noConversion"/>
  </si>
  <si>
    <t>320-270</t>
    <phoneticPr fontId="4" type="noConversion"/>
  </si>
  <si>
    <t>260-290</t>
    <phoneticPr fontId="4" type="noConversion"/>
  </si>
  <si>
    <t>250-20</t>
    <phoneticPr fontId="4" type="noConversion"/>
  </si>
  <si>
    <t>280-260</t>
    <phoneticPr fontId="4" type="noConversion"/>
  </si>
  <si>
    <t>태화102호</t>
    <phoneticPr fontId="4" type="noConversion"/>
  </si>
  <si>
    <t>1/13 12:00 군산도착 必</t>
    <phoneticPr fontId="4" type="noConversion"/>
  </si>
  <si>
    <t>1. 해송반입 (CTS)</t>
    <phoneticPr fontId="4" type="noConversion"/>
  </si>
  <si>
    <t>240-20</t>
    <phoneticPr fontId="4" type="noConversion"/>
  </si>
  <si>
    <t>1/20 08:00 여수도착</t>
    <phoneticPr fontId="4" type="noConversion"/>
  </si>
  <si>
    <t>SM HARMONY2</t>
    <phoneticPr fontId="4" type="noConversion"/>
  </si>
  <si>
    <t>1/15 14:00 입항</t>
    <phoneticPr fontId="4" type="noConversion"/>
  </si>
  <si>
    <t>1/10 22:10 입항</t>
    <phoneticPr fontId="4" type="noConversion"/>
  </si>
  <si>
    <t>1/15 22:00 입항</t>
    <phoneticPr fontId="4" type="noConversion"/>
  </si>
  <si>
    <t>ㅕ</t>
    <phoneticPr fontId="4" type="noConversion"/>
  </si>
  <si>
    <t>360-320</t>
    <phoneticPr fontId="4" type="noConversion"/>
  </si>
  <si>
    <t>O
(2브랜드)</t>
    <phoneticPr fontId="4" type="noConversion"/>
  </si>
  <si>
    <t>MV. MISSION REVIVAL 잔탄선적</t>
    <phoneticPr fontId="4" type="noConversion"/>
  </si>
  <si>
    <t>MV. PACIFIC SEAGULL 선적</t>
    <phoneticPr fontId="4" type="noConversion"/>
  </si>
  <si>
    <t>광양→영흥</t>
    <phoneticPr fontId="4" type="noConversion"/>
  </si>
  <si>
    <t>2/3 여수도착</t>
    <phoneticPr fontId="4" type="noConversion"/>
  </si>
  <si>
    <t>인니(Flame)</t>
    <phoneticPr fontId="4" type="noConversion"/>
  </si>
  <si>
    <t>1/27 08:00 여수도착</t>
    <phoneticPr fontId="4" type="noConversion"/>
  </si>
  <si>
    <t>170-150</t>
    <phoneticPr fontId="4" type="noConversion"/>
  </si>
  <si>
    <t>160-30</t>
    <phoneticPr fontId="4" type="noConversion"/>
  </si>
  <si>
    <t>KEN SKY</t>
    <phoneticPr fontId="4" type="noConversion"/>
  </si>
  <si>
    <t>2/1 여수도착</t>
    <phoneticPr fontId="4" type="noConversion"/>
  </si>
  <si>
    <t>2/2 여수도착</t>
    <phoneticPr fontId="4" type="noConversion"/>
  </si>
  <si>
    <t>2/10 여수도착</t>
    <phoneticPr fontId="4" type="noConversion"/>
  </si>
  <si>
    <t>2/6 여수도착</t>
    <phoneticPr fontId="4" type="noConversion"/>
  </si>
  <si>
    <t>150-30</t>
    <phoneticPr fontId="4" type="noConversion"/>
  </si>
  <si>
    <t>180-400</t>
    <phoneticPr fontId="4" type="noConversion"/>
  </si>
  <si>
    <t>ITG UMING 1</t>
    <phoneticPr fontId="4" type="noConversion"/>
  </si>
  <si>
    <t>2/3 08:00 ~ 2/5 17:00 6기 반출라인 정비</t>
    <phoneticPr fontId="4" type="noConversion"/>
  </si>
  <si>
    <t>140-30</t>
    <phoneticPr fontId="4" type="noConversion"/>
  </si>
  <si>
    <t>2/11 여수도착</t>
    <phoneticPr fontId="4" type="noConversion"/>
  </si>
  <si>
    <t>2/16 여수도착</t>
    <phoneticPr fontId="4" type="noConversion"/>
  </si>
  <si>
    <t>러시아탄 건조분 선적</t>
    <phoneticPr fontId="4" type="noConversion"/>
  </si>
  <si>
    <t>220-270</t>
    <phoneticPr fontId="4" type="noConversion"/>
  </si>
  <si>
    <t>150-200</t>
    <phoneticPr fontId="4" type="noConversion"/>
  </si>
  <si>
    <t>320-350</t>
    <phoneticPr fontId="4" type="noConversion"/>
  </si>
  <si>
    <t>인니(FLAME)</t>
    <phoneticPr fontId="4" type="noConversion"/>
  </si>
  <si>
    <t>2/17 여수도착</t>
    <phoneticPr fontId="4" type="noConversion"/>
  </si>
  <si>
    <t>DONG MINH</t>
    <phoneticPr fontId="4" type="noConversion"/>
  </si>
  <si>
    <t>2/13 13:00 ~ 2/15 17:00 반출부두 주행레일 교체작업</t>
    <phoneticPr fontId="4" type="noConversion"/>
  </si>
  <si>
    <t>O
(BL협정)</t>
    <phoneticPr fontId="4" type="noConversion"/>
  </si>
  <si>
    <t>2/13 08:00 ~ 2/14 16:00 컨베이어벨트 수리</t>
    <phoneticPr fontId="4" type="noConversion"/>
  </si>
  <si>
    <t>310-220</t>
    <phoneticPr fontId="4" type="noConversion"/>
  </si>
  <si>
    <t>110-40</t>
    <phoneticPr fontId="4" type="noConversion"/>
  </si>
  <si>
    <t>FLYFREE</t>
    <phoneticPr fontId="4" type="noConversion"/>
  </si>
  <si>
    <t>5기</t>
    <phoneticPr fontId="4" type="noConversion"/>
  </si>
  <si>
    <t>6기</t>
    <phoneticPr fontId="4" type="noConversion"/>
  </si>
  <si>
    <t>포스코인터내셔널</t>
    <phoneticPr fontId="4" type="noConversion"/>
  </si>
  <si>
    <t>140-240</t>
    <phoneticPr fontId="4" type="noConversion"/>
  </si>
  <si>
    <t>130-50</t>
    <phoneticPr fontId="4" type="noConversion"/>
  </si>
  <si>
    <t>2/22 여수도착</t>
    <phoneticPr fontId="4" type="noConversion"/>
  </si>
  <si>
    <t>HUI TONG</t>
    <phoneticPr fontId="4" type="noConversion"/>
  </si>
  <si>
    <t>240-140</t>
    <phoneticPr fontId="4" type="noConversion"/>
  </si>
  <si>
    <t>200-20</t>
    <phoneticPr fontId="4" type="noConversion"/>
  </si>
  <si>
    <t>O
(브랜드
구분)</t>
    <phoneticPr fontId="4" type="noConversion"/>
  </si>
  <si>
    <t>NORD SEINE</t>
    <phoneticPr fontId="4" type="noConversion"/>
  </si>
  <si>
    <t>210-140</t>
    <phoneticPr fontId="4" type="noConversion"/>
  </si>
  <si>
    <t>북남작업</t>
    <phoneticPr fontId="4" type="noConversion"/>
  </si>
  <si>
    <t>300-0</t>
    <phoneticPr fontId="4" type="noConversion"/>
  </si>
  <si>
    <t>140-20</t>
    <phoneticPr fontId="4" type="noConversion"/>
  </si>
  <si>
    <t>AFRICAN SWIFT</t>
    <phoneticPr fontId="4" type="noConversion"/>
  </si>
  <si>
    <t>인니(Muara)</t>
    <phoneticPr fontId="4" type="noConversion"/>
  </si>
  <si>
    <t>240-310</t>
    <phoneticPr fontId="4" type="noConversion"/>
  </si>
  <si>
    <t>260-310</t>
    <phoneticPr fontId="4" type="noConversion"/>
  </si>
  <si>
    <t>인니(Tra)</t>
    <phoneticPr fontId="4" type="noConversion"/>
  </si>
  <si>
    <t>310-30</t>
    <phoneticPr fontId="4" type="noConversion"/>
  </si>
  <si>
    <t>3/18 여수도착</t>
    <phoneticPr fontId="4" type="noConversion"/>
  </si>
  <si>
    <t>3/14 여수도착</t>
    <phoneticPr fontId="4" type="noConversion"/>
  </si>
  <si>
    <t>3/15 여수도착</t>
    <phoneticPr fontId="4" type="noConversion"/>
  </si>
  <si>
    <t>120-60</t>
    <phoneticPr fontId="4" type="noConversion"/>
  </si>
  <si>
    <t>ASIA SPRING</t>
    <phoneticPr fontId="4" type="noConversion"/>
  </si>
  <si>
    <t>0-260</t>
    <phoneticPr fontId="4" type="noConversion"/>
  </si>
  <si>
    <t>PH MINH GIANG</t>
    <phoneticPr fontId="4" type="noConversion"/>
  </si>
  <si>
    <t>효성(ASIA Cement)</t>
    <phoneticPr fontId="4" type="noConversion"/>
  </si>
  <si>
    <t>3/23 아침까지 선적완료 필요</t>
    <phoneticPr fontId="4" type="noConversion"/>
  </si>
  <si>
    <t>290-30</t>
    <phoneticPr fontId="4" type="noConversion"/>
  </si>
  <si>
    <t>HONG LI</t>
    <phoneticPr fontId="4" type="noConversion"/>
  </si>
  <si>
    <t>CHC RESOURCES</t>
    <phoneticPr fontId="4" type="noConversion"/>
  </si>
  <si>
    <t>340-350</t>
    <phoneticPr fontId="4" type="noConversion"/>
  </si>
  <si>
    <t>창세</t>
    <phoneticPr fontId="4" type="noConversion"/>
  </si>
  <si>
    <t>O
(브랜드 
구분)</t>
    <phoneticPr fontId="4" type="noConversion"/>
  </si>
  <si>
    <t>4/5 여수도착</t>
    <phoneticPr fontId="4" type="noConversion"/>
  </si>
  <si>
    <t>4/6 여수도착</t>
    <phoneticPr fontId="4" type="noConversion"/>
  </si>
  <si>
    <t>OCEAN FLEET</t>
    <phoneticPr fontId="4" type="noConversion"/>
  </si>
  <si>
    <t>270-30</t>
    <phoneticPr fontId="4" type="noConversion"/>
  </si>
  <si>
    <t>4/2 여수도착</t>
    <phoneticPr fontId="4" type="noConversion"/>
  </si>
  <si>
    <t>330-180</t>
    <phoneticPr fontId="4" type="noConversion"/>
  </si>
  <si>
    <t xml:space="preserve">4월 5일 아침착 한진그린호 -&gt; 하루씩 뒤로 </t>
    <phoneticPr fontId="4" type="noConversion"/>
  </si>
  <si>
    <t>400-200</t>
    <phoneticPr fontId="4" type="noConversion"/>
  </si>
  <si>
    <t>브랜드 구분</t>
    <phoneticPr fontId="4" type="noConversion"/>
  </si>
  <si>
    <t>230-30</t>
    <phoneticPr fontId="4" type="noConversion"/>
  </si>
  <si>
    <t>YIN NING</t>
    <phoneticPr fontId="4" type="noConversion"/>
  </si>
  <si>
    <t>2브랜드 선적됨. 
구분 적치필요</t>
    <phoneticPr fontId="4" type="noConversion"/>
  </si>
  <si>
    <t>포세이돈</t>
    <phoneticPr fontId="4" type="noConversion"/>
  </si>
  <si>
    <t>MP GOLD</t>
    <phoneticPr fontId="4" type="noConversion"/>
  </si>
  <si>
    <t>러시아(KCH)</t>
    <phoneticPr fontId="4" type="noConversion"/>
  </si>
  <si>
    <t>110-30</t>
    <phoneticPr fontId="4" type="noConversion"/>
  </si>
  <si>
    <t>330-220</t>
    <phoneticPr fontId="4" type="noConversion"/>
  </si>
  <si>
    <t>150-260</t>
    <phoneticPr fontId="4" type="noConversion"/>
  </si>
  <si>
    <t>280-330</t>
    <phoneticPr fontId="4" type="noConversion"/>
  </si>
  <si>
    <t>DD VICTORY</t>
    <phoneticPr fontId="4" type="noConversion"/>
  </si>
  <si>
    <t>180-260</t>
    <phoneticPr fontId="4" type="noConversion"/>
  </si>
  <si>
    <t>50-70</t>
    <phoneticPr fontId="4" type="noConversion"/>
  </si>
  <si>
    <t>구분</t>
    <phoneticPr fontId="4" type="noConversion"/>
  </si>
  <si>
    <t>180-100</t>
    <phoneticPr fontId="4" type="noConversion"/>
  </si>
  <si>
    <t>TAN BINH 136</t>
    <phoneticPr fontId="4" type="noConversion"/>
  </si>
  <si>
    <t>수출슬라그</t>
  </si>
  <si>
    <t>5/7 PM</t>
    <phoneticPr fontId="4" type="noConversion"/>
  </si>
  <si>
    <t>R/C 501 레일 측량으로 15-17시경 작업 예정</t>
    <phoneticPr fontId="4" type="noConversion"/>
  </si>
  <si>
    <t>*노란색 음영 : 주말/야간 대응 필요 선박</t>
    <phoneticPr fontId="4" type="noConversion"/>
  </si>
  <si>
    <t>야간 착수</t>
    <phoneticPr fontId="4" type="noConversion"/>
  </si>
  <si>
    <t>SHI DA 11</t>
    <phoneticPr fontId="4" type="noConversion"/>
  </si>
  <si>
    <t>G HENG TAI 1</t>
    <phoneticPr fontId="4" type="noConversion"/>
  </si>
  <si>
    <t>광양 → 낙포</t>
    <phoneticPr fontId="4" type="noConversion"/>
  </si>
  <si>
    <t>우천 대기</t>
    <phoneticPr fontId="4" type="noConversion"/>
  </si>
  <si>
    <t>YUAN SHUN</t>
    <phoneticPr fontId="4" type="noConversion"/>
  </si>
  <si>
    <t>S/L 1호 정비 (~17:00)</t>
    <phoneticPr fontId="4" type="noConversion"/>
  </si>
  <si>
    <t>낙포 → 광양</t>
    <phoneticPr fontId="4" type="noConversion"/>
  </si>
  <si>
    <t>200-110</t>
    <phoneticPr fontId="4" type="noConversion"/>
  </si>
  <si>
    <t>인니(NTEC)</t>
    <phoneticPr fontId="4" type="noConversion"/>
  </si>
  <si>
    <t>HUARONG HAIZHOU</t>
    <phoneticPr fontId="4" type="noConversion"/>
  </si>
  <si>
    <t>SILVER SMOOTH</t>
    <phoneticPr fontId="4" type="noConversion"/>
  </si>
  <si>
    <t>270-370</t>
    <phoneticPr fontId="4" type="noConversion"/>
  </si>
  <si>
    <t>니켈슬라그</t>
    <phoneticPr fontId="4" type="noConversion"/>
  </si>
  <si>
    <t>집탄 최소화</t>
    <phoneticPr fontId="4" type="noConversion"/>
  </si>
  <si>
    <t>러시아(KCH)</t>
  </si>
  <si>
    <t>SGC에너지</t>
  </si>
  <si>
    <t>200-100</t>
    <phoneticPr fontId="4" type="noConversion"/>
  </si>
  <si>
    <t>210-0</t>
    <phoneticPr fontId="4" type="noConversion"/>
  </si>
  <si>
    <t>포스코플로우 반출입스케쥴</t>
    <phoneticPr fontId="4" type="noConversion"/>
  </si>
  <si>
    <t>톤수</t>
    <phoneticPr fontId="4" type="noConversion"/>
  </si>
  <si>
    <t>소요시간</t>
    <phoneticPr fontId="4" type="noConversion"/>
  </si>
  <si>
    <t>+2</t>
    <phoneticPr fontId="4" type="noConversion"/>
  </si>
  <si>
    <t>완료 후 5/28 ~ 29 정비 예정</t>
    <phoneticPr fontId="4" type="noConversion"/>
  </si>
  <si>
    <t>HUA ZHENG HAI YANG</t>
    <phoneticPr fontId="4" type="noConversion"/>
  </si>
  <si>
    <t>5/30(금) 주간(09~16시) 롤러 교체 예정</t>
    <phoneticPr fontId="4" type="noConversion"/>
  </si>
  <si>
    <t>미국(NTEC)</t>
    <phoneticPr fontId="4" type="noConversion"/>
  </si>
  <si>
    <t>240-390</t>
    <phoneticPr fontId="4" type="noConversion"/>
  </si>
  <si>
    <t>220-10</t>
    <phoneticPr fontId="4" type="noConversion"/>
  </si>
  <si>
    <t>250-210</t>
    <phoneticPr fontId="4" type="noConversion"/>
  </si>
  <si>
    <t>60-20</t>
    <phoneticPr fontId="4" type="noConversion"/>
  </si>
  <si>
    <t>180-80</t>
    <phoneticPr fontId="4" type="noConversion"/>
  </si>
  <si>
    <t>FORTUNE AQUA</t>
    <phoneticPr fontId="4" type="noConversion"/>
  </si>
  <si>
    <t>JING SHUN</t>
    <phoneticPr fontId="4" type="noConversion"/>
  </si>
  <si>
    <t>정비(13:00 ~ 17:00) 후 작업개시</t>
    <phoneticPr fontId="4" type="noConversion"/>
  </si>
  <si>
    <t>6/6 AM</t>
    <phoneticPr fontId="4" type="noConversion"/>
  </si>
  <si>
    <t>100-220</t>
    <phoneticPr fontId="4" type="noConversion"/>
  </si>
  <si>
    <t>KYPROS LOYALTY</t>
    <phoneticPr fontId="4" type="noConversion"/>
  </si>
  <si>
    <t>150-370</t>
    <phoneticPr fontId="4" type="noConversion"/>
  </si>
  <si>
    <t>X</t>
  </si>
  <si>
    <t>잔탄 발생 시 차기 항차 합적</t>
    <phoneticPr fontId="4" type="noConversion"/>
  </si>
  <si>
    <t>ㅓ</t>
    <phoneticPr fontId="4" type="noConversion"/>
  </si>
  <si>
    <t>7월중순 /　  약17,000MT /　 히메카와항</t>
  </si>
  <si>
    <t>8월중순 /　  약17,000MT /　 히메카와항</t>
  </si>
  <si>
    <t>9월중순 /　  약17,000MT /　 히메카와항</t>
  </si>
  <si>
    <t>10월중순/　 약  4,000MT /　  히메카와항</t>
  </si>
  <si>
    <t>환적화물 반출</t>
    <phoneticPr fontId="4" type="noConversion"/>
  </si>
  <si>
    <t>Y야드 부족시 X야드 사용</t>
    <phoneticPr fontId="4" type="noConversion"/>
  </si>
  <si>
    <t>300-390</t>
    <phoneticPr fontId="4" type="noConversion"/>
  </si>
  <si>
    <t>위 모선 완료 후</t>
    <phoneticPr fontId="4" type="noConversion"/>
  </si>
  <si>
    <t>광양 → 군산</t>
    <phoneticPr fontId="4" type="noConversion"/>
  </si>
  <si>
    <t>40-120</t>
    <phoneticPr fontId="4" type="noConversion"/>
  </si>
  <si>
    <t>CENTURY XIAMEN</t>
    <phoneticPr fontId="4" type="noConversion"/>
  </si>
  <si>
    <t>광양 → 울산</t>
    <phoneticPr fontId="4" type="noConversion"/>
  </si>
  <si>
    <t>80-10</t>
    <phoneticPr fontId="4" type="noConversion"/>
  </si>
  <si>
    <t>JAWOR</t>
    <phoneticPr fontId="4" type="noConversion"/>
  </si>
  <si>
    <t>7/2(수) SL#2 Boom BC Soft Starter 교체</t>
    <phoneticPr fontId="4" type="noConversion"/>
  </si>
  <si>
    <t>6/28 PM</t>
    <phoneticPr fontId="4" type="noConversion"/>
  </si>
  <si>
    <t>6/28 AM</t>
    <phoneticPr fontId="4" type="noConversion"/>
  </si>
  <si>
    <t>6/29 AM</t>
    <phoneticPr fontId="4" type="noConversion"/>
  </si>
  <si>
    <t>70-210</t>
    <phoneticPr fontId="4" type="noConversion"/>
  </si>
  <si>
    <t>140-200</t>
    <phoneticPr fontId="4" type="noConversion"/>
  </si>
  <si>
    <t>한진그린호</t>
  </si>
  <si>
    <t xml:space="preserve"> 2H(10.3천톤), 5H(10천톤), 7H(9.3천톤)</t>
    <phoneticPr fontId="4" type="noConversion"/>
  </si>
  <si>
    <t>호주(GSG)</t>
    <phoneticPr fontId="4" type="noConversion"/>
  </si>
  <si>
    <t>GEOPARK VENUS</t>
    <phoneticPr fontId="4" type="noConversion"/>
  </si>
  <si>
    <t>5·6기 동시선적</t>
    <phoneticPr fontId="4" type="noConversion"/>
  </si>
  <si>
    <t>640-560</t>
    <phoneticPr fontId="4" type="noConversion"/>
  </si>
  <si>
    <t>HUA ZHENG HAI</t>
  </si>
  <si>
    <t>30-170</t>
    <phoneticPr fontId="4" type="noConversion"/>
  </si>
  <si>
    <t>TATEV</t>
    <phoneticPr fontId="4" type="noConversion"/>
  </si>
  <si>
    <t>FORTUNE HARMONY</t>
    <phoneticPr fontId="4" type="noConversion"/>
  </si>
  <si>
    <t>7/20 AM</t>
    <phoneticPr fontId="4" type="noConversion"/>
  </si>
  <si>
    <t>7/18 AM</t>
    <phoneticPr fontId="4" type="noConversion"/>
  </si>
  <si>
    <t>220-80</t>
    <phoneticPr fontId="4" type="noConversion"/>
  </si>
  <si>
    <t>7/19 AM</t>
    <phoneticPr fontId="4" type="noConversion"/>
  </si>
  <si>
    <t>20-300</t>
    <phoneticPr fontId="4" type="noConversion"/>
  </si>
  <si>
    <t>메가 파이오니아</t>
    <phoneticPr fontId="4" type="noConversion"/>
  </si>
  <si>
    <t>7/31 PM</t>
    <phoneticPr fontId="4" type="noConversion"/>
  </si>
  <si>
    <t>BAO DA LING</t>
    <phoneticPr fontId="4" type="noConversion"/>
  </si>
  <si>
    <t>ZAGREB</t>
    <phoneticPr fontId="4" type="noConversion"/>
  </si>
  <si>
    <t>HUA YUAN</t>
    <phoneticPr fontId="4" type="noConversion"/>
  </si>
  <si>
    <t>7/30 PM</t>
    <phoneticPr fontId="4" type="noConversion"/>
  </si>
  <si>
    <t>7/29 오전 완료 시, 오후 정비 예정</t>
    <phoneticPr fontId="4" type="noConversion"/>
  </si>
  <si>
    <t>즉시 이적</t>
    <phoneticPr fontId="4" type="noConversion"/>
  </si>
  <si>
    <t>HAPPY LEADER</t>
    <phoneticPr fontId="4" type="noConversion"/>
  </si>
  <si>
    <t>8/2 PM</t>
    <phoneticPr fontId="4" type="noConversion"/>
  </si>
  <si>
    <t>0-300</t>
    <phoneticPr fontId="4" type="noConversion"/>
  </si>
  <si>
    <t>8/11 PM</t>
    <phoneticPr fontId="4" type="noConversion"/>
  </si>
  <si>
    <t>100-0</t>
    <phoneticPr fontId="4" type="noConversion"/>
  </si>
  <si>
    <t>250-0</t>
    <phoneticPr fontId="4" type="noConversion"/>
  </si>
  <si>
    <t>긴급재고 하역(약 23천톤 ) 후 이안, 8.9 재접안</t>
    <phoneticPr fontId="4" type="noConversion"/>
  </si>
  <si>
    <t>1H(3,850톤), 3H(5,650톤), 5H(5,950톤), 7H(6,550톤) 떠먹기</t>
    <phoneticPr fontId="4" type="noConversion"/>
  </si>
  <si>
    <t>MENARO</t>
    <phoneticPr fontId="4" type="noConversion"/>
  </si>
  <si>
    <t>90-260</t>
    <phoneticPr fontId="4" type="noConversion"/>
  </si>
  <si>
    <t xml:space="preserve"> C602 벨트 정비로 야간 재착수</t>
    <phoneticPr fontId="4" type="noConversion"/>
  </si>
  <si>
    <t>포항 → 광양</t>
    <phoneticPr fontId="4" type="noConversion"/>
  </si>
  <si>
    <t>* 음영 : 주말/야간 대응 필요 선박</t>
    <phoneticPr fontId="4" type="noConversion"/>
  </si>
  <si>
    <t>RC #612 정비 (8.13 ~ 14)</t>
  </si>
  <si>
    <t>8/21 AM</t>
    <phoneticPr fontId="4" type="noConversion"/>
  </si>
  <si>
    <t>CS FAITH</t>
    <phoneticPr fontId="4" type="noConversion"/>
  </si>
  <si>
    <t>8/15 PM</t>
    <phoneticPr fontId="4" type="noConversion"/>
  </si>
  <si>
    <t>8/17 AM</t>
    <phoneticPr fontId="4" type="noConversion"/>
  </si>
  <si>
    <t>8/21 PM</t>
    <phoneticPr fontId="4" type="noConversion"/>
  </si>
  <si>
    <t>8/20 PM</t>
    <phoneticPr fontId="4" type="noConversion"/>
  </si>
  <si>
    <t>100-20</t>
    <phoneticPr fontId="4" type="noConversion"/>
  </si>
  <si>
    <t>EMMY</t>
    <phoneticPr fontId="4" type="noConversion"/>
  </si>
  <si>
    <t>280-380</t>
    <phoneticPr fontId="4" type="noConversion"/>
  </si>
  <si>
    <t>5·6기 동시선적
8/22(금) 주간 반출5기 정비</t>
    <phoneticPr fontId="4" type="noConversion"/>
  </si>
  <si>
    <t>TAI KINGDOM</t>
    <phoneticPr fontId="4" type="noConversion"/>
  </si>
  <si>
    <t>미국</t>
    <phoneticPr fontId="4" type="noConversion"/>
  </si>
  <si>
    <t>130-380</t>
    <phoneticPr fontId="4" type="noConversion"/>
  </si>
  <si>
    <t>X1</t>
    <phoneticPr fontId="4" type="noConversion"/>
  </si>
  <si>
    <t>280-430</t>
    <phoneticPr fontId="4" type="noConversion"/>
  </si>
  <si>
    <t>570-610</t>
    <phoneticPr fontId="4" type="noConversion"/>
  </si>
  <si>
    <t>8/24 PM</t>
    <phoneticPr fontId="4" type="noConversion"/>
  </si>
  <si>
    <t>240-280</t>
    <phoneticPr fontId="4" type="noConversion"/>
  </si>
  <si>
    <t>5·6기 동시선적
X1 작업량 부족시 Y1 340-370 선적</t>
    <phoneticPr fontId="4" type="noConversion"/>
  </si>
  <si>
    <t>ANTONIS ANGELICOUSSIS</t>
    <phoneticPr fontId="4" type="noConversion"/>
  </si>
  <si>
    <t>8/23 PM</t>
    <phoneticPr fontId="4" type="noConversion"/>
  </si>
  <si>
    <t>200-310</t>
    <phoneticPr fontId="4" type="noConversion"/>
  </si>
  <si>
    <t>780-1000</t>
    <phoneticPr fontId="4" type="noConversion"/>
  </si>
  <si>
    <t>8/23 AM</t>
    <phoneticPr fontId="4" type="noConversion"/>
  </si>
  <si>
    <t>J</t>
    <phoneticPr fontId="4" type="noConversion"/>
  </si>
  <si>
    <t>Y1</t>
    <phoneticPr fontId="4" type="noConversion"/>
  </si>
  <si>
    <t>240-60</t>
    <phoneticPr fontId="4" type="noConversion"/>
  </si>
  <si>
    <t>8/30 PM</t>
    <phoneticPr fontId="4" type="noConversion"/>
  </si>
  <si>
    <t>250-320</t>
    <phoneticPr fontId="4" type="noConversion"/>
  </si>
  <si>
    <t>580-610</t>
    <phoneticPr fontId="4" type="noConversion"/>
  </si>
  <si>
    <t>j</t>
    <phoneticPr fontId="4" type="noConversion"/>
  </si>
  <si>
    <t>8/28 PM</t>
    <phoneticPr fontId="4" type="noConversion"/>
  </si>
  <si>
    <t>330-370</t>
    <phoneticPr fontId="4" type="noConversion"/>
  </si>
  <si>
    <t>200-250</t>
    <phoneticPr fontId="4" type="noConversion"/>
  </si>
  <si>
    <t>비우기: 1H 9,356MT, 4H 11,221MT, 7H 12,423MT</t>
    <phoneticPr fontId="4" type="noConversion"/>
  </si>
  <si>
    <t>CAPE KOURION</t>
    <phoneticPr fontId="4" type="noConversion"/>
  </si>
  <si>
    <t>BAO JIA 77</t>
    <phoneticPr fontId="4" type="noConversion"/>
  </si>
  <si>
    <t xml:space="preserve">코렉스여수호 </t>
    <phoneticPr fontId="4" type="noConversion"/>
  </si>
  <si>
    <t>240-330</t>
    <phoneticPr fontId="4" type="noConversion"/>
  </si>
  <si>
    <t>230-60</t>
    <phoneticPr fontId="4" type="noConversion"/>
  </si>
  <si>
    <t>PELAGIA</t>
    <phoneticPr fontId="4" type="noConversion"/>
  </si>
  <si>
    <t>30-190</t>
    <phoneticPr fontId="4" type="noConversion"/>
  </si>
  <si>
    <t>130-210</t>
    <phoneticPr fontId="4" type="noConversion"/>
  </si>
  <si>
    <t>O
야드구분 S/V 실시</t>
    <phoneticPr fontId="4" type="noConversion"/>
  </si>
  <si>
    <t>9/4 PM</t>
    <phoneticPr fontId="4" type="noConversion"/>
  </si>
  <si>
    <t>재원스텔라</t>
    <phoneticPr fontId="4" type="noConversion"/>
  </si>
  <si>
    <t>9/5 PM</t>
    <phoneticPr fontId="4" type="noConversion"/>
  </si>
  <si>
    <t>110-0</t>
    <phoneticPr fontId="4" type="noConversion"/>
  </si>
  <si>
    <t>200-60</t>
    <phoneticPr fontId="4" type="noConversion"/>
  </si>
  <si>
    <t>120-0</t>
    <phoneticPr fontId="4" type="noConversion"/>
  </si>
  <si>
    <t>TAURUS</t>
    <phoneticPr fontId="4" type="noConversion"/>
  </si>
  <si>
    <t>110-10</t>
    <phoneticPr fontId="4" type="noConversion"/>
  </si>
  <si>
    <t>9/12 PM</t>
    <phoneticPr fontId="4" type="noConversion"/>
  </si>
  <si>
    <t>DIANTHUS</t>
    <phoneticPr fontId="4" type="noConversion"/>
  </si>
  <si>
    <t>포스코 SILO입조</t>
    <phoneticPr fontId="4" type="noConversion"/>
  </si>
  <si>
    <t>180-110</t>
    <phoneticPr fontId="4" type="noConversion"/>
  </si>
  <si>
    <t>미국(SHC)</t>
    <phoneticPr fontId="4" type="noConversion"/>
  </si>
  <si>
    <t>210-390</t>
    <phoneticPr fontId="4" type="noConversion"/>
  </si>
  <si>
    <t>210-60</t>
    <phoneticPr fontId="4" type="noConversion"/>
  </si>
  <si>
    <t>완료 후 9.17 오후 C115B.C 법정검사</t>
    <phoneticPr fontId="4" type="noConversion"/>
  </si>
  <si>
    <t>호주(AST)</t>
    <phoneticPr fontId="4" type="noConversion"/>
  </si>
  <si>
    <t>120-20</t>
    <phoneticPr fontId="4" type="noConversion"/>
  </si>
  <si>
    <t>① 6번 Silo : 44천톤
② 11번 Silo : 44천톤</t>
    <phoneticPr fontId="4" type="noConversion"/>
  </si>
  <si>
    <t>포스코 Silo입조</t>
    <phoneticPr fontId="4" type="noConversion"/>
  </si>
  <si>
    <t>9/23 AM</t>
    <phoneticPr fontId="4" type="noConversion"/>
  </si>
  <si>
    <t>TAN BINH 256</t>
    <phoneticPr fontId="4" type="noConversion"/>
  </si>
  <si>
    <t>LADY BELLAMELIA</t>
    <phoneticPr fontId="4" type="noConversion"/>
  </si>
  <si>
    <t>9/28 PM</t>
    <phoneticPr fontId="4" type="noConversion"/>
  </si>
  <si>
    <t>9/28 AM</t>
    <phoneticPr fontId="4" type="noConversion"/>
  </si>
  <si>
    <t>310-390</t>
    <phoneticPr fontId="4" type="noConversion"/>
  </si>
  <si>
    <t>10/3 PM</t>
    <phoneticPr fontId="4" type="noConversion"/>
  </si>
  <si>
    <t>PU SHENG 6</t>
    <phoneticPr fontId="4" type="noConversion"/>
  </si>
  <si>
    <t>70-170</t>
    <phoneticPr fontId="4" type="noConversion"/>
  </si>
  <si>
    <t>30-220</t>
    <phoneticPr fontId="4" type="noConversion"/>
  </si>
  <si>
    <t>150-50</t>
    <phoneticPr fontId="4" type="noConversion"/>
  </si>
  <si>
    <t>SHC(미국)</t>
    <phoneticPr fontId="4" type="noConversion"/>
  </si>
  <si>
    <t>10/4 AM</t>
    <phoneticPr fontId="4" type="noConversion"/>
  </si>
  <si>
    <t>잔탄 처리</t>
    <phoneticPr fontId="4" type="noConversion"/>
  </si>
  <si>
    <t>HUAN HANG 19</t>
    <phoneticPr fontId="4" type="noConversion"/>
  </si>
  <si>
    <t>MYRMIDON</t>
    <phoneticPr fontId="4" type="noConversion"/>
  </si>
  <si>
    <t>10/8 PM</t>
    <phoneticPr fontId="4" type="noConversion"/>
  </si>
  <si>
    <t>28천톤_1선탄 이적
45천톤_#2 Silo 입조 (10.3~ 작업)</t>
    <phoneticPr fontId="4" type="noConversion"/>
  </si>
  <si>
    <t>180-380</t>
    <phoneticPr fontId="4" type="noConversion"/>
  </si>
  <si>
    <t>220-70</t>
    <phoneticPr fontId="4" type="noConversion"/>
  </si>
  <si>
    <t>전량처리 후 SHC탄 #2 Silo입조</t>
    <phoneticPr fontId="4" type="noConversion"/>
  </si>
  <si>
    <t>#2 Silo 입조(총 45천톤)</t>
    <phoneticPr fontId="4" type="noConversion"/>
  </si>
  <si>
    <t>230-330</t>
    <phoneticPr fontId="4" type="noConversion"/>
  </si>
  <si>
    <t>호주(PCI)</t>
    <phoneticPr fontId="4" type="noConversion"/>
  </si>
  <si>
    <t>MYRMIDON 완료 후 재접안</t>
    <phoneticPr fontId="4" type="noConversion"/>
  </si>
  <si>
    <t>10/10 PM</t>
    <phoneticPr fontId="4" type="noConversion"/>
  </si>
  <si>
    <t>360-390</t>
    <phoneticPr fontId="4" type="noConversion"/>
  </si>
  <si>
    <t>BE
CTS.CAU(호주)</t>
    <phoneticPr fontId="4" type="noConversion"/>
  </si>
  <si>
    <t>ON
CTS.CAU(호주)</t>
    <phoneticPr fontId="4" type="noConversion"/>
  </si>
  <si>
    <t>KCH
CTS.CIN(인니)</t>
    <phoneticPr fontId="4" type="noConversion"/>
  </si>
  <si>
    <t>20-80</t>
    <phoneticPr fontId="4" type="noConversion"/>
  </si>
  <si>
    <t>120-150</t>
    <phoneticPr fontId="4" type="noConversion"/>
  </si>
  <si>
    <t>290-380</t>
    <phoneticPr fontId="4" type="noConversion"/>
  </si>
  <si>
    <t>170-60</t>
    <phoneticPr fontId="4" type="noConversion"/>
  </si>
  <si>
    <t>CARAVEL</t>
    <phoneticPr fontId="4" type="noConversion"/>
  </si>
  <si>
    <t>#2 Silo 입조</t>
    <phoneticPr fontId="4" type="noConversion"/>
  </si>
  <si>
    <t>10/19 AM</t>
    <phoneticPr fontId="4" type="noConversion"/>
  </si>
  <si>
    <t>10/18 PM</t>
    <phoneticPr fontId="4" type="noConversion"/>
  </si>
  <si>
    <t>10/19 PM</t>
    <phoneticPr fontId="4" type="noConversion"/>
  </si>
  <si>
    <t>10/18 AM</t>
    <phoneticPr fontId="4" type="noConversion"/>
  </si>
  <si>
    <t>SEA ORION</t>
    <phoneticPr fontId="4" type="noConversion"/>
  </si>
  <si>
    <t>Adaro
CTS.CIN(인니)</t>
    <phoneticPr fontId="4" type="noConversion"/>
  </si>
  <si>
    <t>인니(SHC)</t>
    <phoneticPr fontId="4" type="noConversion"/>
  </si>
  <si>
    <t>#2 Silo</t>
    <phoneticPr fontId="4" type="noConversion"/>
  </si>
  <si>
    <t>150-110</t>
    <phoneticPr fontId="4" type="noConversion"/>
  </si>
  <si>
    <t>3H_6.0천, 5H_6.0천, 1H_5.3천, 7H_7.0천 떠먹기</t>
    <phoneticPr fontId="4" type="noConversion"/>
  </si>
  <si>
    <t>210-170</t>
    <phoneticPr fontId="4" type="noConversion"/>
  </si>
  <si>
    <t>180-170</t>
    <phoneticPr fontId="4" type="noConversion"/>
  </si>
  <si>
    <t>반입 전 야드 클리닝</t>
    <phoneticPr fontId="4" type="noConversion"/>
  </si>
  <si>
    <t>석고
CTS.GTH(태국)</t>
    <phoneticPr fontId="4" type="noConversion"/>
  </si>
  <si>
    <t>TRA</t>
    <phoneticPr fontId="4" type="noConversion"/>
  </si>
  <si>
    <t>KCH</t>
    <phoneticPr fontId="4" type="noConversion"/>
  </si>
  <si>
    <t>160-120</t>
    <phoneticPr fontId="4" type="noConversion"/>
  </si>
  <si>
    <t>10/27 PM</t>
    <phoneticPr fontId="4" type="noConversion"/>
  </si>
  <si>
    <t>자원2호</t>
    <phoneticPr fontId="4" type="noConversion"/>
  </si>
  <si>
    <t>11/2 AM</t>
    <phoneticPr fontId="4" type="noConversion"/>
  </si>
  <si>
    <t>TAB</t>
    <phoneticPr fontId="4" type="noConversion"/>
  </si>
  <si>
    <t>EMIL SELMER</t>
    <phoneticPr fontId="4" type="noConversion"/>
  </si>
  <si>
    <t>220-360</t>
    <phoneticPr fontId="4" type="noConversion"/>
  </si>
  <si>
    <t>XINGHE TIMES</t>
    <phoneticPr fontId="4" type="noConversion"/>
  </si>
  <si>
    <t>HSL ATHENS</t>
    <phoneticPr fontId="4" type="noConversion"/>
  </si>
  <si>
    <t>FLA</t>
    <phoneticPr fontId="4" type="noConversion"/>
  </si>
  <si>
    <t>FLA
CTS.CIN(인니)</t>
    <phoneticPr fontId="4" type="noConversion"/>
  </si>
  <si>
    <t>ORION</t>
    <phoneticPr fontId="4" type="noConversion"/>
  </si>
  <si>
    <t>WOOYANG BANDERS</t>
    <phoneticPr fontId="4" type="noConversion"/>
  </si>
  <si>
    <t>P-COKE
CTS.CUS</t>
    <phoneticPr fontId="4" type="noConversion"/>
  </si>
  <si>
    <t>TRA
CTS.CCA</t>
    <phoneticPr fontId="4" type="noConversion"/>
  </si>
  <si>
    <t>남동발전 반출</t>
    <phoneticPr fontId="4" type="noConversion"/>
  </si>
  <si>
    <t>1H(8,558.34톤) 비우기, 3H(4천톤)&amp;5H(5,614.76톤) 떠먹기</t>
    <phoneticPr fontId="4" type="noConversion"/>
  </si>
  <si>
    <t>11/8 AM</t>
    <phoneticPr fontId="4" type="noConversion"/>
  </si>
  <si>
    <t>긴급재고(20천톤) 하역 후 이안</t>
    <phoneticPr fontId="4" type="noConversion"/>
  </si>
  <si>
    <t>11/13 AM</t>
    <phoneticPr fontId="4" type="noConversion"/>
  </si>
  <si>
    <t>MARINE STAR 1</t>
    <phoneticPr fontId="4" type="noConversion"/>
  </si>
  <si>
    <t>11/18 AM</t>
    <phoneticPr fontId="4" type="noConversion"/>
  </si>
  <si>
    <t>190-10</t>
    <phoneticPr fontId="4" type="noConversion"/>
  </si>
  <si>
    <t>Siilo 입조</t>
    <phoneticPr fontId="4" type="noConversion"/>
  </si>
  <si>
    <t>LK</t>
    <phoneticPr fontId="4" type="noConversion"/>
  </si>
  <si>
    <t>190-370</t>
    <phoneticPr fontId="4" type="noConversion"/>
  </si>
  <si>
    <t>#18 Silo 입조</t>
    <phoneticPr fontId="4" type="noConversion"/>
  </si>
  <si>
    <t>11/15 AM</t>
    <phoneticPr fontId="4" type="noConversion"/>
  </si>
  <si>
    <t>170-20</t>
    <phoneticPr fontId="4" type="noConversion"/>
  </si>
  <si>
    <t>TRA
CTS.CCA(캐나다)</t>
    <phoneticPr fontId="4" type="noConversion"/>
  </si>
  <si>
    <t>긴급재고(20천톤) 하역 후 11/19 재접안</t>
    <phoneticPr fontId="4" type="noConversion"/>
  </si>
  <si>
    <t>11/19 AM</t>
    <phoneticPr fontId="4" type="noConversion"/>
  </si>
  <si>
    <t>PACIFIC COMRADE</t>
    <phoneticPr fontId="4" type="noConversion"/>
  </si>
  <si>
    <t>290-370</t>
    <phoneticPr fontId="4" type="noConversion"/>
  </si>
  <si>
    <t>Silo 입조</t>
    <phoneticPr fontId="4" type="noConversion"/>
  </si>
  <si>
    <t>L.K</t>
    <phoneticPr fontId="4" type="noConversion"/>
  </si>
  <si>
    <t>KOBE GLORIA</t>
    <phoneticPr fontId="4" type="noConversion"/>
  </si>
  <si>
    <t>255-300</t>
    <phoneticPr fontId="4" type="noConversion"/>
  </si>
  <si>
    <t>11/26 AM</t>
    <phoneticPr fontId="4" type="noConversion"/>
  </si>
  <si>
    <t>11/28 PM</t>
    <phoneticPr fontId="4" type="noConversion"/>
  </si>
  <si>
    <t>ALPHA UNITY</t>
    <phoneticPr fontId="4" type="noConversion"/>
  </si>
  <si>
    <t>260-280</t>
    <phoneticPr fontId="4" type="noConversion"/>
  </si>
  <si>
    <t>11/28 AM</t>
    <phoneticPr fontId="4" type="noConversion"/>
  </si>
  <si>
    <t>BIT
CTS.CCA(캐나다)</t>
    <phoneticPr fontId="4" type="noConversion"/>
  </si>
  <si>
    <t>광양 → 삼천포</t>
    <phoneticPr fontId="4" type="noConversion"/>
  </si>
  <si>
    <t>45-145</t>
    <phoneticPr fontId="4" type="noConversion"/>
  </si>
  <si>
    <t>11/29 AM</t>
    <phoneticPr fontId="4" type="noConversion"/>
  </si>
  <si>
    <t>11/30 AM</t>
    <phoneticPr fontId="4" type="noConversion"/>
  </si>
  <si>
    <t>11/27 25천톤 하역 후 이안,
12/1 #6선석 재접안 예정</t>
    <phoneticPr fontId="4" type="noConversion"/>
  </si>
  <si>
    <t>ELITE STAR</t>
    <phoneticPr fontId="4" type="noConversion"/>
  </si>
  <si>
    <t>3개 홀드 떠먹기
(2H_5,200 4H_4,960 6H_7,000)</t>
    <phoneticPr fontId="4" type="noConversion"/>
  </si>
  <si>
    <t>HAI PHUONG 86</t>
    <phoneticPr fontId="4" type="noConversion"/>
  </si>
  <si>
    <t>CAPE AKAMAS</t>
    <phoneticPr fontId="4" type="noConversion"/>
  </si>
  <si>
    <t>BIB
CTS.CIN(인니)</t>
    <phoneticPr fontId="4" type="noConversion"/>
  </si>
  <si>
    <t xml:space="preserve">Y </t>
    <phoneticPr fontId="4" type="noConversion"/>
  </si>
  <si>
    <t>90-400</t>
    <phoneticPr fontId="4" type="noConversion"/>
  </si>
  <si>
    <t>NTEC</t>
    <phoneticPr fontId="4" type="noConversion"/>
  </si>
  <si>
    <t>12/9 AM</t>
    <phoneticPr fontId="4" type="noConversion"/>
  </si>
  <si>
    <t>180-220</t>
    <phoneticPr fontId="4" type="noConversion"/>
  </si>
  <si>
    <t>12/15 PM</t>
    <phoneticPr fontId="4" type="noConversion"/>
  </si>
  <si>
    <t>12/21 PM</t>
    <phoneticPr fontId="4" type="noConversion"/>
  </si>
  <si>
    <t>FLAME</t>
    <phoneticPr fontId="4" type="noConversion"/>
  </si>
  <si>
    <t>CHENG QING 2</t>
    <phoneticPr fontId="4" type="noConversion"/>
  </si>
  <si>
    <t>AC VICTORY</t>
    <phoneticPr fontId="4" type="noConversion"/>
  </si>
  <si>
    <t>12/18 AM</t>
    <phoneticPr fontId="4" type="noConversion"/>
  </si>
  <si>
    <t>40-20</t>
    <phoneticPr fontId="4" type="noConversion"/>
  </si>
  <si>
    <t>50-20</t>
    <phoneticPr fontId="4" type="noConversion"/>
  </si>
  <si>
    <t>12/25 AM</t>
    <phoneticPr fontId="4" type="noConversion"/>
  </si>
  <si>
    <t>350-390</t>
    <phoneticPr fontId="4" type="noConversion"/>
  </si>
  <si>
    <t>220-60</t>
    <phoneticPr fontId="4" type="noConversion"/>
  </si>
  <si>
    <t>SEA HOPE</t>
    <phoneticPr fontId="4" type="noConversion"/>
  </si>
  <si>
    <t>Cinta
CTS.CIN(인니)</t>
    <phoneticPr fontId="4" type="noConversion"/>
  </si>
  <si>
    <t>C.P
POS.CAU(호주)</t>
    <phoneticPr fontId="4" type="noConversion"/>
  </si>
  <si>
    <t>C.P.</t>
    <phoneticPr fontId="4" type="noConversion"/>
  </si>
  <si>
    <t xml:space="preserve"> 포스코</t>
    <phoneticPr fontId="4" type="noConversion"/>
  </si>
  <si>
    <t>#15 Silo 입조 (만적 시 #14 Silo)</t>
    <phoneticPr fontId="4" type="noConversion"/>
  </si>
  <si>
    <t>12/25 13:00 ~ 23:30</t>
    <phoneticPr fontId="4" type="noConversion"/>
  </si>
  <si>
    <t>HUI SHUN NO.1</t>
    <phoneticPr fontId="4" type="noConversion"/>
  </si>
  <si>
    <t>YANCOAL
POS.CIN(인니)</t>
    <phoneticPr fontId="4" type="noConversion"/>
  </si>
  <si>
    <t>12/31 PM</t>
    <phoneticPr fontId="4" type="noConversion"/>
  </si>
  <si>
    <t>공휴일</t>
    <phoneticPr fontId="4" type="noConversion"/>
  </si>
  <si>
    <t>12/29 19:00 ~ 12/30 13:00</t>
    <phoneticPr fontId="4" type="noConversion"/>
  </si>
  <si>
    <t>STAR LAMBADA</t>
    <phoneticPr fontId="4" type="noConversion"/>
  </si>
  <si>
    <t>VNT
POS.CCA(캐나다)</t>
    <phoneticPr fontId="4" type="noConversion"/>
  </si>
  <si>
    <t>EB
POS.CCA(캐나다)</t>
    <phoneticPr fontId="4" type="noConversion"/>
  </si>
  <si>
    <t>2,3,5,7H</t>
    <phoneticPr fontId="4" type="noConversion"/>
  </si>
  <si>
    <t>1,4,6H</t>
    <phoneticPr fontId="4" type="noConversion"/>
  </si>
  <si>
    <t>20-210</t>
    <phoneticPr fontId="4" type="noConversion"/>
  </si>
  <si>
    <t>290-170</t>
    <phoneticPr fontId="4" type="noConversion"/>
  </si>
  <si>
    <t>1/1 AM</t>
    <phoneticPr fontId="4" type="noConversion"/>
  </si>
  <si>
    <t>Silo 입조</t>
  </si>
  <si>
    <t>CP</t>
    <phoneticPr fontId="4" type="noConversion"/>
  </si>
  <si>
    <t>#14 Silo</t>
    <phoneticPr fontId="4" type="noConversion"/>
  </si>
  <si>
    <t>EB</t>
    <phoneticPr fontId="4" type="noConversion"/>
  </si>
  <si>
    <t>170-290</t>
    <phoneticPr fontId="4" type="noConversion"/>
  </si>
  <si>
    <t>#21 Silo</t>
    <phoneticPr fontId="4" type="noConversion"/>
  </si>
  <si>
    <t>160-60</t>
    <phoneticPr fontId="4" type="noConversion"/>
  </si>
  <si>
    <t>PACIFIC MERIT</t>
    <phoneticPr fontId="4" type="noConversion"/>
  </si>
  <si>
    <t>YANCOAL
POS.CAU(호주)</t>
    <phoneticPr fontId="4" type="noConversion"/>
  </si>
  <si>
    <t>HAI PHUONG STAR</t>
    <phoneticPr fontId="4" type="noConversion"/>
  </si>
  <si>
    <t>1/8 PM</t>
    <phoneticPr fontId="4" type="noConversion"/>
  </si>
  <si>
    <t>BIB</t>
    <phoneticPr fontId="4" type="noConversion"/>
  </si>
  <si>
    <t>280-310</t>
    <phoneticPr fontId="4" type="noConversion"/>
  </si>
  <si>
    <t>CIN</t>
    <phoneticPr fontId="4" type="noConversion"/>
  </si>
  <si>
    <t>잔탄 처리</t>
  </si>
  <si>
    <t>집탄 최소화</t>
  </si>
  <si>
    <t>1/17 PM</t>
    <phoneticPr fontId="4" type="noConversion"/>
  </si>
  <si>
    <t>180-230</t>
    <phoneticPr fontId="4" type="noConversion"/>
  </si>
  <si>
    <t>해당 구간 지질조사를 위해 하단 작업 必</t>
    <phoneticPr fontId="4" type="noConversion"/>
  </si>
  <si>
    <t>1/18 AM</t>
    <phoneticPr fontId="4" type="noConversion"/>
  </si>
  <si>
    <t>1/17 AM</t>
    <phoneticPr fontId="4" type="noConversion"/>
  </si>
  <si>
    <t>300-380</t>
    <phoneticPr fontId="4" type="noConversion"/>
  </si>
  <si>
    <t>DD VOYAGER</t>
    <phoneticPr fontId="4" type="noConversion"/>
  </si>
  <si>
    <t>240-380</t>
    <phoneticPr fontId="4" type="noConversion"/>
  </si>
  <si>
    <t>1/21 AM</t>
    <phoneticPr fontId="4" type="noConversion"/>
  </si>
  <si>
    <t>XIN HAI TONG 806</t>
    <phoneticPr fontId="4" type="noConversion"/>
  </si>
  <si>
    <t>TIGER NORTH</t>
    <phoneticPr fontId="4" type="noConversion"/>
  </si>
  <si>
    <t>ADARO
CTS.CIN(인니)</t>
    <phoneticPr fontId="4" type="noConversion"/>
  </si>
  <si>
    <t>180-200</t>
    <phoneticPr fontId="4" type="noConversion"/>
  </si>
  <si>
    <t>100-180</t>
    <phoneticPr fontId="4" type="noConversion"/>
  </si>
  <si>
    <t>1/26 PM</t>
    <phoneticPr fontId="4" type="noConversion"/>
  </si>
  <si>
    <t>선시멘트</t>
    <phoneticPr fontId="4" type="noConversion"/>
  </si>
  <si>
    <t>삼천포 → 광양</t>
    <phoneticPr fontId="4" type="noConversion"/>
  </si>
  <si>
    <t>1/27 AM</t>
    <phoneticPr fontId="4" type="noConversion"/>
  </si>
  <si>
    <t>270-390</t>
    <phoneticPr fontId="4" type="noConversion"/>
  </si>
  <si>
    <t>180-280</t>
    <phoneticPr fontId="4" type="noConversion"/>
  </si>
  <si>
    <t>180-0</t>
    <phoneticPr fontId="4" type="noConversion"/>
  </si>
  <si>
    <t>2/2 PM</t>
    <phoneticPr fontId="4" type="noConversion"/>
  </si>
  <si>
    <t>2/7 PM</t>
    <phoneticPr fontId="4" type="noConversion"/>
  </si>
  <si>
    <t>여수화력</t>
  </si>
  <si>
    <t>ADARO
CTS.CIN(인니)</t>
  </si>
  <si>
    <t>광양 → 영흥</t>
    <phoneticPr fontId="4" type="noConversion"/>
  </si>
  <si>
    <t>PENG XIANG ZHOU</t>
    <phoneticPr fontId="4" type="noConversion"/>
  </si>
  <si>
    <t>90-250</t>
    <phoneticPr fontId="4" type="noConversion"/>
  </si>
  <si>
    <t>JIN SHUN</t>
    <phoneticPr fontId="4" type="noConversion"/>
  </si>
  <si>
    <t>DD VIGILANT</t>
    <phoneticPr fontId="4" type="noConversion"/>
  </si>
  <si>
    <t>2/8 AM</t>
    <phoneticPr fontId="4" type="noConversion"/>
  </si>
  <si>
    <t>#5 → #7 Shifting</t>
    <phoneticPr fontId="4" type="noConversion"/>
  </si>
  <si>
    <t>QINGHE</t>
    <phoneticPr fontId="4" type="noConversion"/>
  </si>
  <si>
    <t>BAH
POS.CRU(러시아)</t>
    <phoneticPr fontId="4" type="noConversion"/>
  </si>
  <si>
    <t>COH
POS.CCA(캐나다)</t>
    <phoneticPr fontId="4" type="noConversion"/>
  </si>
  <si>
    <t>* 이항양하(2개항 이상 작업) 및 2개 이상 브랜드, 포스코 원료탄, 자가/임차 분리 반출/입 선박에 대해서는 검수/검정 부탁드립니다. - 아르고마린
* 반출선 입항 전/선적 시 해당 탄 분진방지 위해 살수조치 취해 주시기 바랍니다. (별도 요청/ 高수분 화물 제외) - 서강
* 포스코 수출 모선 작업 시, 조기 반출을 위해 작업대기를 최소화하여 현장에서 선적이 될 수 있도록 협조 부탁드립니다. -신창, 포트엘
* S야드 수재슬라그 재고 불충분 시 작업 착수 금지</t>
    <phoneticPr fontId="4" type="noConversion"/>
  </si>
  <si>
    <t>ADA</t>
    <phoneticPr fontId="4" type="noConversion"/>
  </si>
  <si>
    <t>200-230</t>
    <phoneticPr fontId="4" type="noConversion"/>
  </si>
  <si>
    <t>2/14 PM</t>
    <phoneticPr fontId="4" type="noConversion"/>
  </si>
  <si>
    <t>2/13 PM</t>
    <phoneticPr fontId="4" type="noConversion"/>
  </si>
  <si>
    <t>TONG DE 56</t>
    <phoneticPr fontId="4" type="noConversion"/>
  </si>
  <si>
    <t>BAT
POS.CRU(러시아)</t>
    <phoneticPr fontId="4" type="noConversion"/>
  </si>
  <si>
    <t>40-140</t>
    <phoneticPr fontId="4" type="noConversion"/>
  </si>
  <si>
    <t>160-250</t>
    <phoneticPr fontId="4" type="noConversion"/>
  </si>
  <si>
    <t>2/17 PM</t>
    <phoneticPr fontId="4" type="noConversion"/>
  </si>
  <si>
    <t>2/18 AM</t>
    <phoneticPr fontId="4" type="noConversion"/>
  </si>
  <si>
    <t>320-380</t>
    <phoneticPr fontId="4" type="noConversion"/>
  </si>
  <si>
    <t>160-0</t>
    <phoneticPr fontId="4" type="noConversion"/>
  </si>
  <si>
    <t>190-310</t>
    <phoneticPr fontId="4" type="noConversion"/>
  </si>
  <si>
    <t>GOLDEN ROSE</t>
    <phoneticPr fontId="4" type="noConversion"/>
  </si>
  <si>
    <t>ATHENS TRADER</t>
    <phoneticPr fontId="4" type="noConversion"/>
  </si>
  <si>
    <t>2/16 AM</t>
    <phoneticPr fontId="4" type="noConversion"/>
  </si>
  <si>
    <t>2/12 PM</t>
    <phoneticPr fontId="4" type="noConversion"/>
  </si>
  <si>
    <t>2/14 AM</t>
    <phoneticPr fontId="4" type="noConversion"/>
  </si>
  <si>
    <t>BAT</t>
    <phoneticPr fontId="4" type="noConversion"/>
  </si>
  <si>
    <t>SOUTH GATE</t>
    <phoneticPr fontId="4" type="noConversion"/>
  </si>
  <si>
    <t>Tomini Unity</t>
    <phoneticPr fontId="4" type="noConversion"/>
  </si>
  <si>
    <t>2/20 PM</t>
    <phoneticPr fontId="4" type="noConversion"/>
  </si>
  <si>
    <t>2/23 AM</t>
    <phoneticPr fontId="4" type="noConversion"/>
  </si>
  <si>
    <t>M.pe
POS.CPE(페루)</t>
    <phoneticPr fontId="4" type="noConversion"/>
  </si>
  <si>
    <t>20-180</t>
    <phoneticPr fontId="4" type="noConversion"/>
  </si>
  <si>
    <t>180-60</t>
    <phoneticPr fontId="4" type="noConversion"/>
  </si>
  <si>
    <t>340-370</t>
    <phoneticPr fontId="4" type="noConversion"/>
  </si>
  <si>
    <t>OCEAN VICTORY</t>
    <phoneticPr fontId="4" type="noConversion"/>
  </si>
  <si>
    <t>320-180</t>
    <phoneticPr fontId="4" type="noConversion"/>
  </si>
  <si>
    <t>280-350</t>
    <phoneticPr fontId="4" type="noConversion"/>
  </si>
  <si>
    <t>CCS Orchid</t>
    <phoneticPr fontId="4" type="noConversion"/>
  </si>
  <si>
    <t>M.pe</t>
    <phoneticPr fontId="4" type="noConversion"/>
  </si>
  <si>
    <t>#15 Silo</t>
    <phoneticPr fontId="4" type="noConversion"/>
  </si>
  <si>
    <t>O.N
POS.CAU(호주)</t>
    <phoneticPr fontId="4" type="noConversion"/>
  </si>
  <si>
    <t>H.C
POS.CAU호(주)</t>
    <phoneticPr fontId="4" type="noConversion"/>
  </si>
  <si>
    <t>30-150</t>
    <phoneticPr fontId="4" type="noConversion"/>
  </si>
  <si>
    <t>60-70</t>
    <phoneticPr fontId="4" type="noConversion"/>
  </si>
  <si>
    <t>190-320</t>
    <phoneticPr fontId="4" type="noConversion"/>
  </si>
  <si>
    <t>330-390</t>
    <phoneticPr fontId="4" type="noConversion"/>
  </si>
  <si>
    <t>350-370</t>
    <phoneticPr fontId="4" type="noConversion"/>
  </si>
  <si>
    <t>코렉스 여수호</t>
    <phoneticPr fontId="4" type="noConversion"/>
  </si>
  <si>
    <t>3/7 AM</t>
    <phoneticPr fontId="4" type="noConversion"/>
  </si>
  <si>
    <t>O.N</t>
    <phoneticPr fontId="4" type="noConversion"/>
  </si>
  <si>
    <t>H.C</t>
    <phoneticPr fontId="4" type="noConversion"/>
  </si>
  <si>
    <t xml:space="preserve"> #17 Silo</t>
  </si>
  <si>
    <t>GEELY</t>
    <phoneticPr fontId="4" type="noConversion"/>
  </si>
  <si>
    <t>30-110</t>
    <phoneticPr fontId="4" type="noConversion"/>
  </si>
  <si>
    <t>160-310</t>
    <phoneticPr fontId="4" type="noConversion"/>
  </si>
  <si>
    <t>200-80</t>
    <phoneticPr fontId="4" type="noConversion"/>
  </si>
  <si>
    <t>HPC DERAM</t>
    <phoneticPr fontId="4" type="noConversion"/>
  </si>
  <si>
    <t>GSG
CTS.CRU</t>
    <phoneticPr fontId="4" type="noConversion"/>
  </si>
  <si>
    <t>120-170</t>
    <phoneticPr fontId="4" type="noConversion"/>
  </si>
  <si>
    <t>190-380</t>
    <phoneticPr fontId="4" type="noConversion"/>
  </si>
  <si>
    <t>3/15 PM</t>
    <phoneticPr fontId="4" type="noConversion"/>
  </si>
  <si>
    <t>80-200</t>
    <phoneticPr fontId="4" type="noConversion"/>
  </si>
  <si>
    <t>WOOYANG FRIEND</t>
    <phoneticPr fontId="4" type="noConversion"/>
  </si>
  <si>
    <t>GSG</t>
    <phoneticPr fontId="4" type="noConversion"/>
  </si>
  <si>
    <t>Y</t>
    <phoneticPr fontId="4" type="noConversion"/>
  </si>
  <si>
    <t>190-380</t>
    <phoneticPr fontId="4" type="noConversion"/>
  </si>
  <si>
    <t>#7</t>
    <phoneticPr fontId="4" type="noConversion"/>
  </si>
  <si>
    <t>남동발전</t>
    <phoneticPr fontId="4" type="noConversion"/>
  </si>
  <si>
    <t>X</t>
    <phoneticPr fontId="4" type="noConversion"/>
  </si>
  <si>
    <t>Y</t>
    <phoneticPr fontId="4" type="noConversion"/>
  </si>
  <si>
    <t>100-170</t>
    <phoneticPr fontId="4" type="noConversion"/>
  </si>
  <si>
    <t>100-170</t>
    <phoneticPr fontId="4" type="noConversion"/>
  </si>
  <si>
    <t>O</t>
    <phoneticPr fontId="4" type="noConversion"/>
  </si>
  <si>
    <t>광양 → 삼천포</t>
    <phoneticPr fontId="4" type="noConversion"/>
  </si>
  <si>
    <t>태화12호</t>
    <phoneticPr fontId="4" type="noConversion"/>
  </si>
  <si>
    <t>UMA NAREE</t>
    <phoneticPr fontId="4" type="noConversion"/>
  </si>
  <si>
    <t>HE SHUN AN</t>
    <phoneticPr fontId="4" type="noConversion"/>
  </si>
  <si>
    <t>100-190</t>
    <phoneticPr fontId="4" type="noConversion"/>
  </si>
  <si>
    <t>BTS
POS.CRU(러시아)</t>
  </si>
  <si>
    <t>SCK..IMU
POS.CCH(중국)</t>
    <phoneticPr fontId="4" type="noConversion"/>
  </si>
  <si>
    <t>GOLDEN STAR</t>
    <phoneticPr fontId="4" type="noConversion"/>
  </si>
  <si>
    <t>LXI</t>
    <phoneticPr fontId="4" type="noConversion"/>
  </si>
  <si>
    <t>THO</t>
    <phoneticPr fontId="4" type="noConversion"/>
  </si>
  <si>
    <t>290-390</t>
    <phoneticPr fontId="4" type="noConversion"/>
  </si>
  <si>
    <t>190-50</t>
    <phoneticPr fontId="4" type="noConversion"/>
  </si>
  <si>
    <t>광양 단독</t>
    <phoneticPr fontId="4" type="noConversion"/>
  </si>
  <si>
    <t>XING SHUN 76</t>
    <phoneticPr fontId="4" type="noConversion"/>
  </si>
  <si>
    <t>BAH</t>
    <phoneticPr fontId="4" type="noConversion"/>
  </si>
  <si>
    <t>170-50</t>
    <phoneticPr fontId="4" type="noConversion"/>
  </si>
  <si>
    <t>신창/포스코 요청</t>
    <phoneticPr fontId="4" type="noConversion"/>
  </si>
  <si>
    <t>서강 요청</t>
    <phoneticPr fontId="4" type="noConversion"/>
  </si>
  <si>
    <t>DREAM SKY</t>
    <phoneticPr fontId="4" type="noConversion"/>
  </si>
  <si>
    <t>P-COKE</t>
    <phoneticPr fontId="4" type="noConversion"/>
  </si>
  <si>
    <t>1, 3, 5 Hold 비우기</t>
    <phoneticPr fontId="4" type="noConversion"/>
  </si>
  <si>
    <t>340-390</t>
    <phoneticPr fontId="4" type="noConversion"/>
  </si>
  <si>
    <t>4/29 PM</t>
    <phoneticPr fontId="4" type="noConversion"/>
  </si>
  <si>
    <t>80-30</t>
    <phoneticPr fontId="4" type="noConversion"/>
  </si>
  <si>
    <t>120-250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</si>
</sst>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#,##0_ "/>
    <numFmt numFmtId="177" formatCode="m&quot;/&quot;d;@"/>
    <numFmt numFmtId="178" formatCode="mm\/dd\ hh:mm"/>
    <numFmt numFmtId="179" formatCode="mm&quot;월&quot;\ dd&quot;일&quot;"/>
    <numFmt numFmtId="180" formatCode="mm\/dd"/>
    <numFmt numFmtId="181" formatCode="yyyy&quot;-&quot;m&quot;-&quot;d;@"/>
    <numFmt numFmtId="182" formatCode="mm\/dd\(aaa\)"/>
    <numFmt numFmtId="183" formatCode="m\/d\ hh:mm"/>
    <numFmt numFmtId="184" formatCode="[hh]"/>
    <numFmt numFmtId="185" formatCode="0_);[Red]\(0\)"/>
    <numFmt numFmtId="186" formatCode="0.0"/>
  </numFmts>
  <fonts count="4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굴림"/>
      <family val="2"/>
      <charset val="129"/>
    </font>
    <font>
      <sz val="11"/>
      <name val="돋움"/>
      <family val="3"/>
      <charset val="129"/>
    </font>
    <font>
      <sz val="11"/>
      <name val="Tahoma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8.5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.5"/>
      <color rgb="FFFF0000"/>
      <name val="맑은 고딕"/>
      <family val="2"/>
      <charset val="129"/>
      <scheme val="minor"/>
    </font>
    <font>
      <sz val="9.5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7F9A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02">
    <xf numFmtId="0" fontId="0" fillId="0" borderId="0" xfId="0">
      <alignment vertical="center"/>
    </xf>
    <xf numFmtId="0" fontId="3" fillId="0" borderId="0" xfId="0" applyFont="1">
      <alignment vertical="center"/>
    </xf>
    <xf numFmtId="0" fontId="8" fillId="2" borderId="0" xfId="0" applyFont="1" applyFill="1">
      <alignment vertical="center"/>
    </xf>
    <xf numFmtId="0" fontId="3" fillId="0" borderId="1" xfId="0" applyFont="1" applyBorder="1">
      <alignment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0" fillId="2" borderId="0" xfId="0" applyFont="1" applyFill="1">
      <alignment vertical="center"/>
    </xf>
    <xf numFmtId="0" fontId="21" fillId="2" borderId="0" xfId="0" applyFont="1" applyFill="1">
      <alignment vertical="center"/>
    </xf>
    <xf numFmtId="0" fontId="2" fillId="0" borderId="0" xfId="0" applyFont="1">
      <alignment vertical="center"/>
    </xf>
    <xf numFmtId="0" fontId="14" fillId="5" borderId="1" xfId="0" applyFont="1" applyFill="1" applyBorder="1" applyAlignment="1">
      <alignment horizontal="center" vertical="center" shrinkToFit="1"/>
    </xf>
    <xf numFmtId="176" fontId="14" fillId="5" borderId="1" xfId="0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shrinkToFit="1"/>
    </xf>
    <xf numFmtId="0" fontId="3" fillId="0" borderId="2" xfId="0" applyFont="1" applyBorder="1">
      <alignment vertical="center"/>
    </xf>
    <xf numFmtId="0" fontId="9" fillId="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shrinkToFit="1"/>
    </xf>
    <xf numFmtId="0" fontId="9" fillId="9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3" fillId="0" borderId="4" xfId="0" applyFont="1" applyBorder="1">
      <alignment vertical="center"/>
    </xf>
    <xf numFmtId="0" fontId="3" fillId="0" borderId="10" xfId="0" applyFont="1" applyBorder="1">
      <alignment vertical="center"/>
    </xf>
    <xf numFmtId="0" fontId="9" fillId="10" borderId="1" xfId="0" applyFont="1" applyFill="1" applyBorder="1" applyAlignment="1">
      <alignment horizontal="center" vertical="center"/>
    </xf>
    <xf numFmtId="179" fontId="9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179" fontId="9" fillId="7" borderId="1" xfId="0" applyNumberFormat="1" applyFont="1" applyFill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7" fontId="9" fillId="0" borderId="1" xfId="0" applyNumberFormat="1" applyFont="1" applyBorder="1" applyAlignment="1">
      <alignment horizontal="center" vertical="center"/>
    </xf>
    <xf numFmtId="176" fontId="9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78" fontId="9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shrinkToFit="1"/>
    </xf>
    <xf numFmtId="176" fontId="9" fillId="8" borderId="1" xfId="0" applyNumberFormat="1" applyFont="1" applyFill="1" applyBorder="1" applyAlignment="1">
      <alignment horizontal="center" vertical="center"/>
    </xf>
    <xf numFmtId="176" fontId="9" fillId="9" borderId="1" xfId="0" applyNumberFormat="1" applyFont="1" applyFill="1" applyBorder="1" applyAlignment="1">
      <alignment horizontal="center" vertical="center"/>
    </xf>
    <xf numFmtId="178" fontId="9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shrinkToFit="1"/>
    </xf>
    <xf numFmtId="176" fontId="9" fillId="10" borderId="1" xfId="0" applyNumberFormat="1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vertical="center" wrapText="1" shrinkToFit="1"/>
    </xf>
    <xf numFmtId="176" fontId="18" fillId="0" borderId="1" xfId="0" applyNumberFormat="1" applyFont="1" applyBorder="1" applyAlignment="1">
      <alignment horizontal="center" vertical="center"/>
    </xf>
    <xf numFmtId="178" fontId="18" fillId="2" borderId="0" xfId="0" applyNumberFormat="1" applyFont="1" applyFill="1" applyAlignment="1">
      <alignment horizontal="center" vertical="center" shrinkToFit="1"/>
    </xf>
    <xf numFmtId="0" fontId="18" fillId="2" borderId="0" xfId="0" applyFont="1" applyFill="1" applyAlignment="1">
      <alignment horizontal="center" vertical="center" shrinkToFit="1"/>
    </xf>
    <xf numFmtId="176" fontId="18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 shrinkToFit="1"/>
    </xf>
    <xf numFmtId="0" fontId="17" fillId="2" borderId="0" xfId="0" applyFont="1" applyFill="1" applyAlignment="1">
      <alignment horizontal="center" vertical="center"/>
    </xf>
    <xf numFmtId="0" fontId="9" fillId="2" borderId="0" xfId="0" applyFont="1" applyFill="1">
      <alignment vertical="center"/>
    </xf>
    <xf numFmtId="0" fontId="18" fillId="2" borderId="0" xfId="0" applyFont="1" applyFill="1" applyAlignment="1">
      <alignment horizontal="center" vertical="center"/>
    </xf>
    <xf numFmtId="0" fontId="9" fillId="0" borderId="1" xfId="0" applyFont="1" applyBorder="1" applyAlignment="1">
      <alignment vertical="center" shrinkToFit="1"/>
    </xf>
    <xf numFmtId="17" fontId="9" fillId="0" borderId="1" xfId="0" quotePrefix="1" applyNumberFormat="1" applyFont="1" applyBorder="1" applyAlignment="1">
      <alignment horizontal="center" vertical="center"/>
    </xf>
    <xf numFmtId="17" fontId="9" fillId="4" borderId="1" xfId="0" quotePrefix="1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 shrinkToFit="1"/>
    </xf>
    <xf numFmtId="0" fontId="21" fillId="2" borderId="0" xfId="0" applyFont="1" applyFill="1" applyAlignment="1">
      <alignment horizontal="left" vertical="center" shrinkToFit="1"/>
    </xf>
    <xf numFmtId="0" fontId="18" fillId="0" borderId="0" xfId="0" applyFont="1" applyAlignment="1">
      <alignment horizontal="center" vertical="center"/>
    </xf>
    <xf numFmtId="176" fontId="9" fillId="4" borderId="1" xfId="0" applyNumberFormat="1" applyFont="1" applyFill="1" applyBorder="1" applyAlignment="1">
      <alignment horizontal="center" vertical="center" shrinkToFit="1"/>
    </xf>
    <xf numFmtId="41" fontId="25" fillId="4" borderId="1" xfId="2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shrinkToFit="1"/>
    </xf>
    <xf numFmtId="176" fontId="18" fillId="0" borderId="0" xfId="0" applyNumberFormat="1" applyFont="1" applyAlignment="1">
      <alignment horizontal="center" vertical="center"/>
    </xf>
    <xf numFmtId="177" fontId="18" fillId="0" borderId="0" xfId="0" applyNumberFormat="1" applyFont="1" applyAlignment="1">
      <alignment horizontal="center" vertical="center"/>
    </xf>
    <xf numFmtId="176" fontId="18" fillId="4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19" fillId="4" borderId="1" xfId="0" applyFont="1" applyFill="1" applyBorder="1">
      <alignment vertical="center"/>
    </xf>
    <xf numFmtId="176" fontId="18" fillId="7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shrinkToFit="1"/>
    </xf>
    <xf numFmtId="178" fontId="9" fillId="4" borderId="1" xfId="0" applyNumberFormat="1" applyFont="1" applyFill="1" applyBorder="1" applyAlignment="1">
      <alignment horizontal="center" vertical="center"/>
    </xf>
    <xf numFmtId="177" fontId="9" fillId="4" borderId="1" xfId="0" applyNumberFormat="1" applyFont="1" applyFill="1" applyBorder="1" applyAlignment="1">
      <alignment horizontal="center" vertical="center"/>
    </xf>
    <xf numFmtId="176" fontId="9" fillId="4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shrinkToFit="1"/>
    </xf>
    <xf numFmtId="0" fontId="9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178" fontId="9" fillId="7" borderId="1" xfId="0" applyNumberFormat="1" applyFont="1" applyFill="1" applyBorder="1" applyAlignment="1">
      <alignment horizontal="center" vertical="center"/>
    </xf>
    <xf numFmtId="176" fontId="9" fillId="7" borderId="1" xfId="0" applyNumberFormat="1" applyFont="1" applyFill="1" applyBorder="1" applyAlignment="1">
      <alignment horizontal="center" vertical="center"/>
    </xf>
    <xf numFmtId="178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78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shrinkToFit="1"/>
    </xf>
    <xf numFmtId="178" fontId="10" fillId="6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 shrinkToFit="1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shrinkToFit="1"/>
    </xf>
    <xf numFmtId="0" fontId="14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176" fontId="9" fillId="0" borderId="1" xfId="0" applyNumberFormat="1" applyFont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shrinkToFit="1"/>
    </xf>
    <xf numFmtId="177" fontId="18" fillId="7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shrinkToFit="1"/>
    </xf>
    <xf numFmtId="176" fontId="18" fillId="4" borderId="1" xfId="0" applyNumberFormat="1" applyFont="1" applyFill="1" applyBorder="1">
      <alignment vertical="center"/>
    </xf>
    <xf numFmtId="176" fontId="18" fillId="0" borderId="1" xfId="0" applyNumberFormat="1" applyFont="1" applyBorder="1">
      <alignment vertical="center"/>
    </xf>
    <xf numFmtId="0" fontId="18" fillId="4" borderId="1" xfId="0" applyFont="1" applyFill="1" applyBorder="1" applyAlignment="1">
      <alignment horizontal="center" vertical="center" shrinkToFit="1"/>
    </xf>
    <xf numFmtId="49" fontId="9" fillId="4" borderId="1" xfId="0" quotePrefix="1" applyNumberFormat="1" applyFont="1" applyFill="1" applyBorder="1" applyAlignment="1">
      <alignment horizontal="center" vertical="center"/>
    </xf>
    <xf numFmtId="177" fontId="18" fillId="4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0" fillId="4" borderId="1" xfId="0" applyFont="1" applyFill="1" applyBorder="1">
      <alignment vertical="center"/>
    </xf>
    <xf numFmtId="0" fontId="18" fillId="4" borderId="1" xfId="0" applyFont="1" applyFill="1" applyBorder="1">
      <alignment vertical="center"/>
    </xf>
    <xf numFmtId="177" fontId="18" fillId="4" borderId="1" xfId="0" applyNumberFormat="1" applyFont="1" applyFill="1" applyBorder="1">
      <alignment vertical="center"/>
    </xf>
    <xf numFmtId="0" fontId="18" fillId="4" borderId="1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182" fontId="26" fillId="9" borderId="1" xfId="0" applyNumberFormat="1" applyFont="1" applyFill="1" applyBorder="1" applyAlignment="1">
      <alignment horizontal="center" vertical="center"/>
    </xf>
    <xf numFmtId="182" fontId="26" fillId="3" borderId="1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177" fontId="18" fillId="3" borderId="1" xfId="0" applyNumberFormat="1" applyFont="1" applyFill="1" applyBorder="1" applyAlignment="1">
      <alignment horizontal="center" vertical="center"/>
    </xf>
    <xf numFmtId="176" fontId="18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77" fontId="27" fillId="3" borderId="1" xfId="0" applyNumberFormat="1" applyFont="1" applyFill="1" applyBorder="1" applyAlignment="1">
      <alignment horizontal="center" vertical="center"/>
    </xf>
    <xf numFmtId="176" fontId="27" fillId="3" borderId="1" xfId="0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58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 shrinkToFit="1"/>
    </xf>
    <xf numFmtId="58" fontId="10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41" fontId="28" fillId="0" borderId="1" xfId="2" applyFont="1" applyBorder="1" applyAlignment="1">
      <alignment horizontal="center" vertical="center"/>
    </xf>
    <xf numFmtId="178" fontId="28" fillId="0" borderId="1" xfId="0" applyNumberFormat="1" applyFont="1" applyBorder="1" applyAlignment="1">
      <alignment horizontal="center" vertical="center"/>
    </xf>
    <xf numFmtId="180" fontId="28" fillId="0" borderId="1" xfId="2" applyNumberFormat="1" applyFont="1" applyBorder="1" applyAlignment="1">
      <alignment horizontal="center" vertical="center"/>
    </xf>
    <xf numFmtId="180" fontId="28" fillId="0" borderId="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/>
    </xf>
    <xf numFmtId="178" fontId="15" fillId="0" borderId="2" xfId="0" applyNumberFormat="1" applyFont="1" applyBorder="1" applyAlignment="1">
      <alignment horizontal="center" vertical="center"/>
    </xf>
    <xf numFmtId="41" fontId="15" fillId="0" borderId="2" xfId="2" applyFont="1" applyFill="1" applyBorder="1" applyAlignment="1">
      <alignment horizontal="center" vertical="center"/>
    </xf>
    <xf numFmtId="13" fontId="15" fillId="0" borderId="2" xfId="2" applyNumberFormat="1" applyFont="1" applyFill="1" applyBorder="1" applyAlignment="1">
      <alignment horizontal="center" vertical="center"/>
    </xf>
    <xf numFmtId="0" fontId="15" fillId="0" borderId="2" xfId="0" applyFont="1" applyBorder="1">
      <alignment vertical="center"/>
    </xf>
    <xf numFmtId="0" fontId="29" fillId="0" borderId="1" xfId="0" applyFont="1" applyBorder="1" applyAlignment="1">
      <alignment horizontal="center" vertical="center"/>
    </xf>
    <xf numFmtId="178" fontId="29" fillId="0" borderId="1" xfId="0" applyNumberFormat="1" applyFont="1" applyBorder="1" applyAlignment="1">
      <alignment horizontal="center" vertical="center"/>
    </xf>
    <xf numFmtId="41" fontId="29" fillId="0" borderId="1" xfId="2" applyFont="1" applyBorder="1" applyAlignment="1">
      <alignment horizontal="center" vertical="center"/>
    </xf>
    <xf numFmtId="180" fontId="29" fillId="0" borderId="1" xfId="2" applyNumberFormat="1" applyFont="1" applyBorder="1" applyAlignment="1">
      <alignment horizontal="center" vertical="center"/>
    </xf>
    <xf numFmtId="180" fontId="2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 wrapText="1" shrinkToFit="1"/>
    </xf>
    <xf numFmtId="22" fontId="9" fillId="0" borderId="1" xfId="2" applyNumberFormat="1" applyFont="1" applyFill="1" applyBorder="1" applyAlignment="1">
      <alignment horizontal="center" vertical="center" wrapText="1"/>
    </xf>
    <xf numFmtId="58" fontId="9" fillId="4" borderId="1" xfId="0" applyNumberFormat="1" applyFont="1" applyFill="1" applyBorder="1" applyAlignment="1">
      <alignment horizontal="center" vertical="center"/>
    </xf>
    <xf numFmtId="178" fontId="9" fillId="4" borderId="1" xfId="0" applyNumberFormat="1" applyFont="1" applyFill="1" applyBorder="1" applyAlignment="1">
      <alignment horizontal="center" vertical="center" wrapText="1" shrinkToFit="1"/>
    </xf>
    <xf numFmtId="22" fontId="9" fillId="4" borderId="1" xfId="2" applyNumberFormat="1" applyFont="1" applyFill="1" applyBorder="1" applyAlignment="1">
      <alignment horizontal="center" vertical="center" wrapText="1"/>
    </xf>
    <xf numFmtId="58" fontId="10" fillId="4" borderId="1" xfId="0" applyNumberFormat="1" applyFont="1" applyFill="1" applyBorder="1" applyAlignment="1">
      <alignment horizontal="center" vertical="center" wrapText="1"/>
    </xf>
    <xf numFmtId="22" fontId="22" fillId="0" borderId="1" xfId="2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 shrinkToFit="1"/>
    </xf>
    <xf numFmtId="41" fontId="25" fillId="0" borderId="1" xfId="2" applyFont="1" applyFill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6" fillId="0" borderId="0" xfId="0" applyFont="1">
      <alignment vertical="center"/>
    </xf>
    <xf numFmtId="0" fontId="6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9" fillId="4" borderId="1" xfId="0" applyFont="1" applyFill="1" applyBorder="1" applyAlignment="1">
      <alignment vertical="center" wrapText="1"/>
    </xf>
    <xf numFmtId="41" fontId="30" fillId="0" borderId="1" xfId="2" applyFont="1" applyFill="1" applyBorder="1" applyAlignment="1">
      <alignment horizontal="center" vertical="center" wrapText="1"/>
    </xf>
    <xf numFmtId="58" fontId="9" fillId="4" borderId="1" xfId="0" applyNumberFormat="1" applyFont="1" applyFill="1" applyBorder="1" applyAlignment="1">
      <alignment horizontal="center" vertical="center" wrapText="1"/>
    </xf>
    <xf numFmtId="58" fontId="9" fillId="0" borderId="1" xfId="0" applyNumberFormat="1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shrinkToFit="1"/>
    </xf>
    <xf numFmtId="0" fontId="15" fillId="0" borderId="1" xfId="0" applyFont="1" applyBorder="1">
      <alignment vertical="center"/>
    </xf>
    <xf numFmtId="22" fontId="10" fillId="0" borderId="1" xfId="2" applyNumberFormat="1" applyFont="1" applyFill="1" applyBorder="1" applyAlignment="1">
      <alignment horizontal="center" vertical="center" wrapText="1"/>
    </xf>
    <xf numFmtId="22" fontId="10" fillId="4" borderId="1" xfId="2" applyNumberFormat="1" applyFont="1" applyFill="1" applyBorder="1" applyAlignment="1">
      <alignment horizontal="center" vertical="center" wrapText="1"/>
    </xf>
    <xf numFmtId="183" fontId="0" fillId="0" borderId="0" xfId="0" applyNumberFormat="1">
      <alignment vertical="center"/>
    </xf>
    <xf numFmtId="41" fontId="9" fillId="0" borderId="1" xfId="2" applyFont="1" applyFill="1" applyBorder="1" applyAlignment="1">
      <alignment horizontal="center" vertical="center" wrapText="1"/>
    </xf>
    <xf numFmtId="184" fontId="0" fillId="0" borderId="0" xfId="0" applyNumberFormat="1">
      <alignment vertical="center"/>
    </xf>
    <xf numFmtId="185" fontId="0" fillId="0" borderId="0" xfId="0" applyNumberFormat="1">
      <alignment vertical="center"/>
    </xf>
    <xf numFmtId="41" fontId="10" fillId="4" borderId="1" xfId="2" applyFont="1" applyFill="1" applyBorder="1" applyAlignment="1">
      <alignment horizontal="center" vertical="center" wrapText="1"/>
    </xf>
    <xf numFmtId="178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78" fontId="18" fillId="0" borderId="1" xfId="0" applyNumberFormat="1" applyFont="1" applyBorder="1" applyAlignment="1">
      <alignment horizontal="center" vertical="center" wrapText="1" shrinkToFit="1"/>
    </xf>
    <xf numFmtId="0" fontId="18" fillId="0" borderId="1" xfId="0" applyFont="1" applyBorder="1" applyAlignment="1">
      <alignment horizontal="center" vertical="center" wrapText="1" shrinkToFit="1"/>
    </xf>
    <xf numFmtId="49" fontId="18" fillId="0" borderId="1" xfId="0" quotePrefix="1" applyNumberFormat="1" applyFont="1" applyBorder="1" applyAlignment="1">
      <alignment horizontal="center" vertical="center"/>
    </xf>
    <xf numFmtId="58" fontId="18" fillId="0" borderId="1" xfId="0" applyNumberFormat="1" applyFont="1" applyBorder="1" applyAlignment="1">
      <alignment horizontal="center" vertical="center" wrapText="1"/>
    </xf>
    <xf numFmtId="58" fontId="18" fillId="0" borderId="1" xfId="0" applyNumberFormat="1" applyFont="1" applyBorder="1" applyAlignment="1">
      <alignment horizontal="center" vertical="center"/>
    </xf>
    <xf numFmtId="22" fontId="18" fillId="0" borderId="1" xfId="2" applyNumberFormat="1" applyFont="1" applyFill="1" applyBorder="1" applyAlignment="1">
      <alignment horizontal="center" vertical="center" wrapText="1"/>
    </xf>
    <xf numFmtId="178" fontId="18" fillId="4" borderId="1" xfId="0" applyNumberFormat="1" applyFont="1" applyFill="1" applyBorder="1" applyAlignment="1">
      <alignment horizontal="center" vertical="center" wrapText="1" shrinkToFit="1"/>
    </xf>
    <xf numFmtId="0" fontId="18" fillId="4" borderId="1" xfId="0" applyFont="1" applyFill="1" applyBorder="1" applyAlignment="1">
      <alignment horizontal="center" vertical="center" wrapText="1" shrinkToFit="1"/>
    </xf>
    <xf numFmtId="49" fontId="18" fillId="4" borderId="1" xfId="0" quotePrefix="1" applyNumberFormat="1" applyFont="1" applyFill="1" applyBorder="1" applyAlignment="1">
      <alignment horizontal="center" vertical="center"/>
    </xf>
    <xf numFmtId="58" fontId="18" fillId="4" borderId="1" xfId="0" applyNumberFormat="1" applyFont="1" applyFill="1" applyBorder="1" applyAlignment="1">
      <alignment horizontal="center" vertical="center" wrapText="1"/>
    </xf>
    <xf numFmtId="58" fontId="18" fillId="4" borderId="1" xfId="0" applyNumberFormat="1" applyFont="1" applyFill="1" applyBorder="1" applyAlignment="1">
      <alignment horizontal="center" vertical="center"/>
    </xf>
    <xf numFmtId="22" fontId="18" fillId="4" borderId="1" xfId="2" applyNumberFormat="1" applyFont="1" applyFill="1" applyBorder="1" applyAlignment="1">
      <alignment horizontal="center" vertical="center" wrapText="1"/>
    </xf>
    <xf numFmtId="178" fontId="18" fillId="3" borderId="1" xfId="0" applyNumberFormat="1" applyFont="1" applyFill="1" applyBorder="1" applyAlignment="1">
      <alignment horizontal="center" vertical="center" wrapText="1" shrinkToFit="1"/>
    </xf>
    <xf numFmtId="49" fontId="18" fillId="3" borderId="1" xfId="0" quotePrefix="1" applyNumberFormat="1" applyFont="1" applyFill="1" applyBorder="1" applyAlignment="1">
      <alignment horizontal="center" vertical="center"/>
    </xf>
    <xf numFmtId="22" fontId="15" fillId="0" borderId="1" xfId="2" applyNumberFormat="1" applyFont="1" applyFill="1" applyBorder="1" applyAlignment="1">
      <alignment horizontal="center" vertical="center" wrapText="1"/>
    </xf>
    <xf numFmtId="178" fontId="18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176" fontId="10" fillId="0" borderId="1" xfId="0" applyNumberFormat="1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17" fontId="10" fillId="0" borderId="1" xfId="0" quotePrefix="1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shrinkToFit="1"/>
    </xf>
    <xf numFmtId="58" fontId="10" fillId="0" borderId="1" xfId="0" applyNumberFormat="1" applyFont="1" applyBorder="1" applyAlignment="1">
      <alignment horizontal="center" vertical="center"/>
    </xf>
    <xf numFmtId="41" fontId="32" fillId="0" borderId="1" xfId="2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shrinkToFit="1"/>
    </xf>
    <xf numFmtId="176" fontId="10" fillId="4" borderId="1" xfId="0" applyNumberFormat="1" applyFont="1" applyFill="1" applyBorder="1" applyAlignment="1">
      <alignment horizontal="center" vertical="center"/>
    </xf>
    <xf numFmtId="176" fontId="10" fillId="4" borderId="1" xfId="0" applyNumberFormat="1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/>
    </xf>
    <xf numFmtId="17" fontId="10" fillId="4" borderId="1" xfId="0" quotePrefix="1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 shrinkToFit="1"/>
    </xf>
    <xf numFmtId="58" fontId="10" fillId="4" borderId="1" xfId="0" applyNumberFormat="1" applyFont="1" applyFill="1" applyBorder="1" applyAlignment="1">
      <alignment horizontal="center" vertical="center"/>
    </xf>
    <xf numFmtId="41" fontId="32" fillId="4" borderId="1" xfId="2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 shrinkToFit="1"/>
    </xf>
    <xf numFmtId="58" fontId="18" fillId="4" borderId="1" xfId="0" applyNumberFormat="1" applyFont="1" applyFill="1" applyBorder="1" applyAlignment="1">
      <alignment horizontal="left" vertical="center"/>
    </xf>
    <xf numFmtId="22" fontId="19" fillId="4" borderId="1" xfId="2" applyNumberFormat="1" applyFont="1" applyFill="1" applyBorder="1" applyAlignment="1">
      <alignment horizontal="center" vertical="center" wrapText="1"/>
    </xf>
    <xf numFmtId="22" fontId="19" fillId="0" borderId="1" xfId="2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 shrinkToFit="1"/>
    </xf>
    <xf numFmtId="183" fontId="0" fillId="0" borderId="0" xfId="0" applyNumberFormat="1" applyAlignment="1">
      <alignment horizontal="center" vertical="center"/>
    </xf>
    <xf numFmtId="0" fontId="15" fillId="4" borderId="1" xfId="0" applyFont="1" applyFill="1" applyBorder="1" applyAlignment="1">
      <alignment horizontal="center" vertical="center" shrinkToFit="1"/>
    </xf>
    <xf numFmtId="0" fontId="15" fillId="4" borderId="1" xfId="0" applyFont="1" applyFill="1" applyBorder="1" applyAlignment="1">
      <alignment horizontal="center" vertical="center" wrapText="1" shrinkToFit="1"/>
    </xf>
    <xf numFmtId="0" fontId="33" fillId="4" borderId="1" xfId="0" applyFont="1" applyFill="1" applyBorder="1" applyAlignment="1">
      <alignment horizontal="center" vertical="center"/>
    </xf>
    <xf numFmtId="22" fontId="9" fillId="4" borderId="1" xfId="2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22" fontId="36" fillId="0" borderId="1" xfId="2" applyNumberFormat="1" applyFont="1" applyFill="1" applyBorder="1" applyAlignment="1">
      <alignment horizontal="center" vertical="center" wrapText="1"/>
    </xf>
    <xf numFmtId="178" fontId="18" fillId="0" borderId="0" xfId="0" applyNumberFormat="1" applyFont="1" applyAlignment="1">
      <alignment horizontal="center" vertical="center"/>
    </xf>
    <xf numFmtId="0" fontId="28" fillId="0" borderId="1" xfId="0" applyFont="1" applyBorder="1" applyAlignment="1">
      <alignment horizontal="center" vertical="center" shrinkToFit="1"/>
    </xf>
    <xf numFmtId="0" fontId="37" fillId="0" borderId="0" xfId="0" applyFont="1">
      <alignment vertical="center"/>
    </xf>
    <xf numFmtId="186" fontId="0" fillId="0" borderId="0" xfId="0" applyNumberFormat="1">
      <alignment vertical="center"/>
    </xf>
    <xf numFmtId="0" fontId="28" fillId="0" borderId="0" xfId="0" applyFont="1">
      <alignment vertical="center"/>
    </xf>
    <xf numFmtId="0" fontId="0" fillId="0" borderId="0" xfId="0" quotePrefix="1">
      <alignment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 wrapText="1"/>
    </xf>
    <xf numFmtId="17" fontId="14" fillId="0" borderId="1" xfId="0" quotePrefix="1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41" fontId="25" fillId="0" borderId="3" xfId="2" applyFont="1" applyFill="1" applyBorder="1" applyAlignment="1">
      <alignment horizontal="center" vertical="center" wrapText="1"/>
    </xf>
    <xf numFmtId="176" fontId="9" fillId="2" borderId="2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 shrinkToFit="1"/>
    </xf>
    <xf numFmtId="17" fontId="9" fillId="2" borderId="1" xfId="0" quotePrefix="1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shrinkToFit="1"/>
    </xf>
    <xf numFmtId="58" fontId="9" fillId="2" borderId="1" xfId="0" applyNumberFormat="1" applyFont="1" applyFill="1" applyBorder="1" applyAlignment="1">
      <alignment horizontal="center" vertical="center"/>
    </xf>
    <xf numFmtId="58" fontId="18" fillId="2" borderId="2" xfId="0" applyNumberFormat="1" applyFont="1" applyFill="1" applyBorder="1" applyAlignment="1">
      <alignment horizontal="center" vertical="center"/>
    </xf>
    <xf numFmtId="41" fontId="25" fillId="2" borderId="2" xfId="2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shrinkToFit="1"/>
    </xf>
    <xf numFmtId="58" fontId="18" fillId="4" borderId="2" xfId="0" applyNumberFormat="1" applyFont="1" applyFill="1" applyBorder="1" applyAlignment="1">
      <alignment horizontal="center" vertical="center"/>
    </xf>
    <xf numFmtId="176" fontId="9" fillId="4" borderId="2" xfId="0" applyNumberFormat="1" applyFont="1" applyFill="1" applyBorder="1" applyAlignment="1">
      <alignment horizontal="center" vertical="center"/>
    </xf>
    <xf numFmtId="41" fontId="25" fillId="4" borderId="3" xfId="2" applyFont="1" applyFill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shrinkToFit="1"/>
    </xf>
    <xf numFmtId="41" fontId="25" fillId="4" borderId="2" xfId="2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176" fontId="14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7" fontId="14" fillId="4" borderId="1" xfId="0" quotePrefix="1" applyNumberFormat="1" applyFont="1" applyFill="1" applyBorder="1" applyAlignment="1">
      <alignment horizontal="center" vertical="center"/>
    </xf>
    <xf numFmtId="22" fontId="18" fillId="0" borderId="0" xfId="0" applyNumberFormat="1" applyFont="1" applyAlignment="1">
      <alignment horizontal="center" vertical="center"/>
    </xf>
    <xf numFmtId="41" fontId="39" fillId="4" borderId="1" xfId="2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/>
    </xf>
    <xf numFmtId="178" fontId="18" fillId="0" borderId="7" xfId="0" applyNumberFormat="1" applyFont="1" applyBorder="1" applyAlignment="1">
      <alignment horizontal="center" vertical="center" wrapText="1" shrinkToFit="1"/>
    </xf>
    <xf numFmtId="178" fontId="18" fillId="0" borderId="8" xfId="0" applyNumberFormat="1" applyFont="1" applyBorder="1" applyAlignment="1">
      <alignment horizontal="center" vertical="center" wrapText="1" shrinkToFit="1"/>
    </xf>
    <xf numFmtId="178" fontId="18" fillId="0" borderId="4" xfId="0" applyNumberFormat="1" applyFont="1" applyBorder="1" applyAlignment="1">
      <alignment horizontal="center" vertical="center" wrapText="1" shrinkToFit="1"/>
    </xf>
    <xf numFmtId="0" fontId="28" fillId="4" borderId="1" xfId="0" applyFont="1" applyFill="1" applyBorder="1" applyAlignment="1">
      <alignment horizontal="center" vertical="center" shrinkToFit="1"/>
    </xf>
    <xf numFmtId="178" fontId="28" fillId="4" borderId="1" xfId="0" applyNumberFormat="1" applyFont="1" applyFill="1" applyBorder="1" applyAlignment="1">
      <alignment horizontal="center" vertical="center"/>
    </xf>
    <xf numFmtId="177" fontId="28" fillId="4" borderId="1" xfId="0" applyNumberFormat="1" applyFont="1" applyFill="1" applyBorder="1" applyAlignment="1">
      <alignment horizontal="center" vertical="center"/>
    </xf>
    <xf numFmtId="176" fontId="28" fillId="4" borderId="1" xfId="0" applyNumberFormat="1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left" vertical="center" wrapText="1"/>
    </xf>
    <xf numFmtId="179" fontId="9" fillId="4" borderId="3" xfId="0" applyNumberFormat="1" applyFont="1" applyFill="1" applyBorder="1" applyAlignment="1">
      <alignment horizontal="center" vertical="center" shrinkToFit="1"/>
    </xf>
    <xf numFmtId="41" fontId="14" fillId="4" borderId="1" xfId="2" applyFont="1" applyFill="1" applyBorder="1" applyAlignment="1">
      <alignment horizontal="center" vertical="center" wrapText="1"/>
    </xf>
    <xf numFmtId="41" fontId="14" fillId="0" borderId="1" xfId="2" applyFont="1" applyFill="1" applyBorder="1" applyAlignment="1">
      <alignment horizontal="center" vertical="center" wrapText="1"/>
    </xf>
    <xf numFmtId="0" fontId="42" fillId="0" borderId="0" xfId="0" applyFont="1">
      <alignment vertical="center"/>
    </xf>
    <xf numFmtId="176" fontId="9" fillId="0" borderId="3" xfId="0" applyNumberFormat="1" applyFont="1" applyBorder="1" applyAlignment="1">
      <alignment horizontal="center" vertical="center"/>
    </xf>
    <xf numFmtId="58" fontId="9" fillId="0" borderId="3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76" fontId="9" fillId="4" borderId="3" xfId="0" applyNumberFormat="1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shrinkToFit="1"/>
    </xf>
    <xf numFmtId="0" fontId="0" fillId="2" borderId="1" xfId="0" applyFill="1" applyBorder="1">
      <alignment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17" fontId="28" fillId="2" borderId="1" xfId="0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176" fontId="28" fillId="2" borderId="1" xfId="0" applyNumberFormat="1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177" fontId="9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shrinkToFit="1"/>
    </xf>
    <xf numFmtId="0" fontId="18" fillId="11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shrinkToFit="1"/>
    </xf>
    <xf numFmtId="178" fontId="28" fillId="2" borderId="1" xfId="0" applyNumberFormat="1" applyFont="1" applyFill="1" applyBorder="1" applyAlignment="1">
      <alignment horizontal="center" vertical="center"/>
    </xf>
    <xf numFmtId="177" fontId="28" fillId="2" borderId="1" xfId="0" applyNumberFormat="1" applyFont="1" applyFill="1" applyBorder="1" applyAlignment="1">
      <alignment horizontal="center" vertical="center"/>
    </xf>
    <xf numFmtId="41" fontId="14" fillId="2" borderId="1" xfId="2" applyFont="1" applyFill="1" applyBorder="1" applyAlignment="1">
      <alignment horizontal="center" vertical="center" wrapText="1"/>
    </xf>
    <xf numFmtId="176" fontId="28" fillId="4" borderId="3" xfId="0" applyNumberFormat="1" applyFont="1" applyFill="1" applyBorder="1" applyAlignment="1">
      <alignment horizontal="center" vertical="center"/>
    </xf>
    <xf numFmtId="58" fontId="18" fillId="2" borderId="1" xfId="0" applyNumberFormat="1" applyFont="1" applyFill="1" applyBorder="1" applyAlignment="1">
      <alignment horizontal="center" vertical="center"/>
    </xf>
    <xf numFmtId="177" fontId="28" fillId="2" borderId="1" xfId="0" applyNumberFormat="1" applyFont="1" applyFill="1" applyBorder="1" applyAlignment="1">
      <alignment horizontal="center" vertical="center" wrapText="1"/>
    </xf>
    <xf numFmtId="177" fontId="28" fillId="4" borderId="1" xfId="0" applyNumberFormat="1" applyFont="1" applyFill="1" applyBorder="1" applyAlignment="1">
      <alignment horizontal="center" vertical="center" wrapText="1"/>
    </xf>
    <xf numFmtId="0" fontId="40" fillId="4" borderId="1" xfId="0" quotePrefix="1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0" fontId="28" fillId="4" borderId="2" xfId="0" applyFont="1" applyFill="1" applyBorder="1" applyAlignment="1">
      <alignment horizontal="center" vertical="center" shrinkToFit="1"/>
    </xf>
    <xf numFmtId="178" fontId="28" fillId="4" borderId="2" xfId="0" applyNumberFormat="1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177" fontId="28" fillId="4" borderId="2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78" fontId="15" fillId="0" borderId="1" xfId="0" applyNumberFormat="1" applyFont="1" applyBorder="1" applyAlignment="1">
      <alignment horizontal="center" vertical="center"/>
    </xf>
    <xf numFmtId="41" fontId="15" fillId="0" borderId="1" xfId="2" applyFont="1" applyFill="1" applyBorder="1" applyAlignment="1">
      <alignment horizontal="center" vertical="center"/>
    </xf>
    <xf numFmtId="13" fontId="15" fillId="0" borderId="1" xfId="2" applyNumberFormat="1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 wrapText="1"/>
    </xf>
    <xf numFmtId="0" fontId="38" fillId="4" borderId="2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horizontal="center" vertical="center" wrapText="1"/>
    </xf>
    <xf numFmtId="179" fontId="28" fillId="4" borderId="1" xfId="0" applyNumberFormat="1" applyFont="1" applyFill="1" applyBorder="1" applyAlignment="1">
      <alignment horizontal="center" vertical="center"/>
    </xf>
    <xf numFmtId="178" fontId="18" fillId="2" borderId="1" xfId="0" applyNumberFormat="1" applyFont="1" applyFill="1" applyBorder="1" applyAlignment="1">
      <alignment horizontal="center" vertical="center" wrapText="1" shrinkToFit="1"/>
    </xf>
    <xf numFmtId="58" fontId="15" fillId="0" borderId="1" xfId="0" applyNumberFormat="1" applyFont="1" applyBorder="1" applyAlignment="1">
      <alignment horizontal="center" vertical="center" wrapText="1"/>
    </xf>
    <xf numFmtId="58" fontId="15" fillId="4" borderId="1" xfId="0" applyNumberFormat="1" applyFont="1" applyFill="1" applyBorder="1" applyAlignment="1">
      <alignment horizontal="center" vertical="center" wrapText="1"/>
    </xf>
    <xf numFmtId="58" fontId="9" fillId="2" borderId="1" xfId="0" applyNumberFormat="1" applyFont="1" applyFill="1" applyBorder="1">
      <alignment vertical="center"/>
    </xf>
    <xf numFmtId="0" fontId="9" fillId="2" borderId="1" xfId="0" applyFont="1" applyFill="1" applyBorder="1">
      <alignment vertical="center"/>
    </xf>
    <xf numFmtId="177" fontId="44" fillId="4" borderId="1" xfId="0" applyNumberFormat="1" applyFont="1" applyFill="1" applyBorder="1" applyAlignment="1">
      <alignment horizontal="center" vertical="center" wrapText="1"/>
    </xf>
    <xf numFmtId="41" fontId="14" fillId="4" borderId="3" xfId="2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/>
    </xf>
    <xf numFmtId="177" fontId="44" fillId="2" borderId="1" xfId="0" applyNumberFormat="1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shrinkToFit="1"/>
    </xf>
    <xf numFmtId="178" fontId="28" fillId="2" borderId="2" xfId="0" applyNumberFormat="1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177" fontId="44" fillId="2" borderId="2" xfId="0" applyNumberFormat="1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center" vertical="center"/>
    </xf>
    <xf numFmtId="176" fontId="9" fillId="2" borderId="2" xfId="0" applyNumberFormat="1" applyFont="1" applyFill="1" applyBorder="1" applyAlignment="1">
      <alignment horizontal="center" vertical="center" shrinkToFit="1"/>
    </xf>
    <xf numFmtId="176" fontId="28" fillId="2" borderId="2" xfId="0" applyNumberFormat="1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41" fontId="14" fillId="2" borderId="0" xfId="2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shrinkToFit="1"/>
    </xf>
    <xf numFmtId="41" fontId="25" fillId="2" borderId="1" xfId="2" applyFont="1" applyFill="1" applyBorder="1" applyAlignment="1">
      <alignment horizontal="center" vertical="center" wrapText="1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9" fillId="2" borderId="0" xfId="0" applyFont="1" applyFill="1" applyAlignment="1">
      <alignment horizontal="center" vertical="center" shrinkToFit="1"/>
    </xf>
    <xf numFmtId="178" fontId="18" fillId="2" borderId="0" xfId="0" applyNumberFormat="1" applyFont="1" applyFill="1" applyAlignment="1">
      <alignment horizontal="center" vertical="center" wrapText="1" shrinkToFit="1"/>
    </xf>
    <xf numFmtId="176" fontId="9" fillId="2" borderId="0" xfId="0" applyNumberFormat="1" applyFont="1" applyFill="1" applyAlignment="1">
      <alignment horizontal="center" vertical="center"/>
    </xf>
    <xf numFmtId="176" fontId="9" fillId="2" borderId="0" xfId="0" applyNumberFormat="1" applyFont="1" applyFill="1" applyAlignment="1">
      <alignment horizontal="center" vertical="center" shrinkToFit="1"/>
    </xf>
    <xf numFmtId="58" fontId="9" fillId="2" borderId="0" xfId="0" applyNumberFormat="1" applyFont="1" applyFill="1" applyAlignment="1">
      <alignment horizontal="center" vertical="center"/>
    </xf>
    <xf numFmtId="58" fontId="18" fillId="2" borderId="0" xfId="0" applyNumberFormat="1" applyFont="1" applyFill="1" applyAlignment="1">
      <alignment horizontal="center" vertical="center"/>
    </xf>
    <xf numFmtId="179" fontId="45" fillId="0" borderId="0" xfId="0" applyNumberFormat="1" applyFont="1">
      <alignment vertical="center"/>
    </xf>
    <xf numFmtId="0" fontId="45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41" fontId="46" fillId="0" borderId="1" xfId="2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shrinkToFit="1"/>
    </xf>
    <xf numFmtId="41" fontId="46" fillId="0" borderId="1" xfId="2" applyFont="1" applyFill="1" applyBorder="1" applyAlignment="1">
      <alignment vertical="center" wrapText="1"/>
    </xf>
    <xf numFmtId="176" fontId="44" fillId="4" borderId="2" xfId="0" applyNumberFormat="1" applyFont="1" applyFill="1" applyBorder="1" applyAlignment="1">
      <alignment horizontal="center" vertical="center"/>
    </xf>
    <xf numFmtId="176" fontId="44" fillId="4" borderId="1" xfId="0" applyNumberFormat="1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shrinkToFit="1"/>
    </xf>
    <xf numFmtId="58" fontId="44" fillId="4" borderId="1" xfId="0" applyNumberFormat="1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58" fontId="28" fillId="4" borderId="1" xfId="0" applyNumberFormat="1" applyFont="1" applyFill="1" applyBorder="1" applyAlignment="1">
      <alignment horizontal="center" vertical="center"/>
    </xf>
    <xf numFmtId="41" fontId="46" fillId="4" borderId="1" xfId="2" applyFont="1" applyFill="1" applyBorder="1" applyAlignment="1">
      <alignment horizontal="center" vertical="center" wrapText="1"/>
    </xf>
    <xf numFmtId="41" fontId="46" fillId="4" borderId="1" xfId="2" applyFont="1" applyFill="1" applyBorder="1" applyAlignment="1">
      <alignment vertical="center" wrapText="1"/>
    </xf>
    <xf numFmtId="176" fontId="44" fillId="0" borderId="2" xfId="0" applyNumberFormat="1" applyFont="1" applyBorder="1" applyAlignment="1">
      <alignment horizontal="center" vertical="center"/>
    </xf>
    <xf numFmtId="176" fontId="44" fillId="0" borderId="1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 shrinkToFit="1"/>
    </xf>
    <xf numFmtId="58" fontId="44" fillId="0" borderId="1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58" fontId="28" fillId="0" borderId="1" xfId="0" applyNumberFormat="1" applyFont="1" applyBorder="1" applyAlignment="1">
      <alignment horizontal="center" vertical="center"/>
    </xf>
    <xf numFmtId="176" fontId="28" fillId="4" borderId="2" xfId="0" applyNumberFormat="1" applyFont="1" applyFill="1" applyBorder="1" applyAlignment="1">
      <alignment horizontal="center" vertical="center"/>
    </xf>
    <xf numFmtId="176" fontId="9" fillId="4" borderId="2" xfId="0" applyNumberFormat="1" applyFont="1" applyFill="1" applyBorder="1" applyAlignment="1">
      <alignment horizontal="center" vertical="center" shrinkToFit="1"/>
    </xf>
    <xf numFmtId="178" fontId="28" fillId="0" borderId="0" xfId="0" applyNumberFormat="1" applyFont="1" applyAlignment="1">
      <alignment horizontal="center" vertical="center" wrapText="1" shrinkToFit="1"/>
    </xf>
    <xf numFmtId="0" fontId="38" fillId="4" borderId="14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 shrinkToFit="1"/>
    </xf>
    <xf numFmtId="176" fontId="44" fillId="0" borderId="0" xfId="0" applyNumberFormat="1" applyFont="1" applyAlignment="1">
      <alignment horizontal="center" vertical="center"/>
    </xf>
    <xf numFmtId="176" fontId="44" fillId="0" borderId="0" xfId="0" applyNumberFormat="1" applyFont="1" applyAlignment="1">
      <alignment horizontal="center" vertical="center" shrinkToFit="1"/>
    </xf>
    <xf numFmtId="0" fontId="28" fillId="0" borderId="0" xfId="0" applyFont="1" applyAlignment="1">
      <alignment horizontal="center" vertical="center"/>
    </xf>
    <xf numFmtId="58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58" fontId="28" fillId="0" borderId="0" xfId="0" applyNumberFormat="1" applyFont="1" applyAlignment="1">
      <alignment horizontal="center" vertical="center"/>
    </xf>
    <xf numFmtId="41" fontId="46" fillId="0" borderId="0" xfId="2" applyFont="1" applyFill="1" applyBorder="1" applyAlignment="1">
      <alignment vertical="center" wrapText="1"/>
    </xf>
    <xf numFmtId="176" fontId="44" fillId="0" borderId="1" xfId="0" applyNumberFormat="1" applyFont="1" applyBorder="1" applyAlignment="1">
      <alignment horizontal="center" vertical="center" shrinkToFit="1"/>
    </xf>
    <xf numFmtId="178" fontId="28" fillId="2" borderId="0" xfId="0" applyNumberFormat="1" applyFont="1" applyFill="1" applyAlignment="1">
      <alignment horizontal="center" vertical="center"/>
    </xf>
    <xf numFmtId="176" fontId="9" fillId="2" borderId="0" xfId="0" applyNumberFormat="1" applyFont="1" applyFill="1" applyAlignment="1">
      <alignment horizontal="center" vertical="center" wrapText="1"/>
    </xf>
    <xf numFmtId="17" fontId="18" fillId="2" borderId="0" xfId="0" quotePrefix="1" applyNumberFormat="1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 wrapText="1"/>
    </xf>
    <xf numFmtId="41" fontId="25" fillId="2" borderId="0" xfId="2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176" fontId="18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7" fontId="18" fillId="2" borderId="1" xfId="0" quotePrefix="1" applyNumberFormat="1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 shrinkToFit="1"/>
    </xf>
    <xf numFmtId="178" fontId="18" fillId="4" borderId="2" xfId="0" applyNumberFormat="1" applyFont="1" applyFill="1" applyBorder="1" applyAlignment="1">
      <alignment horizontal="center" vertical="center" wrapText="1" shrinkToFit="1"/>
    </xf>
    <xf numFmtId="176" fontId="9" fillId="4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8" fontId="18" fillId="0" borderId="7" xfId="0" applyNumberFormat="1" applyFont="1" applyBorder="1" applyAlignment="1">
      <alignment horizontal="center" vertical="center" wrapText="1" shrinkToFit="1"/>
    </xf>
    <xf numFmtId="178" fontId="18" fillId="0" borderId="8" xfId="0" applyNumberFormat="1" applyFont="1" applyBorder="1" applyAlignment="1">
      <alignment horizontal="center" vertical="center" wrapText="1" shrinkToFit="1"/>
    </xf>
    <xf numFmtId="178" fontId="18" fillId="0" borderId="4" xfId="0" applyNumberFormat="1" applyFont="1" applyBorder="1" applyAlignment="1">
      <alignment horizontal="center" vertical="center" wrapText="1" shrinkToFit="1"/>
    </xf>
    <xf numFmtId="178" fontId="28" fillId="0" borderId="7" xfId="0" applyNumberFormat="1" applyFont="1" applyBorder="1" applyAlignment="1">
      <alignment horizontal="center" vertical="center" wrapText="1" shrinkToFit="1"/>
    </xf>
    <xf numFmtId="178" fontId="28" fillId="0" borderId="8" xfId="0" applyNumberFormat="1" applyFont="1" applyBorder="1" applyAlignment="1">
      <alignment horizontal="center" vertical="center" wrapText="1" shrinkToFit="1"/>
    </xf>
    <xf numFmtId="178" fontId="28" fillId="0" borderId="4" xfId="0" applyNumberFormat="1" applyFont="1" applyBorder="1" applyAlignment="1">
      <alignment horizontal="center" vertical="center" wrapText="1" shrinkToFit="1"/>
    </xf>
    <xf numFmtId="0" fontId="44" fillId="0" borderId="2" xfId="0" applyFont="1" applyBorder="1" applyAlignment="1">
      <alignment horizontal="center" vertical="center" shrinkToFit="1"/>
    </xf>
    <xf numFmtId="0" fontId="44" fillId="0" borderId="3" xfId="0" applyFont="1" applyBorder="1" applyAlignment="1">
      <alignment horizontal="center" vertical="center" shrinkToFit="1"/>
    </xf>
    <xf numFmtId="178" fontId="28" fillId="0" borderId="9" xfId="0" applyNumberFormat="1" applyFont="1" applyBorder="1" applyAlignment="1">
      <alignment horizontal="center" vertical="center" wrapText="1" shrinkToFit="1"/>
    </xf>
    <xf numFmtId="178" fontId="28" fillId="0" borderId="6" xfId="0" applyNumberFormat="1" applyFont="1" applyBorder="1" applyAlignment="1">
      <alignment horizontal="center" vertical="center" wrapText="1" shrinkToFit="1"/>
    </xf>
    <xf numFmtId="178" fontId="28" fillId="0" borderId="10" xfId="0" applyNumberFormat="1" applyFont="1" applyBorder="1" applyAlignment="1">
      <alignment horizontal="center" vertical="center" wrapText="1" shrinkToFit="1"/>
    </xf>
    <xf numFmtId="178" fontId="28" fillId="0" borderId="15" xfId="0" applyNumberFormat="1" applyFont="1" applyBorder="1" applyAlignment="1">
      <alignment horizontal="center" vertical="center" wrapText="1" shrinkToFit="1"/>
    </xf>
    <xf numFmtId="178" fontId="28" fillId="0" borderId="13" xfId="0" applyNumberFormat="1" applyFont="1" applyBorder="1" applyAlignment="1">
      <alignment horizontal="center" vertical="center" wrapText="1" shrinkToFit="1"/>
    </xf>
    <xf numFmtId="178" fontId="28" fillId="0" borderId="14" xfId="0" applyNumberFormat="1" applyFont="1" applyBorder="1" applyAlignment="1">
      <alignment horizontal="center" vertical="center" wrapText="1" shrinkToFit="1"/>
    </xf>
    <xf numFmtId="176" fontId="44" fillId="0" borderId="2" xfId="0" applyNumberFormat="1" applyFont="1" applyBorder="1" applyAlignment="1">
      <alignment horizontal="center" vertical="center" shrinkToFit="1"/>
    </xf>
    <xf numFmtId="176" fontId="44" fillId="0" borderId="3" xfId="0" applyNumberFormat="1" applyFont="1" applyBorder="1" applyAlignment="1">
      <alignment horizontal="center" vertical="center" shrinkToFit="1"/>
    </xf>
    <xf numFmtId="178" fontId="18" fillId="4" borderId="7" xfId="0" applyNumberFormat="1" applyFont="1" applyFill="1" applyBorder="1" applyAlignment="1">
      <alignment horizontal="center" vertical="center" wrapText="1" shrinkToFit="1"/>
    </xf>
    <xf numFmtId="178" fontId="18" fillId="4" borderId="8" xfId="0" applyNumberFormat="1" applyFont="1" applyFill="1" applyBorder="1" applyAlignment="1">
      <alignment horizontal="center" vertical="center" wrapText="1" shrinkToFit="1"/>
    </xf>
    <xf numFmtId="178" fontId="18" fillId="4" borderId="4" xfId="0" applyNumberFormat="1" applyFont="1" applyFill="1" applyBorder="1" applyAlignment="1">
      <alignment horizontal="center" vertical="center" wrapText="1" shrinkToFit="1"/>
    </xf>
    <xf numFmtId="0" fontId="44" fillId="0" borderId="5" xfId="0" applyFont="1" applyBorder="1" applyAlignment="1">
      <alignment horizontal="center" vertical="center" shrinkToFit="1"/>
    </xf>
    <xf numFmtId="0" fontId="38" fillId="0" borderId="9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178" fontId="18" fillId="2" borderId="9" xfId="0" applyNumberFormat="1" applyFont="1" applyFill="1" applyBorder="1" applyAlignment="1">
      <alignment horizontal="center" vertical="center" wrapText="1" shrinkToFit="1"/>
    </xf>
    <xf numFmtId="178" fontId="18" fillId="2" borderId="6" xfId="0" applyNumberFormat="1" applyFont="1" applyFill="1" applyBorder="1" applyAlignment="1">
      <alignment horizontal="center" vertical="center" wrapText="1" shrinkToFit="1"/>
    </xf>
    <xf numFmtId="178" fontId="18" fillId="2" borderId="10" xfId="0" applyNumberFormat="1" applyFont="1" applyFill="1" applyBorder="1" applyAlignment="1">
      <alignment horizontal="center" vertical="center" wrapText="1" shrinkToFit="1"/>
    </xf>
    <xf numFmtId="178" fontId="18" fillId="2" borderId="15" xfId="0" applyNumberFormat="1" applyFont="1" applyFill="1" applyBorder="1" applyAlignment="1">
      <alignment horizontal="center" vertical="center" wrapText="1" shrinkToFit="1"/>
    </xf>
    <xf numFmtId="178" fontId="18" fillId="2" borderId="13" xfId="0" applyNumberFormat="1" applyFont="1" applyFill="1" applyBorder="1" applyAlignment="1">
      <alignment horizontal="center" vertical="center" wrapText="1" shrinkToFit="1"/>
    </xf>
    <xf numFmtId="178" fontId="18" fillId="2" borderId="14" xfId="0" applyNumberFormat="1" applyFont="1" applyFill="1" applyBorder="1" applyAlignment="1">
      <alignment horizontal="center" vertical="center" wrapText="1" shrinkToFit="1"/>
    </xf>
    <xf numFmtId="176" fontId="9" fillId="2" borderId="2" xfId="0" applyNumberFormat="1" applyFont="1" applyFill="1" applyBorder="1" applyAlignment="1">
      <alignment horizontal="center" vertical="center"/>
    </xf>
    <xf numFmtId="176" fontId="9" fillId="2" borderId="3" xfId="0" applyNumberFormat="1" applyFont="1" applyFill="1" applyBorder="1" applyAlignment="1">
      <alignment horizontal="center" vertical="center"/>
    </xf>
    <xf numFmtId="176" fontId="9" fillId="2" borderId="2" xfId="0" applyNumberFormat="1" applyFont="1" applyFill="1" applyBorder="1" applyAlignment="1">
      <alignment horizontal="center" vertical="center" shrinkToFit="1"/>
    </xf>
    <xf numFmtId="176" fontId="9" fillId="2" borderId="3" xfId="0" applyNumberFormat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shrinkToFit="1"/>
    </xf>
    <xf numFmtId="58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shrinkToFit="1"/>
    </xf>
    <xf numFmtId="178" fontId="9" fillId="0" borderId="7" xfId="0" applyNumberFormat="1" applyFont="1" applyBorder="1" applyAlignment="1">
      <alignment horizontal="center" vertical="center" wrapText="1" shrinkToFit="1"/>
    </xf>
    <xf numFmtId="178" fontId="9" fillId="0" borderId="8" xfId="0" applyNumberFormat="1" applyFont="1" applyBorder="1" applyAlignment="1">
      <alignment horizontal="center" vertical="center" wrapText="1" shrinkToFit="1"/>
    </xf>
    <xf numFmtId="178" fontId="9" fillId="0" borderId="4" xfId="0" applyNumberFormat="1" applyFont="1" applyBorder="1" applyAlignment="1">
      <alignment horizontal="center" vertical="center" wrapText="1" shrinkToFit="1"/>
    </xf>
    <xf numFmtId="0" fontId="28" fillId="0" borderId="2" xfId="0" applyFont="1" applyBorder="1" applyAlignment="1">
      <alignment horizontal="center" vertical="center" shrinkToFit="1"/>
    </xf>
    <xf numFmtId="0" fontId="28" fillId="0" borderId="3" xfId="0" applyFont="1" applyBorder="1" applyAlignment="1">
      <alignment horizontal="center" vertical="center" shrinkToFit="1"/>
    </xf>
    <xf numFmtId="178" fontId="28" fillId="0" borderId="2" xfId="0" applyNumberFormat="1" applyFont="1" applyBorder="1" applyAlignment="1">
      <alignment horizontal="center" vertical="center"/>
    </xf>
    <xf numFmtId="178" fontId="28" fillId="0" borderId="3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77" fontId="44" fillId="0" borderId="2" xfId="0" applyNumberFormat="1" applyFont="1" applyBorder="1" applyAlignment="1">
      <alignment horizontal="center" vertical="center" wrapText="1"/>
    </xf>
    <xf numFmtId="177" fontId="44" fillId="0" borderId="3" xfId="0" applyNumberFormat="1" applyFont="1" applyBorder="1" applyAlignment="1">
      <alignment horizontal="center" vertical="center" wrapText="1"/>
    </xf>
    <xf numFmtId="176" fontId="28" fillId="0" borderId="2" xfId="0" applyNumberFormat="1" applyFont="1" applyBorder="1" applyAlignment="1">
      <alignment horizontal="center" vertical="center"/>
    </xf>
    <xf numFmtId="176" fontId="28" fillId="0" borderId="3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shrinkToFit="1"/>
    </xf>
    <xf numFmtId="0" fontId="9" fillId="4" borderId="3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/>
    </xf>
    <xf numFmtId="178" fontId="18" fillId="2" borderId="7" xfId="0" applyNumberFormat="1" applyFont="1" applyFill="1" applyBorder="1" applyAlignment="1">
      <alignment horizontal="center" vertical="center" wrapText="1" shrinkToFit="1"/>
    </xf>
    <xf numFmtId="178" fontId="18" fillId="2" borderId="8" xfId="0" applyNumberFormat="1" applyFont="1" applyFill="1" applyBorder="1" applyAlignment="1">
      <alignment horizontal="center" vertical="center" wrapText="1" shrinkToFit="1"/>
    </xf>
    <xf numFmtId="178" fontId="18" fillId="2" borderId="4" xfId="0" applyNumberFormat="1" applyFont="1" applyFill="1" applyBorder="1" applyAlignment="1">
      <alignment horizontal="center" vertical="center" wrapText="1" shrinkToFit="1"/>
    </xf>
    <xf numFmtId="0" fontId="38" fillId="4" borderId="2" xfId="0" applyFont="1" applyFill="1" applyBorder="1" applyAlignment="1">
      <alignment horizontal="center" vertical="center"/>
    </xf>
    <xf numFmtId="0" fontId="38" fillId="4" borderId="3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41" fontId="14" fillId="4" borderId="2" xfId="2" applyFont="1" applyFill="1" applyBorder="1" applyAlignment="1">
      <alignment horizontal="center" vertical="center" wrapText="1"/>
    </xf>
    <xf numFmtId="41" fontId="14" fillId="4" borderId="3" xfId="2" applyFont="1" applyFill="1" applyBorder="1" applyAlignment="1">
      <alignment horizontal="center" vertical="center" wrapText="1"/>
    </xf>
    <xf numFmtId="178" fontId="18" fillId="2" borderId="1" xfId="0" applyNumberFormat="1" applyFont="1" applyFill="1" applyBorder="1" applyAlignment="1">
      <alignment horizontal="center" vertical="center" wrapText="1" shrinkToFit="1"/>
    </xf>
    <xf numFmtId="178" fontId="18" fillId="4" borderId="1" xfId="0" applyNumberFormat="1" applyFont="1" applyFill="1" applyBorder="1" applyAlignment="1">
      <alignment horizontal="center" vertical="center" wrapText="1" shrinkToFit="1"/>
    </xf>
    <xf numFmtId="176" fontId="9" fillId="4" borderId="1" xfId="0" applyNumberFormat="1" applyFont="1" applyFill="1" applyBorder="1" applyAlignment="1">
      <alignment horizontal="center" vertical="center"/>
    </xf>
    <xf numFmtId="176" fontId="9" fillId="4" borderId="1" xfId="0" applyNumberFormat="1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176" fontId="9" fillId="4" borderId="2" xfId="0" applyNumberFormat="1" applyFont="1" applyFill="1" applyBorder="1" applyAlignment="1">
      <alignment horizontal="center" vertical="center" shrinkToFit="1"/>
    </xf>
    <xf numFmtId="176" fontId="9" fillId="4" borderId="3" xfId="0" applyNumberFormat="1" applyFont="1" applyFill="1" applyBorder="1" applyAlignment="1">
      <alignment horizontal="center" vertical="center" shrinkToFit="1"/>
    </xf>
    <xf numFmtId="176" fontId="9" fillId="2" borderId="1" xfId="0" applyNumberFormat="1" applyFont="1" applyFill="1" applyBorder="1" applyAlignment="1">
      <alignment horizontal="center" vertical="center" shrinkToFit="1"/>
    </xf>
    <xf numFmtId="41" fontId="14" fillId="0" borderId="2" xfId="2" applyFont="1" applyFill="1" applyBorder="1" applyAlignment="1">
      <alignment horizontal="center" vertical="center" wrapText="1"/>
    </xf>
    <xf numFmtId="41" fontId="14" fillId="0" borderId="3" xfId="2" applyFont="1" applyFill="1" applyBorder="1" applyAlignment="1">
      <alignment horizontal="center" vertical="center" wrapText="1"/>
    </xf>
    <xf numFmtId="0" fontId="28" fillId="4" borderId="2" xfId="0" applyFont="1" applyFill="1" applyBorder="1" applyAlignment="1">
      <alignment horizontal="center" vertical="center" wrapText="1"/>
    </xf>
    <xf numFmtId="0" fontId="28" fillId="4" borderId="5" xfId="0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 wrapText="1"/>
    </xf>
    <xf numFmtId="0" fontId="28" fillId="4" borderId="2" xfId="0" applyFont="1" applyFill="1" applyBorder="1" applyAlignment="1">
      <alignment horizontal="center" vertical="center" wrapText="1" shrinkToFit="1"/>
    </xf>
    <xf numFmtId="0" fontId="28" fillId="4" borderId="5" xfId="0" applyFont="1" applyFill="1" applyBorder="1" applyAlignment="1">
      <alignment horizontal="center" vertical="center" wrapText="1" shrinkToFit="1"/>
    </xf>
    <xf numFmtId="0" fontId="28" fillId="4" borderId="3" xfId="0" applyFont="1" applyFill="1" applyBorder="1" applyAlignment="1">
      <alignment horizontal="center" vertical="center" wrapText="1" shrinkToFit="1"/>
    </xf>
    <xf numFmtId="0" fontId="9" fillId="2" borderId="5" xfId="0" applyFont="1" applyFill="1" applyBorder="1" applyAlignment="1">
      <alignment horizontal="center" vertical="center" shrinkToFit="1"/>
    </xf>
    <xf numFmtId="178" fontId="18" fillId="0" borderId="1" xfId="0" applyNumberFormat="1" applyFont="1" applyBorder="1" applyAlignment="1">
      <alignment horizontal="center" vertical="center" wrapText="1" shrinkToFit="1"/>
    </xf>
    <xf numFmtId="178" fontId="10" fillId="0" borderId="7" xfId="0" applyNumberFormat="1" applyFont="1" applyBorder="1" applyAlignment="1">
      <alignment horizontal="center" vertical="center" wrapText="1" shrinkToFit="1"/>
    </xf>
    <xf numFmtId="178" fontId="10" fillId="0" borderId="8" xfId="0" applyNumberFormat="1" applyFont="1" applyBorder="1" applyAlignment="1">
      <alignment horizontal="center" vertical="center" wrapText="1" shrinkToFit="1"/>
    </xf>
    <xf numFmtId="178" fontId="10" fillId="0" borderId="4" xfId="0" applyNumberFormat="1" applyFont="1" applyBorder="1" applyAlignment="1">
      <alignment horizontal="center" vertical="center" wrapText="1" shrinkToFit="1"/>
    </xf>
    <xf numFmtId="178" fontId="9" fillId="4" borderId="7" xfId="0" applyNumberFormat="1" applyFont="1" applyFill="1" applyBorder="1" applyAlignment="1">
      <alignment horizontal="center" vertical="center" wrapText="1" shrinkToFit="1"/>
    </xf>
    <xf numFmtId="178" fontId="9" fillId="4" borderId="8" xfId="0" applyNumberFormat="1" applyFont="1" applyFill="1" applyBorder="1" applyAlignment="1">
      <alignment horizontal="center" vertical="center" wrapText="1" shrinkToFit="1"/>
    </xf>
    <xf numFmtId="178" fontId="9" fillId="4" borderId="4" xfId="0" applyNumberFormat="1" applyFont="1" applyFill="1" applyBorder="1" applyAlignment="1">
      <alignment horizontal="center" vertical="center" wrapText="1" shrinkToFit="1"/>
    </xf>
    <xf numFmtId="0" fontId="28" fillId="4" borderId="2" xfId="0" applyFont="1" applyFill="1" applyBorder="1" applyAlignment="1">
      <alignment horizontal="center" vertical="center" shrinkToFit="1"/>
    </xf>
    <xf numFmtId="0" fontId="28" fillId="4" borderId="5" xfId="0" applyFont="1" applyFill="1" applyBorder="1" applyAlignment="1">
      <alignment horizontal="center" vertical="center" shrinkToFit="1"/>
    </xf>
    <xf numFmtId="0" fontId="28" fillId="4" borderId="3" xfId="0" applyFont="1" applyFill="1" applyBorder="1" applyAlignment="1">
      <alignment horizontal="center" vertical="center" shrinkToFit="1"/>
    </xf>
    <xf numFmtId="178" fontId="28" fillId="4" borderId="2" xfId="0" applyNumberFormat="1" applyFont="1" applyFill="1" applyBorder="1" applyAlignment="1">
      <alignment horizontal="center" vertical="center"/>
    </xf>
    <xf numFmtId="178" fontId="28" fillId="4" borderId="5" xfId="0" applyNumberFormat="1" applyFont="1" applyFill="1" applyBorder="1" applyAlignment="1">
      <alignment horizontal="center" vertical="center"/>
    </xf>
    <xf numFmtId="178" fontId="28" fillId="4" borderId="3" xfId="0" applyNumberFormat="1" applyFont="1" applyFill="1" applyBorder="1" applyAlignment="1">
      <alignment horizontal="center" vertical="center"/>
    </xf>
    <xf numFmtId="0" fontId="28" fillId="4" borderId="5" xfId="0" applyFont="1" applyFill="1" applyBorder="1" applyAlignment="1">
      <alignment horizontal="center" vertical="center"/>
    </xf>
    <xf numFmtId="177" fontId="44" fillId="4" borderId="2" xfId="0" applyNumberFormat="1" applyFont="1" applyFill="1" applyBorder="1" applyAlignment="1">
      <alignment horizontal="center" vertical="center" wrapText="1"/>
    </xf>
    <xf numFmtId="177" fontId="44" fillId="4" borderId="5" xfId="0" applyNumberFormat="1" applyFont="1" applyFill="1" applyBorder="1" applyAlignment="1">
      <alignment horizontal="center" vertical="center" wrapText="1"/>
    </xf>
    <xf numFmtId="177" fontId="44" fillId="4" borderId="3" xfId="0" applyNumberFormat="1" applyFont="1" applyFill="1" applyBorder="1" applyAlignment="1">
      <alignment horizontal="center" vertical="center" wrapText="1"/>
    </xf>
    <xf numFmtId="178" fontId="10" fillId="4" borderId="7" xfId="0" applyNumberFormat="1" applyFont="1" applyFill="1" applyBorder="1" applyAlignment="1">
      <alignment horizontal="center" vertical="center" wrapText="1" shrinkToFit="1"/>
    </xf>
    <xf numFmtId="178" fontId="10" fillId="4" borderId="8" xfId="0" applyNumberFormat="1" applyFont="1" applyFill="1" applyBorder="1" applyAlignment="1">
      <alignment horizontal="center" vertical="center" wrapText="1" shrinkToFit="1"/>
    </xf>
    <xf numFmtId="178" fontId="10" fillId="4" borderId="4" xfId="0" applyNumberFormat="1" applyFont="1" applyFill="1" applyBorder="1" applyAlignment="1">
      <alignment horizontal="center" vertical="center" wrapText="1" shrinkToFit="1"/>
    </xf>
    <xf numFmtId="178" fontId="18" fillId="4" borderId="9" xfId="0" applyNumberFormat="1" applyFont="1" applyFill="1" applyBorder="1" applyAlignment="1">
      <alignment horizontal="center" vertical="center" wrapText="1" shrinkToFit="1"/>
    </xf>
    <xf numFmtId="178" fontId="18" fillId="4" borderId="6" xfId="0" applyNumberFormat="1" applyFont="1" applyFill="1" applyBorder="1" applyAlignment="1">
      <alignment horizontal="center" vertical="center" wrapText="1" shrinkToFit="1"/>
    </xf>
    <xf numFmtId="178" fontId="18" fillId="4" borderId="10" xfId="0" applyNumberFormat="1" applyFont="1" applyFill="1" applyBorder="1" applyAlignment="1">
      <alignment horizontal="center" vertical="center" wrapText="1" shrinkToFit="1"/>
    </xf>
    <xf numFmtId="178" fontId="18" fillId="4" borderId="15" xfId="0" applyNumberFormat="1" applyFont="1" applyFill="1" applyBorder="1" applyAlignment="1">
      <alignment horizontal="center" vertical="center" wrapText="1" shrinkToFit="1"/>
    </xf>
    <xf numFmtId="178" fontId="18" fillId="4" borderId="13" xfId="0" applyNumberFormat="1" applyFont="1" applyFill="1" applyBorder="1" applyAlignment="1">
      <alignment horizontal="center" vertical="center" wrapText="1" shrinkToFit="1"/>
    </xf>
    <xf numFmtId="178" fontId="18" fillId="4" borderId="14" xfId="0" applyNumberFormat="1" applyFont="1" applyFill="1" applyBorder="1" applyAlignment="1">
      <alignment horizontal="center" vertical="center" wrapText="1" shrinkToFit="1"/>
    </xf>
    <xf numFmtId="178" fontId="18" fillId="4" borderId="11" xfId="0" applyNumberFormat="1" applyFont="1" applyFill="1" applyBorder="1" applyAlignment="1">
      <alignment horizontal="center" vertical="center" wrapText="1" shrinkToFit="1"/>
    </xf>
    <xf numFmtId="178" fontId="18" fillId="4" borderId="0" xfId="0" applyNumberFormat="1" applyFont="1" applyFill="1" applyAlignment="1">
      <alignment horizontal="center" vertical="center" wrapText="1" shrinkToFit="1"/>
    </xf>
    <xf numFmtId="178" fontId="18" fillId="4" borderId="12" xfId="0" applyNumberFormat="1" applyFont="1" applyFill="1" applyBorder="1" applyAlignment="1">
      <alignment horizontal="center" vertical="center" wrapText="1" shrinkToFi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left" vertical="center" wrapText="1"/>
    </xf>
    <xf numFmtId="41" fontId="25" fillId="4" borderId="2" xfId="2" applyFont="1" applyFill="1" applyBorder="1" applyAlignment="1">
      <alignment horizontal="center" vertical="center" wrapText="1"/>
    </xf>
    <xf numFmtId="41" fontId="25" fillId="4" borderId="3" xfId="2" applyFont="1" applyFill="1" applyBorder="1" applyAlignment="1">
      <alignment horizontal="center" vertical="center" wrapText="1"/>
    </xf>
    <xf numFmtId="178" fontId="18" fillId="0" borderId="9" xfId="0" applyNumberFormat="1" applyFont="1" applyBorder="1" applyAlignment="1">
      <alignment horizontal="center" vertical="center" wrapText="1" shrinkToFit="1"/>
    </xf>
    <xf numFmtId="178" fontId="18" fillId="0" borderId="6" xfId="0" applyNumberFormat="1" applyFont="1" applyBorder="1" applyAlignment="1">
      <alignment horizontal="center" vertical="center" wrapText="1" shrinkToFit="1"/>
    </xf>
    <xf numFmtId="178" fontId="18" fillId="0" borderId="10" xfId="0" applyNumberFormat="1" applyFont="1" applyBorder="1" applyAlignment="1">
      <alignment horizontal="center" vertical="center" wrapText="1" shrinkToFit="1"/>
    </xf>
    <xf numFmtId="178" fontId="18" fillId="0" borderId="11" xfId="0" applyNumberFormat="1" applyFont="1" applyBorder="1" applyAlignment="1">
      <alignment horizontal="center" vertical="center" wrapText="1" shrinkToFit="1"/>
    </xf>
    <xf numFmtId="178" fontId="18" fillId="0" borderId="0" xfId="0" applyNumberFormat="1" applyFont="1" applyAlignment="1">
      <alignment horizontal="center" vertical="center" wrapText="1" shrinkToFit="1"/>
    </xf>
    <xf numFmtId="178" fontId="18" fillId="0" borderId="12" xfId="0" applyNumberFormat="1" applyFont="1" applyBorder="1" applyAlignment="1">
      <alignment horizontal="center" vertical="center" wrapText="1" shrinkToFit="1"/>
    </xf>
    <xf numFmtId="178" fontId="18" fillId="0" borderId="15" xfId="0" applyNumberFormat="1" applyFont="1" applyBorder="1" applyAlignment="1">
      <alignment horizontal="center" vertical="center" wrapText="1" shrinkToFit="1"/>
    </xf>
    <xf numFmtId="178" fontId="18" fillId="0" borderId="13" xfId="0" applyNumberFormat="1" applyFont="1" applyBorder="1" applyAlignment="1">
      <alignment horizontal="center" vertical="center" wrapText="1" shrinkToFit="1"/>
    </xf>
    <xf numFmtId="178" fontId="18" fillId="0" borderId="14" xfId="0" applyNumberFormat="1" applyFont="1" applyBorder="1" applyAlignment="1">
      <alignment horizontal="center" vertical="center" wrapText="1" shrinkToFit="1"/>
    </xf>
    <xf numFmtId="0" fontId="9" fillId="0" borderId="2" xfId="0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176" fontId="9" fillId="2" borderId="5" xfId="0" applyNumberFormat="1" applyFont="1" applyFill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 shrinkToFit="1"/>
    </xf>
    <xf numFmtId="176" fontId="9" fillId="0" borderId="5" xfId="0" applyNumberFormat="1" applyFont="1" applyBorder="1" applyAlignment="1">
      <alignment horizontal="center" vertical="center" shrinkToFit="1"/>
    </xf>
    <xf numFmtId="176" fontId="9" fillId="0" borderId="3" xfId="0" applyNumberFormat="1" applyFont="1" applyBorder="1" applyAlignment="1">
      <alignment horizontal="center" vertical="center" shrinkToFit="1"/>
    </xf>
    <xf numFmtId="58" fontId="18" fillId="4" borderId="1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58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41" fontId="14" fillId="0" borderId="5" xfId="2" applyFont="1" applyFill="1" applyBorder="1" applyAlignment="1">
      <alignment horizontal="center" vertical="center" wrapText="1"/>
    </xf>
    <xf numFmtId="41" fontId="9" fillId="4" borderId="1" xfId="2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left" vertical="center" shrinkToFit="1"/>
    </xf>
    <xf numFmtId="0" fontId="14" fillId="5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44" fillId="4" borderId="2" xfId="0" applyFont="1" applyFill="1" applyBorder="1" applyAlignment="1">
      <alignment horizontal="center" vertical="center" shrinkToFit="1"/>
    </xf>
    <xf numFmtId="0" fontId="44" fillId="4" borderId="5" xfId="0" applyFont="1" applyFill="1" applyBorder="1" applyAlignment="1">
      <alignment horizontal="center" vertical="center" shrinkToFit="1"/>
    </xf>
    <xf numFmtId="0" fontId="44" fillId="4" borderId="3" xfId="0" applyFont="1" applyFill="1" applyBorder="1" applyAlignment="1">
      <alignment horizontal="center" vertical="center" shrinkToFit="1"/>
    </xf>
    <xf numFmtId="176" fontId="9" fillId="4" borderId="2" xfId="0" applyNumberFormat="1" applyFont="1" applyFill="1" applyBorder="1" applyAlignment="1">
      <alignment horizontal="center" vertical="center"/>
    </xf>
    <xf numFmtId="176" fontId="9" fillId="4" borderId="3" xfId="0" applyNumberFormat="1" applyFont="1" applyFill="1" applyBorder="1" applyAlignment="1">
      <alignment horizontal="center" vertical="center"/>
    </xf>
    <xf numFmtId="58" fontId="18" fillId="2" borderId="2" xfId="0" applyNumberFormat="1" applyFont="1" applyFill="1" applyBorder="1" applyAlignment="1">
      <alignment horizontal="center" vertical="center"/>
    </xf>
    <xf numFmtId="58" fontId="18" fillId="2" borderId="3" xfId="0" applyNumberFormat="1" applyFont="1" applyFill="1" applyBorder="1" applyAlignment="1">
      <alignment horizontal="center" vertical="center"/>
    </xf>
    <xf numFmtId="41" fontId="14" fillId="2" borderId="2" xfId="2" applyFont="1" applyFill="1" applyBorder="1" applyAlignment="1">
      <alignment horizontal="center" vertical="center" wrapText="1"/>
    </xf>
    <xf numFmtId="41" fontId="14" fillId="2" borderId="3" xfId="2" applyFont="1" applyFill="1" applyBorder="1" applyAlignment="1">
      <alignment horizontal="center" vertical="center" wrapText="1"/>
    </xf>
    <xf numFmtId="178" fontId="18" fillId="2" borderId="11" xfId="0" applyNumberFormat="1" applyFont="1" applyFill="1" applyBorder="1" applyAlignment="1">
      <alignment horizontal="center" vertical="center" wrapText="1" shrinkToFit="1"/>
    </xf>
    <xf numFmtId="178" fontId="18" fillId="2" borderId="0" xfId="0" applyNumberFormat="1" applyFont="1" applyFill="1" applyAlignment="1">
      <alignment horizontal="center" vertical="center" wrapText="1" shrinkToFit="1"/>
    </xf>
    <xf numFmtId="178" fontId="18" fillId="2" borderId="12" xfId="0" applyNumberFormat="1" applyFont="1" applyFill="1" applyBorder="1" applyAlignment="1">
      <alignment horizontal="center" vertical="center" wrapText="1" shrinkToFit="1"/>
    </xf>
    <xf numFmtId="176" fontId="9" fillId="2" borderId="5" xfId="0" applyNumberFormat="1" applyFont="1" applyFill="1" applyBorder="1" applyAlignment="1">
      <alignment horizontal="center" vertical="center" shrinkToFit="1"/>
    </xf>
    <xf numFmtId="176" fontId="9" fillId="2" borderId="1" xfId="0" applyNumberFormat="1" applyFont="1" applyFill="1" applyBorder="1" applyAlignment="1">
      <alignment horizontal="center" vertical="center"/>
    </xf>
    <xf numFmtId="58" fontId="9" fillId="2" borderId="2" xfId="0" applyNumberFormat="1" applyFont="1" applyFill="1" applyBorder="1" applyAlignment="1">
      <alignment horizontal="center" vertical="center"/>
    </xf>
    <xf numFmtId="58" fontId="9" fillId="2" borderId="3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41" fontId="14" fillId="0" borderId="1" xfId="2" applyFont="1" applyFill="1" applyBorder="1" applyAlignment="1">
      <alignment horizontal="center" vertical="center" wrapText="1"/>
    </xf>
    <xf numFmtId="58" fontId="9" fillId="4" borderId="2" xfId="0" applyNumberFormat="1" applyFont="1" applyFill="1" applyBorder="1" applyAlignment="1">
      <alignment horizontal="center" vertical="center"/>
    </xf>
    <xf numFmtId="58" fontId="9" fillId="4" borderId="3" xfId="0" applyNumberFormat="1" applyFont="1" applyFill="1" applyBorder="1" applyAlignment="1">
      <alignment horizontal="center" vertical="center"/>
    </xf>
    <xf numFmtId="41" fontId="14" fillId="2" borderId="1" xfId="2" applyFont="1" applyFill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shrinkToFit="1"/>
    </xf>
    <xf numFmtId="41" fontId="25" fillId="4" borderId="1" xfId="2" applyFont="1" applyFill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shrinkToFit="1"/>
    </xf>
    <xf numFmtId="0" fontId="18" fillId="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 shrinkToFit="1"/>
    </xf>
    <xf numFmtId="0" fontId="18" fillId="4" borderId="1" xfId="0" applyFont="1" applyFill="1" applyBorder="1" applyAlignment="1">
      <alignment horizontal="center" vertical="center" shrinkToFit="1"/>
    </xf>
    <xf numFmtId="0" fontId="18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 shrinkToFit="1"/>
    </xf>
    <xf numFmtId="0" fontId="19" fillId="0" borderId="1" xfId="0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22" fontId="19" fillId="4" borderId="1" xfId="2" applyNumberFormat="1" applyFont="1" applyFill="1" applyBorder="1" applyAlignment="1">
      <alignment horizontal="center" vertical="center" wrapText="1"/>
    </xf>
    <xf numFmtId="58" fontId="18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shrinkToFit="1"/>
    </xf>
    <xf numFmtId="22" fontId="19" fillId="0" borderId="1" xfId="2" applyNumberFormat="1" applyFont="1" applyFill="1" applyBorder="1" applyAlignment="1">
      <alignment horizontal="center" vertical="center" wrapText="1"/>
    </xf>
    <xf numFmtId="22" fontId="34" fillId="0" borderId="1" xfId="2" applyNumberFormat="1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 shrinkToFit="1"/>
    </xf>
    <xf numFmtId="58" fontId="18" fillId="0" borderId="1" xfId="0" applyNumberFormat="1" applyFont="1" applyBorder="1" applyAlignment="1">
      <alignment horizontal="center" vertical="center" wrapText="1"/>
    </xf>
    <xf numFmtId="22" fontId="18" fillId="0" borderId="1" xfId="2" applyNumberFormat="1" applyFont="1" applyFill="1" applyBorder="1" applyAlignment="1">
      <alignment horizontal="center" vertical="center" wrapText="1"/>
    </xf>
    <xf numFmtId="22" fontId="15" fillId="4" borderId="1" xfId="2" applyNumberFormat="1" applyFont="1" applyFill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 shrinkToFit="1"/>
    </xf>
    <xf numFmtId="0" fontId="9" fillId="0" borderId="1" xfId="0" applyFont="1" applyBorder="1" applyAlignment="1">
      <alignment horizontal="center" vertical="center" wrapText="1" shrinkToFit="1"/>
    </xf>
    <xf numFmtId="178" fontId="9" fillId="4" borderId="1" xfId="0" applyNumberFormat="1" applyFont="1" applyFill="1" applyBorder="1" applyAlignment="1">
      <alignment horizontal="center" vertical="center" wrapText="1" shrinkToFit="1"/>
    </xf>
    <xf numFmtId="0" fontId="9" fillId="4" borderId="1" xfId="0" applyFont="1" applyFill="1" applyBorder="1" applyAlignment="1">
      <alignment horizontal="center" vertical="center" wrapText="1" shrinkToFit="1"/>
    </xf>
    <xf numFmtId="22" fontId="9" fillId="4" borderId="1" xfId="2" applyNumberFormat="1" applyFont="1" applyFill="1" applyBorder="1" applyAlignment="1">
      <alignment horizontal="center" vertical="center" wrapText="1"/>
    </xf>
    <xf numFmtId="22" fontId="9" fillId="0" borderId="1" xfId="2" applyNumberFormat="1" applyFont="1" applyFill="1" applyBorder="1" applyAlignment="1">
      <alignment horizontal="center" vertical="center" wrapText="1"/>
    </xf>
    <xf numFmtId="22" fontId="31" fillId="4" borderId="1" xfId="2" applyNumberFormat="1" applyFont="1" applyFill="1" applyBorder="1" applyAlignment="1">
      <alignment horizontal="center" vertical="center" wrapText="1"/>
    </xf>
    <xf numFmtId="58" fontId="10" fillId="4" borderId="1" xfId="0" applyNumberFormat="1" applyFont="1" applyFill="1" applyBorder="1" applyAlignment="1">
      <alignment horizontal="center" vertical="center" wrapText="1"/>
    </xf>
    <xf numFmtId="177" fontId="28" fillId="4" borderId="2" xfId="0" applyNumberFormat="1" applyFont="1" applyFill="1" applyBorder="1" applyAlignment="1">
      <alignment horizontal="center" vertical="center" wrapText="1"/>
    </xf>
    <xf numFmtId="177" fontId="28" fillId="4" borderId="3" xfId="0" applyNumberFormat="1" applyFont="1" applyFill="1" applyBorder="1" applyAlignment="1">
      <alignment horizontal="center" vertical="center"/>
    </xf>
    <xf numFmtId="0" fontId="41" fillId="4" borderId="2" xfId="0" applyFont="1" applyFill="1" applyBorder="1" applyAlignment="1">
      <alignment horizontal="center" vertical="center" wrapText="1"/>
    </xf>
    <xf numFmtId="0" fontId="41" fillId="4" borderId="3" xfId="0" applyFont="1" applyFill="1" applyBorder="1" applyAlignment="1">
      <alignment horizontal="center" vertical="center" wrapText="1"/>
    </xf>
    <xf numFmtId="0" fontId="40" fillId="4" borderId="2" xfId="0" applyFont="1" applyFill="1" applyBorder="1" applyAlignment="1">
      <alignment horizontal="center" vertical="center" wrapText="1"/>
    </xf>
    <xf numFmtId="0" fontId="41" fillId="4" borderId="3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178" fontId="28" fillId="2" borderId="2" xfId="0" applyNumberFormat="1" applyFont="1" applyFill="1" applyBorder="1" applyAlignment="1">
      <alignment horizontal="center" vertical="center"/>
    </xf>
    <xf numFmtId="178" fontId="28" fillId="2" borderId="3" xfId="0" applyNumberFormat="1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40" fillId="2" borderId="2" xfId="0" applyFont="1" applyFill="1" applyBorder="1" applyAlignment="1">
      <alignment horizontal="center" vertical="center" wrapText="1"/>
    </xf>
    <xf numFmtId="0" fontId="41" fillId="2" borderId="3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 wrapText="1"/>
    </xf>
    <xf numFmtId="177" fontId="28" fillId="4" borderId="2" xfId="0" applyNumberFormat="1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 shrinkToFit="1"/>
    </xf>
    <xf numFmtId="178" fontId="28" fillId="4" borderId="1" xfId="0" applyNumberFormat="1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177" fontId="28" fillId="4" borderId="1" xfId="0" applyNumberFormat="1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 wrapText="1"/>
    </xf>
    <xf numFmtId="176" fontId="28" fillId="4" borderId="1" xfId="0" applyNumberFormat="1" applyFont="1" applyFill="1" applyBorder="1" applyAlignment="1">
      <alignment horizontal="center" vertical="center"/>
    </xf>
    <xf numFmtId="178" fontId="18" fillId="4" borderId="1" xfId="0" applyNumberFormat="1" applyFont="1" applyFill="1" applyBorder="1" applyAlignment="1">
      <alignment horizontal="center" vertical="center"/>
    </xf>
    <xf numFmtId="177" fontId="18" fillId="4" borderId="1" xfId="0" applyNumberFormat="1" applyFont="1" applyFill="1" applyBorder="1" applyAlignment="1">
      <alignment horizontal="center" vertical="center"/>
    </xf>
    <xf numFmtId="178" fontId="18" fillId="0" borderId="1" xfId="0" applyNumberFormat="1" applyFont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 wrapText="1"/>
    </xf>
    <xf numFmtId="176" fontId="18" fillId="4" borderId="1" xfId="0" applyNumberFormat="1" applyFont="1" applyFill="1" applyBorder="1" applyAlignment="1">
      <alignment horizontal="center" vertical="center"/>
    </xf>
    <xf numFmtId="178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shrinkToFit="1"/>
    </xf>
    <xf numFmtId="0" fontId="1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8" fontId="9" fillId="4" borderId="1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81" fontId="14" fillId="2" borderId="11" xfId="0" applyNumberFormat="1" applyFont="1" applyFill="1" applyBorder="1" applyAlignment="1">
      <alignment horizontal="center" vertical="center"/>
    </xf>
    <xf numFmtId="181" fontId="14" fillId="2" borderId="0" xfId="0" applyNumberFormat="1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78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8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shrinkToFit="1"/>
    </xf>
    <xf numFmtId="0" fontId="9" fillId="7" borderId="1" xfId="0" applyFont="1" applyFill="1" applyBorder="1" applyAlignment="1">
      <alignment horizontal="center" vertical="center" shrinkToFit="1"/>
    </xf>
    <xf numFmtId="178" fontId="9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77" fontId="9" fillId="7" borderId="1" xfId="0" applyNumberFormat="1" applyFont="1" applyFill="1" applyBorder="1" applyAlignment="1">
      <alignment horizontal="center" vertical="center"/>
    </xf>
    <xf numFmtId="176" fontId="9" fillId="7" borderId="1" xfId="0" applyNumberFormat="1" applyFont="1" applyFill="1" applyBorder="1" applyAlignment="1">
      <alignment horizontal="center" vertical="center"/>
    </xf>
    <xf numFmtId="178" fontId="9" fillId="10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178" fontId="10" fillId="6" borderId="1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 shrinkToFit="1"/>
    </xf>
    <xf numFmtId="178" fontId="9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shrinkToFit="1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177" fontId="9" fillId="10" borderId="1" xfId="0" applyNumberFormat="1" applyFont="1" applyFill="1" applyBorder="1" applyAlignment="1">
      <alignment horizontal="center" vertical="center"/>
    </xf>
    <xf numFmtId="176" fontId="9" fillId="10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177" fontId="18" fillId="7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shrinkToFit="1"/>
    </xf>
    <xf numFmtId="178" fontId="9" fillId="7" borderId="1" xfId="0" applyNumberFormat="1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177" fontId="9" fillId="4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76" fontId="18" fillId="7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77" fontId="44" fillId="4" borderId="1" xfId="0" applyNumberFormat="1" applyFont="1" applyFill="1" applyBorder="1" applyAlignment="1">
      <alignment horizontal="center" vertical="center" wrapText="1"/>
    </xf>
    <xf numFmtId="178" fontId="17" fillId="4" borderId="1" xfId="0" applyNumberFormat="1" applyFont="1" applyFill="1" applyBorder="1" applyAlignment="1">
      <alignment horizontal="center" vertical="center"/>
    </xf>
    <xf numFmtId="0" fontId="35" fillId="0" borderId="7" xfId="0" applyFont="1" applyBorder="1" applyAlignment="1">
      <alignment horizontal="center" vertical="center" shrinkToFit="1"/>
    </xf>
    <xf numFmtId="0" fontId="35" fillId="0" borderId="8" xfId="0" applyFont="1" applyBorder="1" applyAlignment="1">
      <alignment horizontal="center" vertical="center" shrinkToFit="1"/>
    </xf>
    <xf numFmtId="0" fontId="35" fillId="0" borderId="4" xfId="0" applyFont="1" applyBorder="1" applyAlignment="1">
      <alignment horizontal="center" vertical="center" shrinkToFit="1"/>
    </xf>
    <xf numFmtId="178" fontId="28" fillId="4" borderId="9" xfId="0" applyNumberFormat="1" applyFont="1" applyFill="1" applyBorder="1" applyAlignment="1">
      <alignment horizontal="center" vertical="center" wrapText="1" shrinkToFit="1"/>
    </xf>
    <xf numFmtId="178" fontId="28" fillId="4" borderId="6" xfId="0" applyNumberFormat="1" applyFont="1" applyFill="1" applyBorder="1" applyAlignment="1">
      <alignment horizontal="center" vertical="center" wrapText="1" shrinkToFit="1"/>
    </xf>
    <xf numFmtId="178" fontId="28" fillId="4" borderId="10" xfId="0" applyNumberFormat="1" applyFont="1" applyFill="1" applyBorder="1" applyAlignment="1">
      <alignment horizontal="center" vertical="center" wrapText="1" shrinkToFit="1"/>
    </xf>
    <xf numFmtId="178" fontId="28" fillId="4" borderId="11" xfId="0" applyNumberFormat="1" applyFont="1" applyFill="1" applyBorder="1" applyAlignment="1">
      <alignment horizontal="center" vertical="center" wrapText="1" shrinkToFit="1"/>
    </xf>
    <xf numFmtId="178" fontId="28" fillId="4" borderId="0" xfId="0" applyNumberFormat="1" applyFont="1" applyFill="1" applyAlignment="1">
      <alignment horizontal="center" vertical="center" wrapText="1" shrinkToFit="1"/>
    </xf>
    <xf numFmtId="178" fontId="28" fillId="4" borderId="12" xfId="0" applyNumberFormat="1" applyFont="1" applyFill="1" applyBorder="1" applyAlignment="1">
      <alignment horizontal="center" vertical="center" wrapText="1" shrinkToFit="1"/>
    </xf>
    <xf numFmtId="178" fontId="28" fillId="4" borderId="15" xfId="0" applyNumberFormat="1" applyFont="1" applyFill="1" applyBorder="1" applyAlignment="1">
      <alignment horizontal="center" vertical="center" wrapText="1" shrinkToFit="1"/>
    </xf>
    <xf numFmtId="178" fontId="28" fillId="4" borderId="13" xfId="0" applyNumberFormat="1" applyFont="1" applyFill="1" applyBorder="1" applyAlignment="1">
      <alignment horizontal="center" vertical="center" wrapText="1" shrinkToFit="1"/>
    </xf>
    <xf numFmtId="178" fontId="28" fillId="4" borderId="14" xfId="0" applyNumberFormat="1" applyFont="1" applyFill="1" applyBorder="1" applyAlignment="1">
      <alignment horizontal="center" vertical="center" wrapText="1" shrinkToFit="1"/>
    </xf>
    <xf numFmtId="176" fontId="44" fillId="4" borderId="2" xfId="0" applyNumberFormat="1" applyFont="1" applyFill="1" applyBorder="1" applyAlignment="1">
      <alignment horizontal="center" vertical="center" shrinkToFit="1"/>
    </xf>
    <xf numFmtId="176" fontId="44" fillId="4" borderId="5" xfId="0" applyNumberFormat="1" applyFont="1" applyFill="1" applyBorder="1" applyAlignment="1">
      <alignment horizontal="center" vertical="center" shrinkToFit="1"/>
    </xf>
    <xf numFmtId="176" fontId="44" fillId="4" borderId="3" xfId="0" applyNumberFormat="1" applyFont="1" applyFill="1" applyBorder="1" applyAlignment="1">
      <alignment horizontal="center" vertical="center" shrinkToFit="1"/>
    </xf>
    <xf numFmtId="176" fontId="44" fillId="0" borderId="5" xfId="0" applyNumberFormat="1" applyFont="1" applyBorder="1" applyAlignment="1">
      <alignment horizontal="center" vertical="center" shrinkToFit="1"/>
    </xf>
    <xf numFmtId="178" fontId="28" fillId="0" borderId="11" xfId="0" applyNumberFormat="1" applyFont="1" applyBorder="1" applyAlignment="1">
      <alignment horizontal="center" vertical="center" wrapText="1" shrinkToFit="1"/>
    </xf>
    <xf numFmtId="178" fontId="28" fillId="0" borderId="0" xfId="0" applyNumberFormat="1" applyFont="1" applyAlignment="1">
      <alignment horizontal="center" vertical="center" wrapText="1" shrinkToFit="1"/>
    </xf>
    <xf numFmtId="178" fontId="28" fillId="0" borderId="12" xfId="0" applyNumberFormat="1" applyFont="1" applyBorder="1" applyAlignment="1">
      <alignment horizontal="center" vertical="center" wrapText="1" shrinkToFit="1"/>
    </xf>
    <xf numFmtId="0" fontId="9" fillId="4" borderId="5" xfId="0" applyFont="1" applyFill="1" applyBorder="1" applyAlignment="1">
      <alignment horizontal="center" vertical="center" shrinkToFit="1"/>
    </xf>
    <xf numFmtId="176" fontId="9" fillId="4" borderId="5" xfId="0" applyNumberFormat="1" applyFont="1" applyFill="1" applyBorder="1" applyAlignment="1">
      <alignment horizontal="center" vertical="center" shrinkToFit="1"/>
    </xf>
    <xf numFmtId="0" fontId="30" fillId="4" borderId="2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0" fontId="28" fillId="4" borderId="10" xfId="0" applyFont="1" applyFill="1" applyBorder="1" applyAlignment="1">
      <alignment horizontal="center" vertical="center"/>
    </xf>
    <xf numFmtId="0" fontId="28" fillId="4" borderId="1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5">
    <cellStyle name="쉼표 [0]" xfId="2" builtinId="6"/>
    <cellStyle name="쉼표 [0] 2" xfId="4" xr:uid="{00000000-0005-0000-0000-000001000000}"/>
    <cellStyle name="표준" xfId="0" builtinId="0"/>
    <cellStyle name="표준 2" xfId="1" xr:uid="{00000000-0005-0000-0000-000003000000}"/>
    <cellStyle name="표준 3" xfId="3" xr:uid="{00000000-0005-0000-0000-000004000000}"/>
  </cellStyles>
  <dxfs count="1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0000"/>
      <color rgb="FF0000FF"/>
      <color rgb="FFF7F9A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38101</xdr:rowOff>
    </xdr:from>
    <xdr:to>
      <xdr:col>41</xdr:col>
      <xdr:colOff>295275</xdr:colOff>
      <xdr:row>3</xdr:row>
      <xdr:rowOff>9525</xdr:rowOff>
    </xdr:to>
    <xdr:sp macro="" textlink="">
      <xdr:nvSpPr>
        <xdr:cNvPr id="81" name="오른쪽 화살표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1847850" y="1085851"/>
          <a:ext cx="185737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수출슬라그</a:t>
          </a:r>
        </a:p>
      </xdr:txBody>
    </xdr:sp>
    <xdr:clientData/>
  </xdr:twoCellAnchor>
  <xdr:twoCellAnchor>
    <xdr:from>
      <xdr:col>27</xdr:col>
      <xdr:colOff>123825</xdr:colOff>
      <xdr:row>14</xdr:row>
      <xdr:rowOff>0</xdr:rowOff>
    </xdr:from>
    <xdr:to>
      <xdr:col>28</xdr:col>
      <xdr:colOff>685800</xdr:colOff>
      <xdr:row>16</xdr:row>
      <xdr:rowOff>9525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14106525" y="6477000"/>
          <a:ext cx="1343025" cy="1476375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6</a:t>
          </a:r>
          <a:r>
            <a:rPr lang="ko-KR" altLang="en-US" sz="800" b="1">
              <a:solidFill>
                <a:srgbClr val="0000FF"/>
              </a:solidFill>
            </a:rPr>
            <a:t>기반출 중복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접안스케줄 조정 필요</a:t>
          </a:r>
          <a:endParaRPr lang="en-US" altLang="ko-KR" sz="800" b="1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647699</xdr:colOff>
      <xdr:row>15</xdr:row>
      <xdr:rowOff>85725</xdr:rowOff>
    </xdr:from>
    <xdr:to>
      <xdr:col>15</xdr:col>
      <xdr:colOff>247650</xdr:colOff>
      <xdr:row>16</xdr:row>
      <xdr:rowOff>66674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276599" y="5934075"/>
          <a:ext cx="5362576" cy="1238249"/>
        </a:xfrm>
        <a:prstGeom prst="rect">
          <a:avLst/>
        </a:prstGeom>
        <a:solidFill>
          <a:schemeClr val="accent6">
            <a:lumMod val="60000"/>
            <a:lumOff val="40000"/>
            <a:alpha val="36000"/>
          </a:schemeClr>
        </a:solidFill>
        <a:ln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0000FF"/>
              </a:solidFill>
            </a:rPr>
            <a:t>11/29, 12/6</a:t>
          </a:r>
          <a:r>
            <a:rPr lang="en-US" altLang="ko-KR" sz="1100" b="1" baseline="0">
              <a:solidFill>
                <a:srgbClr val="0000FF"/>
              </a:solidFill>
            </a:rPr>
            <a:t>   5</a:t>
          </a:r>
          <a:r>
            <a:rPr lang="ko-KR" altLang="en-US" sz="1100" b="1" baseline="0">
              <a:solidFill>
                <a:srgbClr val="0000FF"/>
              </a:solidFill>
            </a:rPr>
            <a:t>기 반출라인 정비 연기 요청 </a:t>
          </a:r>
          <a:endParaRPr lang="en-US" altLang="ko-K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29</xdr:col>
      <xdr:colOff>419100</xdr:colOff>
      <xdr:row>12</xdr:row>
      <xdr:rowOff>142875</xdr:rowOff>
    </xdr:from>
    <xdr:to>
      <xdr:col>30</xdr:col>
      <xdr:colOff>476250</xdr:colOff>
      <xdr:row>16</xdr:row>
      <xdr:rowOff>0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5963900" y="6200775"/>
          <a:ext cx="838200" cy="1476375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6</a:t>
          </a:r>
          <a:r>
            <a:rPr lang="ko-KR" altLang="en-US" sz="800" b="1">
              <a:solidFill>
                <a:srgbClr val="0000FF"/>
              </a:solidFill>
            </a:rPr>
            <a:t>기반출 중복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접안스케줄 조정 필요</a:t>
          </a:r>
          <a:endParaRPr lang="en-US" altLang="ko-KR" sz="800" b="1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0</xdr:colOff>
      <xdr:row>3</xdr:row>
      <xdr:rowOff>0</xdr:rowOff>
    </xdr:from>
    <xdr:to>
      <xdr:col>8</xdr:col>
      <xdr:colOff>342900</xdr:colOff>
      <xdr:row>3</xdr:row>
      <xdr:rowOff>1</xdr:rowOff>
    </xdr:to>
    <xdr:sp macro="" textlink="">
      <xdr:nvSpPr>
        <xdr:cNvPr id="74" name="오른쪽 화살표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628900" y="1123950"/>
          <a:ext cx="342900" cy="1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18</xdr:col>
      <xdr:colOff>752475</xdr:colOff>
      <xdr:row>5</xdr:row>
      <xdr:rowOff>19051</xdr:rowOff>
    </xdr:from>
    <xdr:to>
      <xdr:col>19</xdr:col>
      <xdr:colOff>276225</xdr:colOff>
      <xdr:row>5</xdr:row>
      <xdr:rowOff>276225</xdr:rowOff>
    </xdr:to>
    <xdr:sp macro="" textlink="">
      <xdr:nvSpPr>
        <xdr:cNvPr id="75" name="오른쪽 화살표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4162425" y="4533901"/>
          <a:ext cx="3048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/>
            <a:t>SOC</a:t>
          </a:r>
          <a:r>
            <a:rPr lang="ko-KR" altLang="en-US" sz="700"/>
            <a:t>ㅜ</a:t>
          </a:r>
        </a:p>
      </xdr:txBody>
    </xdr:sp>
    <xdr:clientData/>
  </xdr:twoCellAnchor>
  <xdr:twoCellAnchor>
    <xdr:from>
      <xdr:col>10</xdr:col>
      <xdr:colOff>581025</xdr:colOff>
      <xdr:row>2</xdr:row>
      <xdr:rowOff>19050</xdr:rowOff>
    </xdr:from>
    <xdr:to>
      <xdr:col>12</xdr:col>
      <xdr:colOff>314325</xdr:colOff>
      <xdr:row>3</xdr:row>
      <xdr:rowOff>19049</xdr:rowOff>
    </xdr:to>
    <xdr:sp macro="" textlink="">
      <xdr:nvSpPr>
        <xdr:cNvPr id="76" name="오른쪽 화살표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5048250" y="3676650"/>
          <a:ext cx="1295400" cy="285749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수출슬라그</a:t>
          </a:r>
        </a:p>
      </xdr:txBody>
    </xdr:sp>
    <xdr:clientData/>
  </xdr:twoCellAnchor>
  <xdr:twoCellAnchor>
    <xdr:from>
      <xdr:col>13</xdr:col>
      <xdr:colOff>371473</xdr:colOff>
      <xdr:row>4</xdr:row>
      <xdr:rowOff>28575</xdr:rowOff>
    </xdr:from>
    <xdr:to>
      <xdr:col>14</xdr:col>
      <xdr:colOff>247650</xdr:colOff>
      <xdr:row>4</xdr:row>
      <xdr:rowOff>285749</xdr:rowOff>
    </xdr:to>
    <xdr:sp macro="" textlink="">
      <xdr:nvSpPr>
        <xdr:cNvPr id="78" name="오른쪽 화살표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7181848" y="4257675"/>
          <a:ext cx="676277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32</xdr:col>
      <xdr:colOff>28575</xdr:colOff>
      <xdr:row>4</xdr:row>
      <xdr:rowOff>9525</xdr:rowOff>
    </xdr:from>
    <xdr:to>
      <xdr:col>32</xdr:col>
      <xdr:colOff>447675</xdr:colOff>
      <xdr:row>4</xdr:row>
      <xdr:rowOff>266699</xdr:rowOff>
    </xdr:to>
    <xdr:sp macro="" textlink="">
      <xdr:nvSpPr>
        <xdr:cNvPr id="79" name="오른쪽 화살표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7515225" y="4238625"/>
          <a:ext cx="4191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21</xdr:col>
      <xdr:colOff>666750</xdr:colOff>
      <xdr:row>5</xdr:row>
      <xdr:rowOff>19051</xdr:rowOff>
    </xdr:from>
    <xdr:to>
      <xdr:col>22</xdr:col>
      <xdr:colOff>466726</xdr:colOff>
      <xdr:row>5</xdr:row>
      <xdr:rowOff>276225</xdr:rowOff>
    </xdr:to>
    <xdr:sp macro="" textlink="">
      <xdr:nvSpPr>
        <xdr:cNvPr id="80" name="오른쪽 화살표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6591300" y="4533901"/>
          <a:ext cx="695326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600"/>
            <a:t>CRYSTAL WAVE</a:t>
          </a:r>
          <a:endParaRPr lang="ko-KR" altLang="en-US" sz="600"/>
        </a:p>
      </xdr:txBody>
    </xdr:sp>
    <xdr:clientData/>
  </xdr:twoCellAnchor>
  <xdr:twoCellAnchor>
    <xdr:from>
      <xdr:col>22</xdr:col>
      <xdr:colOff>504825</xdr:colOff>
      <xdr:row>4</xdr:row>
      <xdr:rowOff>19050</xdr:rowOff>
    </xdr:from>
    <xdr:to>
      <xdr:col>23</xdr:col>
      <xdr:colOff>76200</xdr:colOff>
      <xdr:row>4</xdr:row>
      <xdr:rowOff>276224</xdr:rowOff>
    </xdr:to>
    <xdr:sp macro="" textlink="">
      <xdr:nvSpPr>
        <xdr:cNvPr id="82" name="오른쪽 화살표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7324725" y="4248150"/>
          <a:ext cx="4667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15</xdr:col>
      <xdr:colOff>95248</xdr:colOff>
      <xdr:row>2</xdr:row>
      <xdr:rowOff>19051</xdr:rowOff>
    </xdr:from>
    <xdr:to>
      <xdr:col>17</xdr:col>
      <xdr:colOff>352425</xdr:colOff>
      <xdr:row>2</xdr:row>
      <xdr:rowOff>266700</xdr:rowOff>
    </xdr:to>
    <xdr:sp macro="" textlink="">
      <xdr:nvSpPr>
        <xdr:cNvPr id="83" name="오른쪽 화살표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4305298" y="3676651"/>
          <a:ext cx="1819277" cy="247649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PVT</a:t>
          </a:r>
          <a:r>
            <a:rPr lang="en-US" altLang="ko-KR" sz="800" baseline="0">
              <a:solidFill>
                <a:schemeClr val="bg1"/>
              </a:solidFill>
            </a:rPr>
            <a:t> HN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238124</xdr:colOff>
      <xdr:row>2</xdr:row>
      <xdr:rowOff>28576</xdr:rowOff>
    </xdr:from>
    <xdr:to>
      <xdr:col>8</xdr:col>
      <xdr:colOff>9525</xdr:colOff>
      <xdr:row>3</xdr:row>
      <xdr:rowOff>0</xdr:rowOff>
    </xdr:to>
    <xdr:sp macro="" textlink="">
      <xdr:nvSpPr>
        <xdr:cNvPr id="84" name="오른쪽 화살표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2085974" y="866776"/>
          <a:ext cx="5524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12</xdr:col>
      <xdr:colOff>333375</xdr:colOff>
      <xdr:row>3</xdr:row>
      <xdr:rowOff>38101</xdr:rowOff>
    </xdr:from>
    <xdr:to>
      <xdr:col>12</xdr:col>
      <xdr:colOff>714375</xdr:colOff>
      <xdr:row>3</xdr:row>
      <xdr:rowOff>276225</xdr:rowOff>
    </xdr:to>
    <xdr:sp macro="" textlink="">
      <xdr:nvSpPr>
        <xdr:cNvPr id="85" name="오른쪽 화살표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6362700" y="3981451"/>
          <a:ext cx="38100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코렉스수</a:t>
          </a:r>
        </a:p>
      </xdr:txBody>
    </xdr:sp>
    <xdr:clientData/>
  </xdr:twoCellAnchor>
  <xdr:twoCellAnchor>
    <xdr:from>
      <xdr:col>9</xdr:col>
      <xdr:colOff>800101</xdr:colOff>
      <xdr:row>4</xdr:row>
      <xdr:rowOff>28576</xdr:rowOff>
    </xdr:from>
    <xdr:to>
      <xdr:col>10</xdr:col>
      <xdr:colOff>447676</xdr:colOff>
      <xdr:row>5</xdr:row>
      <xdr:rowOff>0</xdr:rowOff>
    </xdr:to>
    <xdr:sp macro="" textlink="">
      <xdr:nvSpPr>
        <xdr:cNvPr id="86" name="오른쪽 화살표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4210051" y="4257676"/>
          <a:ext cx="70485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11</xdr:col>
      <xdr:colOff>190500</xdr:colOff>
      <xdr:row>2</xdr:row>
      <xdr:rowOff>9525</xdr:rowOff>
    </xdr:from>
    <xdr:to>
      <xdr:col>11</xdr:col>
      <xdr:colOff>542925</xdr:colOff>
      <xdr:row>2</xdr:row>
      <xdr:rowOff>276225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5438775" y="847725"/>
          <a:ext cx="352425" cy="266700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13</xdr:col>
      <xdr:colOff>247650</xdr:colOff>
      <xdr:row>2</xdr:row>
      <xdr:rowOff>19050</xdr:rowOff>
    </xdr:from>
    <xdr:to>
      <xdr:col>13</xdr:col>
      <xdr:colOff>600075</xdr:colOff>
      <xdr:row>2</xdr:row>
      <xdr:rowOff>266700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7058025" y="857250"/>
          <a:ext cx="352425" cy="247650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17</xdr:col>
      <xdr:colOff>657225</xdr:colOff>
      <xdr:row>9</xdr:row>
      <xdr:rowOff>152400</xdr:rowOff>
    </xdr:from>
    <xdr:to>
      <xdr:col>18</xdr:col>
      <xdr:colOff>228600</xdr:colOff>
      <xdr:row>11</xdr:row>
      <xdr:rowOff>19050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10610850" y="4743450"/>
          <a:ext cx="352425" cy="285750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22</xdr:col>
      <xdr:colOff>276225</xdr:colOff>
      <xdr:row>2</xdr:row>
      <xdr:rowOff>19050</xdr:rowOff>
    </xdr:from>
    <xdr:to>
      <xdr:col>23</xdr:col>
      <xdr:colOff>571500</xdr:colOff>
      <xdr:row>2</xdr:row>
      <xdr:rowOff>276225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7096125" y="3676650"/>
          <a:ext cx="1190625" cy="257175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19</xdr:col>
      <xdr:colOff>152400</xdr:colOff>
      <xdr:row>3</xdr:row>
      <xdr:rowOff>28576</xdr:rowOff>
    </xdr:from>
    <xdr:to>
      <xdr:col>19</xdr:col>
      <xdr:colOff>600075</xdr:colOff>
      <xdr:row>4</xdr:row>
      <xdr:rowOff>0</xdr:rowOff>
    </xdr:to>
    <xdr:sp macro="" textlink="">
      <xdr:nvSpPr>
        <xdr:cNvPr id="92" name="오른쪽 화살표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4343400" y="3971926"/>
          <a:ext cx="44767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23</xdr:col>
      <xdr:colOff>619126</xdr:colOff>
      <xdr:row>3</xdr:row>
      <xdr:rowOff>28576</xdr:rowOff>
    </xdr:from>
    <xdr:to>
      <xdr:col>24</xdr:col>
      <xdr:colOff>276225</xdr:colOff>
      <xdr:row>4</xdr:row>
      <xdr:rowOff>0</xdr:rowOff>
    </xdr:to>
    <xdr:sp macro="" textlink="">
      <xdr:nvSpPr>
        <xdr:cNvPr id="93" name="오른쪽 화살표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8334376" y="3971926"/>
          <a:ext cx="438149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26</xdr:col>
      <xdr:colOff>238125</xdr:colOff>
      <xdr:row>3</xdr:row>
      <xdr:rowOff>19051</xdr:rowOff>
    </xdr:from>
    <xdr:to>
      <xdr:col>26</xdr:col>
      <xdr:colOff>742950</xdr:colOff>
      <xdr:row>3</xdr:row>
      <xdr:rowOff>276225</xdr:rowOff>
    </xdr:to>
    <xdr:sp macro="" textlink="">
      <xdr:nvSpPr>
        <xdr:cNvPr id="94" name="오른쪽 화살표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867025" y="3962401"/>
          <a:ext cx="5048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8</xdr:col>
      <xdr:colOff>152400</xdr:colOff>
      <xdr:row>2</xdr:row>
      <xdr:rowOff>38101</xdr:rowOff>
    </xdr:from>
    <xdr:to>
      <xdr:col>8</xdr:col>
      <xdr:colOff>638176</xdr:colOff>
      <xdr:row>3</xdr:row>
      <xdr:rowOff>9525</xdr:rowOff>
    </xdr:to>
    <xdr:sp macro="" textlink="">
      <xdr:nvSpPr>
        <xdr:cNvPr id="95" name="오른쪽 화살표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2781300" y="876301"/>
          <a:ext cx="485776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8</xdr:col>
      <xdr:colOff>257175</xdr:colOff>
      <xdr:row>10</xdr:row>
      <xdr:rowOff>66675</xdr:rowOff>
    </xdr:from>
    <xdr:to>
      <xdr:col>8</xdr:col>
      <xdr:colOff>695325</xdr:colOff>
      <xdr:row>11</xdr:row>
      <xdr:rowOff>123825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2886075" y="4867275"/>
          <a:ext cx="438150" cy="266700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12</xdr:col>
      <xdr:colOff>762001</xdr:colOff>
      <xdr:row>3</xdr:row>
      <xdr:rowOff>38101</xdr:rowOff>
    </xdr:from>
    <xdr:to>
      <xdr:col>13</xdr:col>
      <xdr:colOff>371475</xdr:colOff>
      <xdr:row>3</xdr:row>
      <xdr:rowOff>276225</xdr:rowOff>
    </xdr:to>
    <xdr:sp macro="" textlink="">
      <xdr:nvSpPr>
        <xdr:cNvPr id="97" name="오른쪽 화살표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6791326" y="3981451"/>
          <a:ext cx="390524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28</xdr:col>
      <xdr:colOff>723900</xdr:colOff>
      <xdr:row>5</xdr:row>
      <xdr:rowOff>19051</xdr:rowOff>
    </xdr:from>
    <xdr:to>
      <xdr:col>29</xdr:col>
      <xdr:colOff>771525</xdr:colOff>
      <xdr:row>5</xdr:row>
      <xdr:rowOff>276225</xdr:rowOff>
    </xdr:to>
    <xdr:sp macro="" textlink="">
      <xdr:nvSpPr>
        <xdr:cNvPr id="98" name="오른쪽 화살표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4914900" y="1924051"/>
          <a:ext cx="82867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Fairy</a:t>
          </a:r>
          <a:r>
            <a:rPr lang="en-US" altLang="ko-KR" sz="900" baseline="0"/>
            <a:t> island</a:t>
          </a:r>
          <a:r>
            <a:rPr lang="ko-KR" altLang="en-US" sz="900" baseline="0"/>
            <a:t>ㅆㅁ</a:t>
          </a:r>
          <a:endParaRPr lang="ko-KR" altLang="en-US" sz="900"/>
        </a:p>
      </xdr:txBody>
    </xdr:sp>
    <xdr:clientData/>
  </xdr:twoCellAnchor>
  <xdr:twoCellAnchor>
    <xdr:from>
      <xdr:col>7</xdr:col>
      <xdr:colOff>209550</xdr:colOff>
      <xdr:row>3</xdr:row>
      <xdr:rowOff>19049</xdr:rowOff>
    </xdr:from>
    <xdr:to>
      <xdr:col>8</xdr:col>
      <xdr:colOff>571500</xdr:colOff>
      <xdr:row>5</xdr:row>
      <xdr:rowOff>257174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2057400" y="1142999"/>
          <a:ext cx="1143000" cy="809625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6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10</xdr:col>
      <xdr:colOff>38099</xdr:colOff>
      <xdr:row>2</xdr:row>
      <xdr:rowOff>28576</xdr:rowOff>
    </xdr:from>
    <xdr:to>
      <xdr:col>10</xdr:col>
      <xdr:colOff>590550</xdr:colOff>
      <xdr:row>3</xdr:row>
      <xdr:rowOff>0</xdr:rowOff>
    </xdr:to>
    <xdr:sp macro="" textlink="">
      <xdr:nvSpPr>
        <xdr:cNvPr id="101" name="오른쪽 화살표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4505324" y="3686176"/>
          <a:ext cx="5524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13</xdr:col>
      <xdr:colOff>19049</xdr:colOff>
      <xdr:row>2</xdr:row>
      <xdr:rowOff>38101</xdr:rowOff>
    </xdr:from>
    <xdr:to>
      <xdr:col>13</xdr:col>
      <xdr:colOff>742950</xdr:colOff>
      <xdr:row>3</xdr:row>
      <xdr:rowOff>9525</xdr:rowOff>
    </xdr:to>
    <xdr:sp macro="" textlink="">
      <xdr:nvSpPr>
        <xdr:cNvPr id="102" name="오른쪽 화살표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6829424" y="3695701"/>
          <a:ext cx="72390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삼성</a:t>
          </a:r>
          <a:r>
            <a:rPr lang="en-US" altLang="ko-KR" sz="800">
              <a:solidFill>
                <a:schemeClr val="bg1"/>
              </a:solidFill>
            </a:rPr>
            <a:t>2</a:t>
          </a:r>
          <a:r>
            <a:rPr lang="ko-KR" altLang="en-US" sz="800">
              <a:solidFill>
                <a:schemeClr val="bg1"/>
              </a:solidFill>
            </a:rPr>
            <a:t>호</a:t>
          </a:r>
        </a:p>
      </xdr:txBody>
    </xdr:sp>
    <xdr:clientData/>
  </xdr:twoCellAnchor>
  <xdr:twoCellAnchor>
    <xdr:from>
      <xdr:col>17</xdr:col>
      <xdr:colOff>428625</xdr:colOff>
      <xdr:row>2</xdr:row>
      <xdr:rowOff>19051</xdr:rowOff>
    </xdr:from>
    <xdr:to>
      <xdr:col>18</xdr:col>
      <xdr:colOff>114301</xdr:colOff>
      <xdr:row>2</xdr:row>
      <xdr:rowOff>276225</xdr:rowOff>
    </xdr:to>
    <xdr:sp macro="" textlink="">
      <xdr:nvSpPr>
        <xdr:cNvPr id="103" name="오른쪽 화살표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3057525" y="3676651"/>
          <a:ext cx="466726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유건호</a:t>
          </a:r>
        </a:p>
      </xdr:txBody>
    </xdr:sp>
    <xdr:clientData/>
  </xdr:twoCellAnchor>
  <xdr:twoCellAnchor>
    <xdr:from>
      <xdr:col>15</xdr:col>
      <xdr:colOff>781049</xdr:colOff>
      <xdr:row>9</xdr:row>
      <xdr:rowOff>161926</xdr:rowOff>
    </xdr:from>
    <xdr:to>
      <xdr:col>16</xdr:col>
      <xdr:colOff>552450</xdr:colOff>
      <xdr:row>11</xdr:row>
      <xdr:rowOff>0</xdr:rowOff>
    </xdr:to>
    <xdr:sp macro="" textlink="">
      <xdr:nvSpPr>
        <xdr:cNvPr id="104" name="오른쪽 화살표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9172574" y="4752976"/>
          <a:ext cx="5524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16</xdr:col>
      <xdr:colOff>266699</xdr:colOff>
      <xdr:row>10</xdr:row>
      <xdr:rowOff>180976</xdr:rowOff>
    </xdr:from>
    <xdr:to>
      <xdr:col>17</xdr:col>
      <xdr:colOff>38100</xdr:colOff>
      <xdr:row>12</xdr:row>
      <xdr:rowOff>19050</xdr:rowOff>
    </xdr:to>
    <xdr:sp macro="" textlink="">
      <xdr:nvSpPr>
        <xdr:cNvPr id="105" name="오른쪽 화살표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9439274" y="4981576"/>
          <a:ext cx="5524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17</xdr:col>
      <xdr:colOff>114299</xdr:colOff>
      <xdr:row>11</xdr:row>
      <xdr:rowOff>161926</xdr:rowOff>
    </xdr:from>
    <xdr:to>
      <xdr:col>17</xdr:col>
      <xdr:colOff>666750</xdr:colOff>
      <xdr:row>13</xdr:row>
      <xdr:rowOff>0</xdr:rowOff>
    </xdr:to>
    <xdr:sp macro="" textlink="">
      <xdr:nvSpPr>
        <xdr:cNvPr id="106" name="오른쪽 화살표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10067924" y="5172076"/>
          <a:ext cx="5524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18</xdr:col>
      <xdr:colOff>171449</xdr:colOff>
      <xdr:row>2</xdr:row>
      <xdr:rowOff>28576</xdr:rowOff>
    </xdr:from>
    <xdr:to>
      <xdr:col>19</xdr:col>
      <xdr:colOff>0</xdr:colOff>
      <xdr:row>3</xdr:row>
      <xdr:rowOff>0</xdr:rowOff>
    </xdr:to>
    <xdr:sp macro="" textlink="">
      <xdr:nvSpPr>
        <xdr:cNvPr id="107" name="오른쪽 화살표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3581399" y="3686176"/>
          <a:ext cx="60960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용성</a:t>
          </a:r>
          <a:r>
            <a:rPr lang="en-US" altLang="ko-KR" sz="800">
              <a:solidFill>
                <a:schemeClr val="bg1"/>
              </a:solidFill>
            </a:rPr>
            <a:t>7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590549</xdr:colOff>
      <xdr:row>8</xdr:row>
      <xdr:rowOff>161926</xdr:rowOff>
    </xdr:from>
    <xdr:to>
      <xdr:col>17</xdr:col>
      <xdr:colOff>361950</xdr:colOff>
      <xdr:row>10</xdr:row>
      <xdr:rowOff>0</xdr:rowOff>
    </xdr:to>
    <xdr:sp macro="" textlink="">
      <xdr:nvSpPr>
        <xdr:cNvPr id="109" name="오른쪽 화살표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9763124" y="4543426"/>
          <a:ext cx="5524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14</xdr:col>
      <xdr:colOff>190500</xdr:colOff>
      <xdr:row>3</xdr:row>
      <xdr:rowOff>47626</xdr:rowOff>
    </xdr:from>
    <xdr:to>
      <xdr:col>14</xdr:col>
      <xdr:colOff>647700</xdr:colOff>
      <xdr:row>4</xdr:row>
      <xdr:rowOff>0</xdr:rowOff>
    </xdr:to>
    <xdr:sp macro="" textlink="">
      <xdr:nvSpPr>
        <xdr:cNvPr id="111" name="오른쪽 화살표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7800975" y="3990976"/>
          <a:ext cx="45720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코렉스수</a:t>
          </a:r>
        </a:p>
      </xdr:txBody>
    </xdr:sp>
    <xdr:clientData/>
  </xdr:twoCellAnchor>
  <xdr:twoCellAnchor>
    <xdr:from>
      <xdr:col>13</xdr:col>
      <xdr:colOff>761999</xdr:colOff>
      <xdr:row>2</xdr:row>
      <xdr:rowOff>38101</xdr:rowOff>
    </xdr:from>
    <xdr:to>
      <xdr:col>14</xdr:col>
      <xdr:colOff>571500</xdr:colOff>
      <xdr:row>3</xdr:row>
      <xdr:rowOff>9525</xdr:rowOff>
    </xdr:to>
    <xdr:sp macro="" textlink="">
      <xdr:nvSpPr>
        <xdr:cNvPr id="112" name="오른쪽 화살표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7572374" y="3695701"/>
          <a:ext cx="60960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TS HAPP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9524</xdr:colOff>
      <xdr:row>4</xdr:row>
      <xdr:rowOff>38100</xdr:rowOff>
    </xdr:from>
    <xdr:to>
      <xdr:col>18</xdr:col>
      <xdr:colOff>647700</xdr:colOff>
      <xdr:row>5</xdr:row>
      <xdr:rowOff>9524</xdr:rowOff>
    </xdr:to>
    <xdr:sp macro="" textlink="">
      <xdr:nvSpPr>
        <xdr:cNvPr id="113" name="오른쪽 화살표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3419474" y="4267200"/>
          <a:ext cx="638176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17</xdr:col>
      <xdr:colOff>342900</xdr:colOff>
      <xdr:row>3</xdr:row>
      <xdr:rowOff>38101</xdr:rowOff>
    </xdr:from>
    <xdr:to>
      <xdr:col>17</xdr:col>
      <xdr:colOff>771526</xdr:colOff>
      <xdr:row>3</xdr:row>
      <xdr:rowOff>276225</xdr:rowOff>
    </xdr:to>
    <xdr:sp macro="" textlink="">
      <xdr:nvSpPr>
        <xdr:cNvPr id="114" name="오른쪽 화살표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6115050" y="3981451"/>
          <a:ext cx="428626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코렉스수</a:t>
          </a:r>
        </a:p>
      </xdr:txBody>
    </xdr:sp>
    <xdr:clientData/>
  </xdr:twoCellAnchor>
  <xdr:twoCellAnchor>
    <xdr:from>
      <xdr:col>19</xdr:col>
      <xdr:colOff>600073</xdr:colOff>
      <xdr:row>2</xdr:row>
      <xdr:rowOff>47626</xdr:rowOff>
    </xdr:from>
    <xdr:to>
      <xdr:col>21</xdr:col>
      <xdr:colOff>561975</xdr:colOff>
      <xdr:row>3</xdr:row>
      <xdr:rowOff>9525</xdr:rowOff>
    </xdr:to>
    <xdr:sp macro="" textlink="">
      <xdr:nvSpPr>
        <xdr:cNvPr id="115" name="오른쪽 화살표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4791073" y="3705226"/>
          <a:ext cx="1695452" cy="247649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TAN BIN</a:t>
          </a:r>
          <a:r>
            <a:rPr lang="en-US" altLang="ko-KR" sz="800" baseline="0">
              <a:solidFill>
                <a:schemeClr val="bg1"/>
              </a:solidFill>
            </a:rPr>
            <a:t>H 239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26</xdr:col>
      <xdr:colOff>704850</xdr:colOff>
      <xdr:row>9</xdr:row>
      <xdr:rowOff>28576</xdr:rowOff>
    </xdr:from>
    <xdr:to>
      <xdr:col>27</xdr:col>
      <xdr:colOff>447675</xdr:colOff>
      <xdr:row>10</xdr:row>
      <xdr:rowOff>76200</xdr:rowOff>
    </xdr:to>
    <xdr:sp macro="" textlink="">
      <xdr:nvSpPr>
        <xdr:cNvPr id="116" name="오른쪽 화살표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3333750" y="5457826"/>
          <a:ext cx="52387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23</xdr:col>
      <xdr:colOff>104776</xdr:colOff>
      <xdr:row>3</xdr:row>
      <xdr:rowOff>47626</xdr:rowOff>
    </xdr:from>
    <xdr:to>
      <xdr:col>23</xdr:col>
      <xdr:colOff>352426</xdr:colOff>
      <xdr:row>3</xdr:row>
      <xdr:rowOff>247650</xdr:rowOff>
    </xdr:to>
    <xdr:sp macro="" textlink="">
      <xdr:nvSpPr>
        <xdr:cNvPr id="122" name="오른쪽 화살표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7820026" y="3990976"/>
          <a:ext cx="247650" cy="2000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16</xdr:col>
      <xdr:colOff>9525</xdr:colOff>
      <xdr:row>0</xdr:row>
      <xdr:rowOff>19050</xdr:rowOff>
    </xdr:from>
    <xdr:to>
      <xdr:col>23</xdr:col>
      <xdr:colOff>771525</xdr:colOff>
      <xdr:row>5</xdr:row>
      <xdr:rowOff>276225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857375" y="3257550"/>
          <a:ext cx="6629400" cy="153352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685799</xdr:colOff>
      <xdr:row>2</xdr:row>
      <xdr:rowOff>38101</xdr:rowOff>
    </xdr:from>
    <xdr:to>
      <xdr:col>22</xdr:col>
      <xdr:colOff>333374</xdr:colOff>
      <xdr:row>3</xdr:row>
      <xdr:rowOff>9525</xdr:rowOff>
    </xdr:to>
    <xdr:sp macro="" textlink="">
      <xdr:nvSpPr>
        <xdr:cNvPr id="126" name="오른쪽 화살표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6610349" y="3695701"/>
          <a:ext cx="5429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22</xdr:col>
      <xdr:colOff>361949</xdr:colOff>
      <xdr:row>2</xdr:row>
      <xdr:rowOff>38101</xdr:rowOff>
    </xdr:from>
    <xdr:to>
      <xdr:col>23</xdr:col>
      <xdr:colOff>9524</xdr:colOff>
      <xdr:row>3</xdr:row>
      <xdr:rowOff>9525</xdr:rowOff>
    </xdr:to>
    <xdr:sp macro="" textlink="">
      <xdr:nvSpPr>
        <xdr:cNvPr id="127" name="오른쪽 화살표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7181849" y="3695701"/>
          <a:ext cx="5429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561975</xdr:colOff>
      <xdr:row>3</xdr:row>
      <xdr:rowOff>28576</xdr:rowOff>
    </xdr:from>
    <xdr:to>
      <xdr:col>28</xdr:col>
      <xdr:colOff>285750</xdr:colOff>
      <xdr:row>4</xdr:row>
      <xdr:rowOff>0</xdr:rowOff>
    </xdr:to>
    <xdr:sp macro="" textlink="">
      <xdr:nvSpPr>
        <xdr:cNvPr id="90" name="오른쪽 화살표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3971925" y="3971926"/>
          <a:ext cx="5048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28</xdr:col>
      <xdr:colOff>304800</xdr:colOff>
      <xdr:row>3</xdr:row>
      <xdr:rowOff>38101</xdr:rowOff>
    </xdr:from>
    <xdr:to>
      <xdr:col>28</xdr:col>
      <xdr:colOff>733425</xdr:colOff>
      <xdr:row>4</xdr:row>
      <xdr:rowOff>9525</xdr:rowOff>
    </xdr:to>
    <xdr:sp macro="" textlink="">
      <xdr:nvSpPr>
        <xdr:cNvPr id="110" name="오른쪽 화살표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4495800" y="3981451"/>
          <a:ext cx="4286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35</xdr:col>
      <xdr:colOff>47625</xdr:colOff>
      <xdr:row>3</xdr:row>
      <xdr:rowOff>19051</xdr:rowOff>
    </xdr:from>
    <xdr:to>
      <xdr:col>35</xdr:col>
      <xdr:colOff>552450</xdr:colOff>
      <xdr:row>3</xdr:row>
      <xdr:rowOff>276225</xdr:rowOff>
    </xdr:to>
    <xdr:sp macro="" textlink="">
      <xdr:nvSpPr>
        <xdr:cNvPr id="117" name="오른쪽 화살표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5972175" y="1352551"/>
          <a:ext cx="5048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29</xdr:col>
      <xdr:colOff>561974</xdr:colOff>
      <xdr:row>2</xdr:row>
      <xdr:rowOff>28576</xdr:rowOff>
    </xdr:from>
    <xdr:to>
      <xdr:col>30</xdr:col>
      <xdr:colOff>352425</xdr:colOff>
      <xdr:row>2</xdr:row>
      <xdr:rowOff>276225</xdr:rowOff>
    </xdr:to>
    <xdr:sp macro="" textlink="">
      <xdr:nvSpPr>
        <xdr:cNvPr id="120" name="오른쪽 화살표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5534024" y="3686176"/>
          <a:ext cx="571501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연안</a:t>
          </a:r>
        </a:p>
      </xdr:txBody>
    </xdr:sp>
    <xdr:clientData/>
  </xdr:twoCellAnchor>
  <xdr:twoCellAnchor>
    <xdr:from>
      <xdr:col>30</xdr:col>
      <xdr:colOff>457199</xdr:colOff>
      <xdr:row>2</xdr:row>
      <xdr:rowOff>38101</xdr:rowOff>
    </xdr:from>
    <xdr:to>
      <xdr:col>31</xdr:col>
      <xdr:colOff>247650</xdr:colOff>
      <xdr:row>3</xdr:row>
      <xdr:rowOff>0</xdr:rowOff>
    </xdr:to>
    <xdr:sp macro="" textlink="">
      <xdr:nvSpPr>
        <xdr:cNvPr id="121" name="오른쪽 화살표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6210299" y="3695701"/>
          <a:ext cx="571501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연안</a:t>
          </a:r>
        </a:p>
      </xdr:txBody>
    </xdr:sp>
    <xdr:clientData/>
  </xdr:twoCellAnchor>
  <xdr:twoCellAnchor>
    <xdr:from>
      <xdr:col>31</xdr:col>
      <xdr:colOff>342899</xdr:colOff>
      <xdr:row>2</xdr:row>
      <xdr:rowOff>38101</xdr:rowOff>
    </xdr:from>
    <xdr:to>
      <xdr:col>32</xdr:col>
      <xdr:colOff>133350</xdr:colOff>
      <xdr:row>3</xdr:row>
      <xdr:rowOff>0</xdr:rowOff>
    </xdr:to>
    <xdr:sp macro="" textlink="">
      <xdr:nvSpPr>
        <xdr:cNvPr id="123" name="오른쪽 화살표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6877049" y="3695701"/>
          <a:ext cx="571501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연안</a:t>
          </a:r>
        </a:p>
      </xdr:txBody>
    </xdr:sp>
    <xdr:clientData/>
  </xdr:twoCellAnchor>
  <xdr:twoCellAnchor>
    <xdr:from>
      <xdr:col>32</xdr:col>
      <xdr:colOff>209549</xdr:colOff>
      <xdr:row>2</xdr:row>
      <xdr:rowOff>38101</xdr:rowOff>
    </xdr:from>
    <xdr:to>
      <xdr:col>33</xdr:col>
      <xdr:colOff>0</xdr:colOff>
      <xdr:row>3</xdr:row>
      <xdr:rowOff>0</xdr:rowOff>
    </xdr:to>
    <xdr:sp macro="" textlink="">
      <xdr:nvSpPr>
        <xdr:cNvPr id="124" name="오른쪽 화살표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7524749" y="3695701"/>
          <a:ext cx="571501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연안</a:t>
          </a:r>
        </a:p>
      </xdr:txBody>
    </xdr:sp>
    <xdr:clientData/>
  </xdr:twoCellAnchor>
  <xdr:twoCellAnchor>
    <xdr:from>
      <xdr:col>27</xdr:col>
      <xdr:colOff>123825</xdr:colOff>
      <xdr:row>4</xdr:row>
      <xdr:rowOff>19050</xdr:rowOff>
    </xdr:from>
    <xdr:to>
      <xdr:col>27</xdr:col>
      <xdr:colOff>542925</xdr:colOff>
      <xdr:row>4</xdr:row>
      <xdr:rowOff>276224</xdr:rowOff>
    </xdr:to>
    <xdr:sp macro="" textlink="">
      <xdr:nvSpPr>
        <xdr:cNvPr id="129" name="오른쪽 화살표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3533775" y="4248150"/>
          <a:ext cx="4191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36</xdr:col>
      <xdr:colOff>209549</xdr:colOff>
      <xdr:row>4</xdr:row>
      <xdr:rowOff>19050</xdr:rowOff>
    </xdr:from>
    <xdr:to>
      <xdr:col>37</xdr:col>
      <xdr:colOff>85725</xdr:colOff>
      <xdr:row>4</xdr:row>
      <xdr:rowOff>276224</xdr:rowOff>
    </xdr:to>
    <xdr:sp macro="" textlink="">
      <xdr:nvSpPr>
        <xdr:cNvPr id="130" name="오른쪽 화살표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2057399" y="1638300"/>
          <a:ext cx="657226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33</xdr:col>
      <xdr:colOff>266700</xdr:colOff>
      <xdr:row>3</xdr:row>
      <xdr:rowOff>47626</xdr:rowOff>
    </xdr:from>
    <xdr:to>
      <xdr:col>33</xdr:col>
      <xdr:colOff>771525</xdr:colOff>
      <xdr:row>4</xdr:row>
      <xdr:rowOff>19050</xdr:rowOff>
    </xdr:to>
    <xdr:sp macro="" textlink="">
      <xdr:nvSpPr>
        <xdr:cNvPr id="131" name="오른쪽 화살표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4629150" y="1381126"/>
          <a:ext cx="5048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37</xdr:col>
      <xdr:colOff>581025</xdr:colOff>
      <xdr:row>3</xdr:row>
      <xdr:rowOff>28576</xdr:rowOff>
    </xdr:from>
    <xdr:to>
      <xdr:col>38</xdr:col>
      <xdr:colOff>304800</xdr:colOff>
      <xdr:row>4</xdr:row>
      <xdr:rowOff>0</xdr:rowOff>
    </xdr:to>
    <xdr:sp macro="" textlink="">
      <xdr:nvSpPr>
        <xdr:cNvPr id="64" name="오른쪽 화살표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3209925" y="1362076"/>
          <a:ext cx="5048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45</xdr:col>
      <xdr:colOff>171450</xdr:colOff>
      <xdr:row>3</xdr:row>
      <xdr:rowOff>38101</xdr:rowOff>
    </xdr:from>
    <xdr:to>
      <xdr:col>45</xdr:col>
      <xdr:colOff>666750</xdr:colOff>
      <xdr:row>4</xdr:row>
      <xdr:rowOff>9525</xdr:rowOff>
    </xdr:to>
    <xdr:sp macro="" textlink="">
      <xdr:nvSpPr>
        <xdr:cNvPr id="66" name="오른쪽 화살표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3581400" y="1371601"/>
          <a:ext cx="4953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41</xdr:col>
      <xdr:colOff>314324</xdr:colOff>
      <xdr:row>4</xdr:row>
      <xdr:rowOff>47625</xdr:rowOff>
    </xdr:from>
    <xdr:to>
      <xdr:col>42</xdr:col>
      <xdr:colOff>228600</xdr:colOff>
      <xdr:row>5</xdr:row>
      <xdr:rowOff>0</xdr:rowOff>
    </xdr:to>
    <xdr:sp macro="" textlink="">
      <xdr:nvSpPr>
        <xdr:cNvPr id="67" name="오른쪽 화살표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3724274" y="1666875"/>
          <a:ext cx="695326" cy="238125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36</xdr:col>
      <xdr:colOff>371475</xdr:colOff>
      <xdr:row>2</xdr:row>
      <xdr:rowOff>19051</xdr:rowOff>
    </xdr:from>
    <xdr:to>
      <xdr:col>37</xdr:col>
      <xdr:colOff>85725</xdr:colOff>
      <xdr:row>2</xdr:row>
      <xdr:rowOff>276225</xdr:rowOff>
    </xdr:to>
    <xdr:sp macro="" textlink="">
      <xdr:nvSpPr>
        <xdr:cNvPr id="68" name="오른쪽 화살표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219325" y="1066801"/>
          <a:ext cx="4953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37</xdr:col>
      <xdr:colOff>133350</xdr:colOff>
      <xdr:row>2</xdr:row>
      <xdr:rowOff>28576</xdr:rowOff>
    </xdr:from>
    <xdr:to>
      <xdr:col>37</xdr:col>
      <xdr:colOff>628650</xdr:colOff>
      <xdr:row>3</xdr:row>
      <xdr:rowOff>0</xdr:rowOff>
    </xdr:to>
    <xdr:sp macro="" textlink="">
      <xdr:nvSpPr>
        <xdr:cNvPr id="70" name="오른쪽 화살표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762250" y="1076326"/>
          <a:ext cx="4953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42</xdr:col>
      <xdr:colOff>219076</xdr:colOff>
      <xdr:row>3</xdr:row>
      <xdr:rowOff>66675</xdr:rowOff>
    </xdr:from>
    <xdr:to>
      <xdr:col>42</xdr:col>
      <xdr:colOff>676276</xdr:colOff>
      <xdr:row>4</xdr:row>
      <xdr:rowOff>0</xdr:rowOff>
    </xdr:to>
    <xdr:sp macro="" textlink="">
      <xdr:nvSpPr>
        <xdr:cNvPr id="71" name="오른쪽 화살표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4410076" y="1400175"/>
          <a:ext cx="457200" cy="219075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43</xdr:col>
      <xdr:colOff>247649</xdr:colOff>
      <xdr:row>2</xdr:row>
      <xdr:rowOff>38101</xdr:rowOff>
    </xdr:from>
    <xdr:to>
      <xdr:col>44</xdr:col>
      <xdr:colOff>628650</xdr:colOff>
      <xdr:row>3</xdr:row>
      <xdr:rowOff>9525</xdr:rowOff>
    </xdr:to>
    <xdr:sp macro="" textlink="">
      <xdr:nvSpPr>
        <xdr:cNvPr id="72" name="오른쪽 화살표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238749" y="1085851"/>
          <a:ext cx="11620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수출슬라그</a:t>
          </a:r>
        </a:p>
      </xdr:txBody>
    </xdr:sp>
    <xdr:clientData/>
  </xdr:twoCellAnchor>
  <xdr:twoCellAnchor>
    <xdr:from>
      <xdr:col>47</xdr:col>
      <xdr:colOff>228600</xdr:colOff>
      <xdr:row>3</xdr:row>
      <xdr:rowOff>47625</xdr:rowOff>
    </xdr:from>
    <xdr:to>
      <xdr:col>47</xdr:col>
      <xdr:colOff>638175</xdr:colOff>
      <xdr:row>4</xdr:row>
      <xdr:rowOff>9524</xdr:rowOff>
    </xdr:to>
    <xdr:sp macro="" textlink="">
      <xdr:nvSpPr>
        <xdr:cNvPr id="73" name="오른쪽 화살표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5200650" y="1381125"/>
          <a:ext cx="409575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49</xdr:col>
      <xdr:colOff>190501</xdr:colOff>
      <xdr:row>3</xdr:row>
      <xdr:rowOff>47626</xdr:rowOff>
    </xdr:from>
    <xdr:to>
      <xdr:col>49</xdr:col>
      <xdr:colOff>590551</xdr:colOff>
      <xdr:row>4</xdr:row>
      <xdr:rowOff>0</xdr:rowOff>
    </xdr:to>
    <xdr:sp macro="" textlink="">
      <xdr:nvSpPr>
        <xdr:cNvPr id="77" name="오른쪽 화살표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6724651" y="1381126"/>
          <a:ext cx="40005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46</xdr:col>
      <xdr:colOff>152399</xdr:colOff>
      <xdr:row>4</xdr:row>
      <xdr:rowOff>28575</xdr:rowOff>
    </xdr:from>
    <xdr:to>
      <xdr:col>47</xdr:col>
      <xdr:colOff>66675</xdr:colOff>
      <xdr:row>4</xdr:row>
      <xdr:rowOff>285749</xdr:rowOff>
    </xdr:to>
    <xdr:sp macro="" textlink="">
      <xdr:nvSpPr>
        <xdr:cNvPr id="99" name="오른쪽 화살표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4343399" y="1647825"/>
          <a:ext cx="695326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44</xdr:col>
      <xdr:colOff>762000</xdr:colOff>
      <xdr:row>2</xdr:row>
      <xdr:rowOff>38101</xdr:rowOff>
    </xdr:from>
    <xdr:to>
      <xdr:col>45</xdr:col>
      <xdr:colOff>476250</xdr:colOff>
      <xdr:row>3</xdr:row>
      <xdr:rowOff>9525</xdr:rowOff>
    </xdr:to>
    <xdr:sp macro="" textlink="">
      <xdr:nvSpPr>
        <xdr:cNvPr id="125" name="오른쪽 화살표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8858250" y="1085851"/>
          <a:ext cx="4953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42</xdr:col>
      <xdr:colOff>447675</xdr:colOff>
      <xdr:row>2</xdr:row>
      <xdr:rowOff>28576</xdr:rowOff>
    </xdr:from>
    <xdr:to>
      <xdr:col>43</xdr:col>
      <xdr:colOff>142875</xdr:colOff>
      <xdr:row>3</xdr:row>
      <xdr:rowOff>0</xdr:rowOff>
    </xdr:to>
    <xdr:sp macro="" textlink="">
      <xdr:nvSpPr>
        <xdr:cNvPr id="128" name="오른쪽 화살표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4638675" y="1076326"/>
          <a:ext cx="4953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44</xdr:col>
      <xdr:colOff>285750</xdr:colOff>
      <xdr:row>7</xdr:row>
      <xdr:rowOff>19051</xdr:rowOff>
    </xdr:from>
    <xdr:to>
      <xdr:col>45</xdr:col>
      <xdr:colOff>19050</xdr:colOff>
      <xdr:row>8</xdr:row>
      <xdr:rowOff>66675</xdr:rowOff>
    </xdr:to>
    <xdr:sp macro="" textlink="">
      <xdr:nvSpPr>
        <xdr:cNvPr id="132" name="오른쪽 화살표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6057900" y="2419351"/>
          <a:ext cx="51435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45</xdr:col>
      <xdr:colOff>523875</xdr:colOff>
      <xdr:row>2</xdr:row>
      <xdr:rowOff>38101</xdr:rowOff>
    </xdr:from>
    <xdr:to>
      <xdr:col>46</xdr:col>
      <xdr:colOff>238125</xdr:colOff>
      <xdr:row>3</xdr:row>
      <xdr:rowOff>9525</xdr:rowOff>
    </xdr:to>
    <xdr:sp macro="" textlink="">
      <xdr:nvSpPr>
        <xdr:cNvPr id="118" name="오른쪽 화살표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7077075" y="1085851"/>
          <a:ext cx="4953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47</xdr:col>
      <xdr:colOff>285750</xdr:colOff>
      <xdr:row>2</xdr:row>
      <xdr:rowOff>28576</xdr:rowOff>
    </xdr:from>
    <xdr:to>
      <xdr:col>48</xdr:col>
      <xdr:colOff>542925</xdr:colOff>
      <xdr:row>2</xdr:row>
      <xdr:rowOff>266700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8401050" y="1076326"/>
          <a:ext cx="1038225" cy="23812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/>
            <a:t>C507, S/L #1</a:t>
          </a:r>
        </a:p>
        <a:p>
          <a:pPr algn="ctr"/>
          <a:r>
            <a:rPr lang="ko-KR" altLang="en-US" sz="700"/>
            <a:t>야간 조업가능</a:t>
          </a:r>
        </a:p>
      </xdr:txBody>
    </xdr:sp>
    <xdr:clientData/>
  </xdr:twoCellAnchor>
  <xdr:twoCellAnchor>
    <xdr:from>
      <xdr:col>56</xdr:col>
      <xdr:colOff>657224</xdr:colOff>
      <xdr:row>8</xdr:row>
      <xdr:rowOff>123826</xdr:rowOff>
    </xdr:from>
    <xdr:to>
      <xdr:col>58</xdr:col>
      <xdr:colOff>657225</xdr:colOff>
      <xdr:row>9</xdr:row>
      <xdr:rowOff>171450</xdr:rowOff>
    </xdr:to>
    <xdr:sp macro="" textlink="">
      <xdr:nvSpPr>
        <xdr:cNvPr id="108" name="오른쪽 화살표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3648074" y="2105026"/>
          <a:ext cx="19240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HONG</a:t>
          </a:r>
          <a:r>
            <a:rPr lang="en-US" altLang="ko-KR" sz="800" baseline="0">
              <a:solidFill>
                <a:schemeClr val="bg1"/>
              </a:solidFill>
            </a:rPr>
            <a:t> LI</a:t>
          </a:r>
          <a:r>
            <a:rPr lang="ko-KR" altLang="en-US" sz="800" baseline="0">
              <a:solidFill>
                <a:schemeClr val="bg1"/>
              </a:solidFill>
            </a:rPr>
            <a:t>목포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52</xdr:col>
      <xdr:colOff>819149</xdr:colOff>
      <xdr:row>4</xdr:row>
      <xdr:rowOff>19050</xdr:rowOff>
    </xdr:from>
    <xdr:to>
      <xdr:col>53</xdr:col>
      <xdr:colOff>114300</xdr:colOff>
      <xdr:row>4</xdr:row>
      <xdr:rowOff>276224</xdr:rowOff>
    </xdr:to>
    <xdr:sp macro="" textlink="">
      <xdr:nvSpPr>
        <xdr:cNvPr id="138" name="오른쪽 화살표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4952999" y="1009650"/>
          <a:ext cx="4381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49</xdr:col>
      <xdr:colOff>180975</xdr:colOff>
      <xdr:row>2</xdr:row>
      <xdr:rowOff>28576</xdr:rowOff>
    </xdr:from>
    <xdr:to>
      <xdr:col>49</xdr:col>
      <xdr:colOff>676275</xdr:colOff>
      <xdr:row>3</xdr:row>
      <xdr:rowOff>0</xdr:rowOff>
    </xdr:to>
    <xdr:sp macro="" textlink="">
      <xdr:nvSpPr>
        <xdr:cNvPr id="139" name="오른쪽 화살표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6715125" y="1076326"/>
          <a:ext cx="49530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52</xdr:col>
      <xdr:colOff>990600</xdr:colOff>
      <xdr:row>2</xdr:row>
      <xdr:rowOff>28576</xdr:rowOff>
    </xdr:from>
    <xdr:to>
      <xdr:col>53</xdr:col>
      <xdr:colOff>619125</xdr:colOff>
      <xdr:row>2</xdr:row>
      <xdr:rowOff>266700</xdr:rowOff>
    </xdr:to>
    <xdr:sp macro="" textlink="">
      <xdr:nvSpPr>
        <xdr:cNvPr id="140" name="오른쪽 화살표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5124450" y="447676"/>
          <a:ext cx="771525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마린</a:t>
          </a:r>
          <a:r>
            <a:rPr lang="en-US" altLang="ko-KR" sz="700"/>
            <a:t>7</a:t>
          </a:r>
          <a:r>
            <a:rPr lang="ko-KR" altLang="en-US" sz="700"/>
            <a:t>호</a:t>
          </a:r>
        </a:p>
      </xdr:txBody>
    </xdr:sp>
    <xdr:clientData/>
  </xdr:twoCellAnchor>
  <xdr:twoCellAnchor>
    <xdr:from>
      <xdr:col>53</xdr:col>
      <xdr:colOff>228600</xdr:colOff>
      <xdr:row>3</xdr:row>
      <xdr:rowOff>57151</xdr:rowOff>
    </xdr:from>
    <xdr:to>
      <xdr:col>53</xdr:col>
      <xdr:colOff>752475</xdr:colOff>
      <xdr:row>4</xdr:row>
      <xdr:rowOff>9525</xdr:rowOff>
    </xdr:to>
    <xdr:sp macro="" textlink="">
      <xdr:nvSpPr>
        <xdr:cNvPr id="144" name="오른쪽 화살표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5505450" y="762001"/>
          <a:ext cx="523875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한진그린</a:t>
          </a:r>
        </a:p>
      </xdr:txBody>
    </xdr:sp>
    <xdr:clientData/>
  </xdr:twoCellAnchor>
  <xdr:twoCellAnchor>
    <xdr:from>
      <xdr:col>57</xdr:col>
      <xdr:colOff>314324</xdr:colOff>
      <xdr:row>10</xdr:row>
      <xdr:rowOff>104775</xdr:rowOff>
    </xdr:from>
    <xdr:to>
      <xdr:col>58</xdr:col>
      <xdr:colOff>200025</xdr:colOff>
      <xdr:row>11</xdr:row>
      <xdr:rowOff>152399</xdr:rowOff>
    </xdr:to>
    <xdr:sp macro="" textlink="">
      <xdr:nvSpPr>
        <xdr:cNvPr id="145" name="오른쪽 화살표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4448174" y="2505075"/>
          <a:ext cx="66675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51</xdr:col>
      <xdr:colOff>666750</xdr:colOff>
      <xdr:row>5</xdr:row>
      <xdr:rowOff>9525</xdr:rowOff>
    </xdr:from>
    <xdr:to>
      <xdr:col>52</xdr:col>
      <xdr:colOff>752475</xdr:colOff>
      <xdr:row>5</xdr:row>
      <xdr:rowOff>266699</xdr:rowOff>
    </xdr:to>
    <xdr:sp macro="" textlink="">
      <xdr:nvSpPr>
        <xdr:cNvPr id="146" name="오른쪽 화살표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3657600" y="1285875"/>
          <a:ext cx="1228725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CRYSTAL JADE</a:t>
          </a:r>
          <a:endParaRPr lang="ko-KR" altLang="en-US" sz="800"/>
        </a:p>
      </xdr:txBody>
    </xdr:sp>
    <xdr:clientData/>
  </xdr:twoCellAnchor>
  <xdr:twoCellAnchor>
    <xdr:from>
      <xdr:col>56</xdr:col>
      <xdr:colOff>704850</xdr:colOff>
      <xdr:row>10</xdr:row>
      <xdr:rowOff>76201</xdr:rowOff>
    </xdr:from>
    <xdr:to>
      <xdr:col>57</xdr:col>
      <xdr:colOff>257175</xdr:colOff>
      <xdr:row>11</xdr:row>
      <xdr:rowOff>104775</xdr:rowOff>
    </xdr:to>
    <xdr:sp macro="" textlink="">
      <xdr:nvSpPr>
        <xdr:cNvPr id="148" name="오른쪽 화살표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3695700" y="2476501"/>
          <a:ext cx="695325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현대오션킹</a:t>
          </a:r>
        </a:p>
      </xdr:txBody>
    </xdr:sp>
    <xdr:clientData/>
  </xdr:twoCellAnchor>
  <xdr:twoCellAnchor>
    <xdr:from>
      <xdr:col>56</xdr:col>
      <xdr:colOff>552450</xdr:colOff>
      <xdr:row>11</xdr:row>
      <xdr:rowOff>200025</xdr:rowOff>
    </xdr:from>
    <xdr:to>
      <xdr:col>56</xdr:col>
      <xdr:colOff>866775</xdr:colOff>
      <xdr:row>13</xdr:row>
      <xdr:rowOff>38100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3543300" y="2809875"/>
          <a:ext cx="314325" cy="2571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주간</a:t>
          </a:r>
          <a:endParaRPr lang="en-US" altLang="ko-KR" sz="500"/>
        </a:p>
        <a:p>
          <a:pPr algn="ctr"/>
          <a:r>
            <a:rPr lang="ko-KR" altLang="en-US" sz="500"/>
            <a:t>정비</a:t>
          </a:r>
        </a:p>
      </xdr:txBody>
    </xdr:sp>
    <xdr:clientData/>
  </xdr:twoCellAnchor>
  <xdr:twoCellAnchor>
    <xdr:from>
      <xdr:col>57</xdr:col>
      <xdr:colOff>638175</xdr:colOff>
      <xdr:row>7</xdr:row>
      <xdr:rowOff>76201</xdr:rowOff>
    </xdr:from>
    <xdr:to>
      <xdr:col>58</xdr:col>
      <xdr:colOff>638174</xdr:colOff>
      <xdr:row>8</xdr:row>
      <xdr:rowOff>104775</xdr:rowOff>
    </xdr:to>
    <xdr:sp macro="" textlink="">
      <xdr:nvSpPr>
        <xdr:cNvPr id="119" name="오른쪽 화살표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4772025" y="1847851"/>
          <a:ext cx="781049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용성</a:t>
          </a:r>
          <a:r>
            <a:rPr lang="en-US" altLang="ko-KR" sz="700"/>
            <a:t>1</a:t>
          </a:r>
          <a:r>
            <a:rPr lang="ko-KR" altLang="en-US" sz="700"/>
            <a:t>호</a:t>
          </a:r>
        </a:p>
      </xdr:txBody>
    </xdr:sp>
    <xdr:clientData/>
  </xdr:twoCellAnchor>
  <xdr:twoCellAnchor>
    <xdr:from>
      <xdr:col>56</xdr:col>
      <xdr:colOff>1057276</xdr:colOff>
      <xdr:row>6</xdr:row>
      <xdr:rowOff>190501</xdr:rowOff>
    </xdr:from>
    <xdr:to>
      <xdr:col>57</xdr:col>
      <xdr:colOff>371475</xdr:colOff>
      <xdr:row>8</xdr:row>
      <xdr:rowOff>9525</xdr:rowOff>
    </xdr:to>
    <xdr:sp macro="" textlink="">
      <xdr:nvSpPr>
        <xdr:cNvPr id="150" name="오른쪽 화살표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4048126" y="1752601"/>
          <a:ext cx="457199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  <a:endParaRPr lang="en-US" altLang="ko-KR" sz="700"/>
        </a:p>
      </xdr:txBody>
    </xdr:sp>
    <xdr:clientData/>
  </xdr:twoCellAnchor>
  <xdr:twoCellAnchor>
    <xdr:from>
      <xdr:col>60</xdr:col>
      <xdr:colOff>136462</xdr:colOff>
      <xdr:row>11</xdr:row>
      <xdr:rowOff>171451</xdr:rowOff>
    </xdr:from>
    <xdr:to>
      <xdr:col>60</xdr:col>
      <xdr:colOff>628650</xdr:colOff>
      <xdr:row>12</xdr:row>
      <xdr:rowOff>200025</xdr:rowOff>
    </xdr:to>
    <xdr:sp macro="" textlink="">
      <xdr:nvSpPr>
        <xdr:cNvPr id="159" name="오른쪽 화살표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2765362" y="2781301"/>
          <a:ext cx="49218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마린</a:t>
          </a:r>
          <a:r>
            <a:rPr lang="en-US" altLang="ko-KR" sz="700"/>
            <a:t>7</a:t>
          </a:r>
          <a:endParaRPr lang="ko-KR" altLang="en-US" sz="700"/>
        </a:p>
      </xdr:txBody>
    </xdr:sp>
    <xdr:clientData/>
  </xdr:twoCellAnchor>
  <xdr:twoCellAnchor>
    <xdr:from>
      <xdr:col>60</xdr:col>
      <xdr:colOff>143741</xdr:colOff>
      <xdr:row>8</xdr:row>
      <xdr:rowOff>180976</xdr:rowOff>
    </xdr:from>
    <xdr:to>
      <xdr:col>61</xdr:col>
      <xdr:colOff>9524</xdr:colOff>
      <xdr:row>10</xdr:row>
      <xdr:rowOff>0</xdr:rowOff>
    </xdr:to>
    <xdr:sp macro="" textlink="">
      <xdr:nvSpPr>
        <xdr:cNvPr id="165" name="오른쪽 화살표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2772641" y="2162176"/>
          <a:ext cx="646833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재원니케</a:t>
          </a:r>
        </a:p>
      </xdr:txBody>
    </xdr:sp>
    <xdr:clientData/>
  </xdr:twoCellAnchor>
  <xdr:twoCellAnchor>
    <xdr:from>
      <xdr:col>61</xdr:col>
      <xdr:colOff>372342</xdr:colOff>
      <xdr:row>7</xdr:row>
      <xdr:rowOff>161926</xdr:rowOff>
    </xdr:from>
    <xdr:to>
      <xdr:col>63</xdr:col>
      <xdr:colOff>571500</xdr:colOff>
      <xdr:row>8</xdr:row>
      <xdr:rowOff>190500</xdr:rowOff>
    </xdr:to>
    <xdr:sp macro="" textlink="">
      <xdr:nvSpPr>
        <xdr:cNvPr id="164" name="오른쪽 화살표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3782292" y="1933576"/>
          <a:ext cx="176125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>
              <a:solidFill>
                <a:srgbClr val="FFFF00"/>
              </a:solidFill>
            </a:rPr>
            <a:t>TAN</a:t>
          </a:r>
          <a:r>
            <a:rPr lang="en-US" altLang="ko-KR" sz="700" baseline="0">
              <a:solidFill>
                <a:srgbClr val="FFFF00"/>
              </a:solidFill>
            </a:rPr>
            <a:t> BINH 136</a:t>
          </a:r>
        </a:p>
      </xdr:txBody>
    </xdr:sp>
    <xdr:clientData/>
  </xdr:twoCellAnchor>
  <xdr:twoCellAnchor>
    <xdr:from>
      <xdr:col>60</xdr:col>
      <xdr:colOff>143742</xdr:colOff>
      <xdr:row>9</xdr:row>
      <xdr:rowOff>190501</xdr:rowOff>
    </xdr:from>
    <xdr:to>
      <xdr:col>60</xdr:col>
      <xdr:colOff>647700</xdr:colOff>
      <xdr:row>11</xdr:row>
      <xdr:rowOff>9525</xdr:rowOff>
    </xdr:to>
    <xdr:sp macro="" textlink="">
      <xdr:nvSpPr>
        <xdr:cNvPr id="142" name="오른쪽 화살표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2772642" y="2381251"/>
          <a:ext cx="50395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삼성</a:t>
          </a:r>
          <a:r>
            <a:rPr lang="en-US" altLang="ko-KR" sz="700"/>
            <a:t>2</a:t>
          </a:r>
          <a:r>
            <a:rPr lang="ko-KR" altLang="en-US" sz="700"/>
            <a:t>호</a:t>
          </a:r>
          <a:endParaRPr lang="en-US" altLang="ko-KR" sz="700"/>
        </a:p>
      </xdr:txBody>
    </xdr:sp>
    <xdr:clientData/>
  </xdr:twoCellAnchor>
  <xdr:twoCellAnchor>
    <xdr:from>
      <xdr:col>59</xdr:col>
      <xdr:colOff>28575</xdr:colOff>
      <xdr:row>2</xdr:row>
      <xdr:rowOff>19050</xdr:rowOff>
    </xdr:from>
    <xdr:to>
      <xdr:col>59</xdr:col>
      <xdr:colOff>476250</xdr:colOff>
      <xdr:row>2</xdr:row>
      <xdr:rowOff>276225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1876425" y="438150"/>
          <a:ext cx="447675" cy="2571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aseline="0"/>
            <a:t>정비</a:t>
          </a:r>
          <a:endParaRPr lang="ko-KR" altLang="en-US" sz="700"/>
        </a:p>
      </xdr:txBody>
    </xdr:sp>
    <xdr:clientData/>
  </xdr:twoCellAnchor>
  <xdr:twoCellAnchor>
    <xdr:from>
      <xdr:col>61</xdr:col>
      <xdr:colOff>381867</xdr:colOff>
      <xdr:row>9</xdr:row>
      <xdr:rowOff>123826</xdr:rowOff>
    </xdr:from>
    <xdr:to>
      <xdr:col>63</xdr:col>
      <xdr:colOff>590551</xdr:colOff>
      <xdr:row>10</xdr:row>
      <xdr:rowOff>152400</xdr:rowOff>
    </xdr:to>
    <xdr:sp macro="" textlink="">
      <xdr:nvSpPr>
        <xdr:cNvPr id="154" name="오른쪽 화살표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3791817" y="2314576"/>
          <a:ext cx="1770784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 baseline="0">
              <a:solidFill>
                <a:srgbClr val="FFFF00"/>
              </a:solidFill>
            </a:rPr>
            <a:t>TBN</a:t>
          </a:r>
        </a:p>
      </xdr:txBody>
    </xdr:sp>
    <xdr:clientData/>
  </xdr:twoCellAnchor>
  <xdr:twoCellAnchor>
    <xdr:from>
      <xdr:col>62</xdr:col>
      <xdr:colOff>133349</xdr:colOff>
      <xdr:row>2</xdr:row>
      <xdr:rowOff>28576</xdr:rowOff>
    </xdr:from>
    <xdr:to>
      <xdr:col>64</xdr:col>
      <xdr:colOff>76200</xdr:colOff>
      <xdr:row>2</xdr:row>
      <xdr:rowOff>266700</xdr:rowOff>
    </xdr:to>
    <xdr:sp macro="" textlink="">
      <xdr:nvSpPr>
        <xdr:cNvPr id="161" name="오른쪽 화살표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4324349" y="447676"/>
          <a:ext cx="1504951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 baseline="0">
              <a:solidFill>
                <a:srgbClr val="FFFF00"/>
              </a:solidFill>
            </a:rPr>
            <a:t>SUN GRACE</a:t>
          </a:r>
        </a:p>
      </xdr:txBody>
    </xdr:sp>
    <xdr:clientData/>
  </xdr:twoCellAnchor>
  <xdr:twoCellAnchor>
    <xdr:from>
      <xdr:col>60</xdr:col>
      <xdr:colOff>143742</xdr:colOff>
      <xdr:row>7</xdr:row>
      <xdr:rowOff>180976</xdr:rowOff>
    </xdr:from>
    <xdr:to>
      <xdr:col>60</xdr:col>
      <xdr:colOff>647700</xdr:colOff>
      <xdr:row>9</xdr:row>
      <xdr:rowOff>0</xdr:rowOff>
    </xdr:to>
    <xdr:sp macro="" textlink="">
      <xdr:nvSpPr>
        <xdr:cNvPr id="175" name="오른쪽 화살표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2772642" y="1952626"/>
          <a:ext cx="50395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현대오션킹</a:t>
          </a:r>
          <a:r>
            <a:rPr lang="en-US" altLang="ko-KR" sz="700"/>
            <a:t>1500</a:t>
          </a:r>
          <a:endParaRPr lang="ko-KR" altLang="en-US" sz="700"/>
        </a:p>
      </xdr:txBody>
    </xdr:sp>
    <xdr:clientData/>
  </xdr:twoCellAnchor>
  <xdr:twoCellAnchor>
    <xdr:from>
      <xdr:col>64</xdr:col>
      <xdr:colOff>266700</xdr:colOff>
      <xdr:row>7</xdr:row>
      <xdr:rowOff>161926</xdr:rowOff>
    </xdr:from>
    <xdr:to>
      <xdr:col>64</xdr:col>
      <xdr:colOff>761999</xdr:colOff>
      <xdr:row>8</xdr:row>
      <xdr:rowOff>190500</xdr:rowOff>
    </xdr:to>
    <xdr:sp macro="" textlink="">
      <xdr:nvSpPr>
        <xdr:cNvPr id="176" name="오른쪽 화살표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6019800" y="1933576"/>
          <a:ext cx="495299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rgbClr val="FFFF00"/>
              </a:solidFill>
            </a:rPr>
            <a:t>한진그린</a:t>
          </a:r>
        </a:p>
      </xdr:txBody>
    </xdr:sp>
    <xdr:clientData/>
  </xdr:twoCellAnchor>
  <xdr:twoCellAnchor>
    <xdr:from>
      <xdr:col>65</xdr:col>
      <xdr:colOff>57150</xdr:colOff>
      <xdr:row>9</xdr:row>
      <xdr:rowOff>1624</xdr:rowOff>
    </xdr:from>
    <xdr:to>
      <xdr:col>65</xdr:col>
      <xdr:colOff>552449</xdr:colOff>
      <xdr:row>10</xdr:row>
      <xdr:rowOff>26953</xdr:rowOff>
    </xdr:to>
    <xdr:sp macro="" textlink="">
      <xdr:nvSpPr>
        <xdr:cNvPr id="177" name="오른쪽 화살표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6591300" y="2192374"/>
          <a:ext cx="495299" cy="23487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>
              <a:solidFill>
                <a:schemeClr val="bg1"/>
              </a:solidFill>
            </a:rPr>
            <a:t>KOREX</a:t>
          </a:r>
          <a:endParaRPr lang="ko-KR" altLang="en-US" sz="700">
            <a:solidFill>
              <a:schemeClr val="bg1"/>
            </a:solidFill>
          </a:endParaRPr>
        </a:p>
      </xdr:txBody>
    </xdr:sp>
    <xdr:clientData/>
  </xdr:twoCellAnchor>
  <xdr:twoCellAnchor>
    <xdr:from>
      <xdr:col>64</xdr:col>
      <xdr:colOff>266700</xdr:colOff>
      <xdr:row>8</xdr:row>
      <xdr:rowOff>190501</xdr:rowOff>
    </xdr:from>
    <xdr:to>
      <xdr:col>64</xdr:col>
      <xdr:colOff>761999</xdr:colOff>
      <xdr:row>10</xdr:row>
      <xdr:rowOff>9525</xdr:rowOff>
    </xdr:to>
    <xdr:sp macro="" textlink="">
      <xdr:nvSpPr>
        <xdr:cNvPr id="178" name="오른쪽 화살표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6019800" y="2171701"/>
          <a:ext cx="495299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chemeClr val="bg1"/>
              </a:solidFill>
            </a:rPr>
            <a:t>한진그린</a:t>
          </a:r>
        </a:p>
      </xdr:txBody>
    </xdr:sp>
    <xdr:clientData/>
  </xdr:twoCellAnchor>
  <xdr:twoCellAnchor>
    <xdr:from>
      <xdr:col>65</xdr:col>
      <xdr:colOff>57150</xdr:colOff>
      <xdr:row>7</xdr:row>
      <xdr:rowOff>163549</xdr:rowOff>
    </xdr:from>
    <xdr:to>
      <xdr:col>65</xdr:col>
      <xdr:colOff>552449</xdr:colOff>
      <xdr:row>8</xdr:row>
      <xdr:rowOff>188878</xdr:rowOff>
    </xdr:to>
    <xdr:sp macro="" textlink="">
      <xdr:nvSpPr>
        <xdr:cNvPr id="179" name="오른쪽 화살표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6591300" y="1935199"/>
          <a:ext cx="495299" cy="23487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>
              <a:solidFill>
                <a:srgbClr val="FFFF00"/>
              </a:solidFill>
            </a:rPr>
            <a:t>KOREX</a:t>
          </a:r>
          <a:endParaRPr lang="ko-KR" altLang="en-US" sz="700">
            <a:solidFill>
              <a:srgbClr val="FFFF00"/>
            </a:solidFill>
          </a:endParaRPr>
        </a:p>
      </xdr:txBody>
    </xdr:sp>
    <xdr:clientData/>
  </xdr:twoCellAnchor>
  <xdr:twoCellAnchor>
    <xdr:from>
      <xdr:col>68</xdr:col>
      <xdr:colOff>361950</xdr:colOff>
      <xdr:row>9</xdr:row>
      <xdr:rowOff>104775</xdr:rowOff>
    </xdr:from>
    <xdr:to>
      <xdr:col>68</xdr:col>
      <xdr:colOff>752475</xdr:colOff>
      <xdr:row>10</xdr:row>
      <xdr:rowOff>152400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9239250" y="2295525"/>
          <a:ext cx="390525" cy="2571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aseline="0"/>
            <a:t>청소</a:t>
          </a:r>
          <a:endParaRPr lang="ko-KR" altLang="en-US" sz="700"/>
        </a:p>
      </xdr:txBody>
    </xdr:sp>
    <xdr:clientData/>
  </xdr:twoCellAnchor>
  <xdr:twoCellAnchor>
    <xdr:from>
      <xdr:col>65</xdr:col>
      <xdr:colOff>676277</xdr:colOff>
      <xdr:row>10</xdr:row>
      <xdr:rowOff>57150</xdr:rowOff>
    </xdr:from>
    <xdr:to>
      <xdr:col>66</xdr:col>
      <xdr:colOff>466725</xdr:colOff>
      <xdr:row>11</xdr:row>
      <xdr:rowOff>104774</xdr:rowOff>
    </xdr:to>
    <xdr:sp macro="" textlink="">
      <xdr:nvSpPr>
        <xdr:cNvPr id="181" name="오른쪽 화살표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7210427" y="2457450"/>
          <a:ext cx="571498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rgbClr val="FFFF00"/>
              </a:solidFill>
            </a:rPr>
            <a:t>JK</a:t>
          </a:r>
          <a:r>
            <a:rPr lang="ko-KR" altLang="en-US" sz="800">
              <a:solidFill>
                <a:srgbClr val="FFFF00"/>
              </a:solidFill>
            </a:rPr>
            <a:t>군장</a:t>
          </a:r>
        </a:p>
      </xdr:txBody>
    </xdr:sp>
    <xdr:clientData/>
  </xdr:twoCellAnchor>
  <xdr:twoCellAnchor>
    <xdr:from>
      <xdr:col>65</xdr:col>
      <xdr:colOff>695327</xdr:colOff>
      <xdr:row>11</xdr:row>
      <xdr:rowOff>133350</xdr:rowOff>
    </xdr:from>
    <xdr:to>
      <xdr:col>66</xdr:col>
      <xdr:colOff>485775</xdr:colOff>
      <xdr:row>12</xdr:row>
      <xdr:rowOff>180974</xdr:rowOff>
    </xdr:to>
    <xdr:sp macro="" textlink="">
      <xdr:nvSpPr>
        <xdr:cNvPr id="182" name="오른쪽 화살표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7229477" y="2743200"/>
          <a:ext cx="571498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JK</a:t>
          </a:r>
          <a:r>
            <a:rPr lang="ko-KR" altLang="en-US" sz="800">
              <a:solidFill>
                <a:schemeClr val="bg1"/>
              </a:solidFill>
            </a:rPr>
            <a:t>군장</a:t>
          </a:r>
        </a:p>
      </xdr:txBody>
    </xdr:sp>
    <xdr:clientData/>
  </xdr:twoCellAnchor>
  <xdr:twoCellAnchor>
    <xdr:from>
      <xdr:col>65</xdr:col>
      <xdr:colOff>676277</xdr:colOff>
      <xdr:row>7</xdr:row>
      <xdr:rowOff>123825</xdr:rowOff>
    </xdr:from>
    <xdr:to>
      <xdr:col>66</xdr:col>
      <xdr:colOff>314325</xdr:colOff>
      <xdr:row>8</xdr:row>
      <xdr:rowOff>171449</xdr:rowOff>
    </xdr:to>
    <xdr:sp macro="" textlink="">
      <xdr:nvSpPr>
        <xdr:cNvPr id="184" name="오른쪽 화살표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7210427" y="1895475"/>
          <a:ext cx="419098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rgbClr val="FFFF00"/>
              </a:solidFill>
            </a:rPr>
            <a:t>JK</a:t>
          </a:r>
          <a:r>
            <a:rPr lang="ko-KR" altLang="en-US" sz="800">
              <a:solidFill>
                <a:srgbClr val="FFFF00"/>
              </a:solidFill>
            </a:rPr>
            <a:t>군장</a:t>
          </a:r>
        </a:p>
      </xdr:txBody>
    </xdr:sp>
    <xdr:clientData/>
  </xdr:twoCellAnchor>
  <xdr:twoCellAnchor>
    <xdr:from>
      <xdr:col>65</xdr:col>
      <xdr:colOff>695328</xdr:colOff>
      <xdr:row>8</xdr:row>
      <xdr:rowOff>200025</xdr:rowOff>
    </xdr:from>
    <xdr:to>
      <xdr:col>66</xdr:col>
      <xdr:colOff>314326</xdr:colOff>
      <xdr:row>10</xdr:row>
      <xdr:rowOff>38099</xdr:rowOff>
    </xdr:to>
    <xdr:sp macro="" textlink="">
      <xdr:nvSpPr>
        <xdr:cNvPr id="185" name="오른쪽 화살표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7229478" y="2181225"/>
          <a:ext cx="400048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JK</a:t>
          </a:r>
          <a:r>
            <a:rPr lang="ko-KR" altLang="en-US" sz="800">
              <a:solidFill>
                <a:schemeClr val="bg1"/>
              </a:solidFill>
            </a:rPr>
            <a:t>군장</a:t>
          </a:r>
        </a:p>
      </xdr:txBody>
    </xdr:sp>
    <xdr:clientData/>
  </xdr:twoCellAnchor>
  <xdr:twoCellAnchor>
    <xdr:from>
      <xdr:col>59</xdr:col>
      <xdr:colOff>462079</xdr:colOff>
      <xdr:row>3</xdr:row>
      <xdr:rowOff>49249</xdr:rowOff>
    </xdr:from>
    <xdr:to>
      <xdr:col>60</xdr:col>
      <xdr:colOff>104774</xdr:colOff>
      <xdr:row>3</xdr:row>
      <xdr:rowOff>284128</xdr:rowOff>
    </xdr:to>
    <xdr:sp macro="" textlink="">
      <xdr:nvSpPr>
        <xdr:cNvPr id="2" name="오른쪽 화살표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309929" y="754099"/>
          <a:ext cx="423745" cy="23487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>
              <a:solidFill>
                <a:schemeClr val="bg1"/>
              </a:solidFill>
            </a:rPr>
            <a:t>KOREX</a:t>
          </a:r>
          <a:endParaRPr lang="ko-KR" altLang="en-US" sz="700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295277</xdr:colOff>
      <xdr:row>3</xdr:row>
      <xdr:rowOff>276225</xdr:rowOff>
    </xdr:from>
    <xdr:to>
      <xdr:col>62</xdr:col>
      <xdr:colOff>66675</xdr:colOff>
      <xdr:row>4</xdr:row>
      <xdr:rowOff>247649</xdr:rowOff>
    </xdr:to>
    <xdr:sp macro="" textlink="">
      <xdr:nvSpPr>
        <xdr:cNvPr id="4" name="오른쪽 화살표 16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705227" y="981075"/>
          <a:ext cx="552448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rgbClr val="FFFF00"/>
              </a:solidFill>
            </a:rPr>
            <a:t>JK</a:t>
          </a:r>
          <a:r>
            <a:rPr lang="ko-KR" altLang="en-US" sz="800">
              <a:solidFill>
                <a:srgbClr val="FFFF00"/>
              </a:solidFill>
            </a:rPr>
            <a:t>군장</a:t>
          </a:r>
        </a:p>
      </xdr:txBody>
    </xdr:sp>
    <xdr:clientData/>
  </xdr:twoCellAnchor>
  <xdr:twoCellAnchor>
    <xdr:from>
      <xdr:col>72</xdr:col>
      <xdr:colOff>66675</xdr:colOff>
      <xdr:row>3</xdr:row>
      <xdr:rowOff>39724</xdr:rowOff>
    </xdr:from>
    <xdr:to>
      <xdr:col>72</xdr:col>
      <xdr:colOff>561974</xdr:colOff>
      <xdr:row>3</xdr:row>
      <xdr:rowOff>274603</xdr:rowOff>
    </xdr:to>
    <xdr:sp macro="" textlink="">
      <xdr:nvSpPr>
        <xdr:cNvPr id="5" name="오른쪽 화살표 13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2068175" y="744574"/>
          <a:ext cx="495299" cy="23487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>
              <a:solidFill>
                <a:schemeClr val="bg1"/>
              </a:solidFill>
            </a:rPr>
            <a:t>KOREX</a:t>
          </a:r>
          <a:endParaRPr lang="ko-KR" altLang="en-US" sz="700">
            <a:solidFill>
              <a:schemeClr val="bg1"/>
            </a:solidFill>
          </a:endParaRPr>
        </a:p>
      </xdr:txBody>
    </xdr:sp>
    <xdr:clientData/>
  </xdr:twoCellAnchor>
  <xdr:twoCellAnchor>
    <xdr:from>
      <xdr:col>72</xdr:col>
      <xdr:colOff>58017</xdr:colOff>
      <xdr:row>2</xdr:row>
      <xdr:rowOff>38101</xdr:rowOff>
    </xdr:from>
    <xdr:to>
      <xdr:col>74</xdr:col>
      <xdr:colOff>361951</xdr:colOff>
      <xdr:row>2</xdr:row>
      <xdr:rowOff>276225</xdr:rowOff>
    </xdr:to>
    <xdr:sp macro="" textlink="">
      <xdr:nvSpPr>
        <xdr:cNvPr id="6" name="오른쪽 화살표 15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059517" y="457201"/>
          <a:ext cx="1770784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 baseline="0">
              <a:solidFill>
                <a:srgbClr val="FFFF00"/>
              </a:solidFill>
            </a:rPr>
            <a:t>TBN</a:t>
          </a:r>
        </a:p>
      </xdr:txBody>
    </xdr:sp>
    <xdr:clientData/>
  </xdr:twoCellAnchor>
  <xdr:twoCellAnchor>
    <xdr:from>
      <xdr:col>66</xdr:col>
      <xdr:colOff>152401</xdr:colOff>
      <xdr:row>4</xdr:row>
      <xdr:rowOff>28575</xdr:rowOff>
    </xdr:from>
    <xdr:to>
      <xdr:col>66</xdr:col>
      <xdr:colOff>714374</xdr:colOff>
      <xdr:row>4</xdr:row>
      <xdr:rowOff>285749</xdr:rowOff>
    </xdr:to>
    <xdr:sp macro="" textlink="">
      <xdr:nvSpPr>
        <xdr:cNvPr id="7" name="오른쪽 화살표 18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467601" y="1019175"/>
          <a:ext cx="561973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rgbClr val="FFFF00"/>
              </a:solidFill>
            </a:rPr>
            <a:t>JK</a:t>
          </a:r>
          <a:r>
            <a:rPr lang="ko-KR" altLang="en-US" sz="800">
              <a:solidFill>
                <a:srgbClr val="FFFF00"/>
              </a:solidFill>
            </a:rPr>
            <a:t>군장</a:t>
          </a:r>
        </a:p>
      </xdr:txBody>
    </xdr:sp>
    <xdr:clientData/>
  </xdr:twoCellAnchor>
  <xdr:twoCellAnchor>
    <xdr:from>
      <xdr:col>60</xdr:col>
      <xdr:colOff>165036</xdr:colOff>
      <xdr:row>10</xdr:row>
      <xdr:rowOff>152401</xdr:rowOff>
    </xdr:from>
    <xdr:to>
      <xdr:col>60</xdr:col>
      <xdr:colOff>781049</xdr:colOff>
      <xdr:row>11</xdr:row>
      <xdr:rowOff>180975</xdr:rowOff>
    </xdr:to>
    <xdr:sp macro="" textlink="">
      <xdr:nvSpPr>
        <xdr:cNvPr id="11" name="오른쪽 화살표 13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793936" y="2552701"/>
          <a:ext cx="616013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용성</a:t>
          </a:r>
          <a:r>
            <a:rPr lang="en-US" altLang="ko-KR" sz="700"/>
            <a:t>7</a:t>
          </a:r>
          <a:r>
            <a:rPr lang="ko-KR" altLang="en-US" sz="700"/>
            <a:t>호</a:t>
          </a:r>
          <a:endParaRPr lang="en-US" altLang="ko-KR" sz="700"/>
        </a:p>
        <a:p>
          <a:pPr algn="ctr"/>
          <a:endParaRPr lang="ko-KR" altLang="en-US" sz="700"/>
        </a:p>
      </xdr:txBody>
    </xdr:sp>
    <xdr:clientData/>
  </xdr:twoCellAnchor>
  <xdr:twoCellAnchor>
    <xdr:from>
      <xdr:col>59</xdr:col>
      <xdr:colOff>19050</xdr:colOff>
      <xdr:row>3</xdr:row>
      <xdr:rowOff>38101</xdr:rowOff>
    </xdr:from>
    <xdr:to>
      <xdr:col>59</xdr:col>
      <xdr:colOff>476250</xdr:colOff>
      <xdr:row>3</xdr:row>
      <xdr:rowOff>276225</xdr:rowOff>
    </xdr:to>
    <xdr:sp macro="" textlink="">
      <xdr:nvSpPr>
        <xdr:cNvPr id="12" name="오른쪽 화살표 1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866900" y="742951"/>
          <a:ext cx="45720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chemeClr val="bg1"/>
              </a:solidFill>
            </a:rPr>
            <a:t>한진그린</a:t>
          </a:r>
        </a:p>
      </xdr:txBody>
    </xdr:sp>
    <xdr:clientData/>
  </xdr:twoCellAnchor>
  <xdr:twoCellAnchor>
    <xdr:from>
      <xdr:col>67</xdr:col>
      <xdr:colOff>591417</xdr:colOff>
      <xdr:row>2</xdr:row>
      <xdr:rowOff>28576</xdr:rowOff>
    </xdr:from>
    <xdr:to>
      <xdr:col>70</xdr:col>
      <xdr:colOff>19051</xdr:colOff>
      <xdr:row>2</xdr:row>
      <xdr:rowOff>266700</xdr:rowOff>
    </xdr:to>
    <xdr:sp macro="" textlink="">
      <xdr:nvSpPr>
        <xdr:cNvPr id="15" name="오른쪽 화살표 15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8687667" y="447676"/>
          <a:ext cx="1770784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 baseline="0">
              <a:solidFill>
                <a:srgbClr val="FFFF00"/>
              </a:solidFill>
            </a:rPr>
            <a:t>TBN</a:t>
          </a:r>
        </a:p>
      </xdr:txBody>
    </xdr:sp>
    <xdr:clientData/>
  </xdr:twoCellAnchor>
  <xdr:twoCellAnchor>
    <xdr:from>
      <xdr:col>59</xdr:col>
      <xdr:colOff>534267</xdr:colOff>
      <xdr:row>2</xdr:row>
      <xdr:rowOff>28576</xdr:rowOff>
    </xdr:from>
    <xdr:to>
      <xdr:col>60</xdr:col>
      <xdr:colOff>257175</xdr:colOff>
      <xdr:row>2</xdr:row>
      <xdr:rowOff>266700</xdr:rowOff>
    </xdr:to>
    <xdr:sp macro="" textlink="">
      <xdr:nvSpPr>
        <xdr:cNvPr id="18" name="오른쪽 화살표 17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382117" y="447676"/>
          <a:ext cx="50395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유건호</a:t>
          </a:r>
        </a:p>
      </xdr:txBody>
    </xdr:sp>
    <xdr:clientData/>
  </xdr:twoCellAnchor>
  <xdr:twoCellAnchor>
    <xdr:from>
      <xdr:col>64</xdr:col>
      <xdr:colOff>191367</xdr:colOff>
      <xdr:row>2</xdr:row>
      <xdr:rowOff>28576</xdr:rowOff>
    </xdr:from>
    <xdr:to>
      <xdr:col>64</xdr:col>
      <xdr:colOff>695325</xdr:colOff>
      <xdr:row>2</xdr:row>
      <xdr:rowOff>266700</xdr:rowOff>
    </xdr:to>
    <xdr:sp macro="" textlink="">
      <xdr:nvSpPr>
        <xdr:cNvPr id="19" name="오른쪽 화살표 17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944467" y="447676"/>
          <a:ext cx="50395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현대오션킹</a:t>
          </a:r>
          <a:r>
            <a:rPr lang="en-US" altLang="ko-KR" sz="700"/>
            <a:t>1500</a:t>
          </a:r>
          <a:endParaRPr lang="ko-KR" altLang="en-US" sz="700"/>
        </a:p>
      </xdr:txBody>
    </xdr:sp>
    <xdr:clientData/>
  </xdr:twoCellAnchor>
  <xdr:twoCellAnchor>
    <xdr:from>
      <xdr:col>64</xdr:col>
      <xdr:colOff>676276</xdr:colOff>
      <xdr:row>2</xdr:row>
      <xdr:rowOff>28576</xdr:rowOff>
    </xdr:from>
    <xdr:to>
      <xdr:col>65</xdr:col>
      <xdr:colOff>390526</xdr:colOff>
      <xdr:row>2</xdr:row>
      <xdr:rowOff>266700</xdr:rowOff>
    </xdr:to>
    <xdr:sp macro="" textlink="">
      <xdr:nvSpPr>
        <xdr:cNvPr id="20" name="오른쪽 화살표 16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6429376" y="447676"/>
          <a:ext cx="49530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재원니케</a:t>
          </a:r>
        </a:p>
      </xdr:txBody>
    </xdr:sp>
    <xdr:clientData/>
  </xdr:twoCellAnchor>
  <xdr:twoCellAnchor>
    <xdr:from>
      <xdr:col>65</xdr:col>
      <xdr:colOff>391392</xdr:colOff>
      <xdr:row>2</xdr:row>
      <xdr:rowOff>28576</xdr:rowOff>
    </xdr:from>
    <xdr:to>
      <xdr:col>66</xdr:col>
      <xdr:colOff>114300</xdr:colOff>
      <xdr:row>2</xdr:row>
      <xdr:rowOff>266700</xdr:rowOff>
    </xdr:to>
    <xdr:sp macro="" textlink="">
      <xdr:nvSpPr>
        <xdr:cNvPr id="21" name="오른쪽 화살표 14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925542" y="447676"/>
          <a:ext cx="50395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삼성</a:t>
          </a:r>
          <a:r>
            <a:rPr lang="en-US" altLang="ko-KR" sz="700"/>
            <a:t>2</a:t>
          </a:r>
          <a:r>
            <a:rPr lang="ko-KR" altLang="en-US" sz="700"/>
            <a:t>호</a:t>
          </a:r>
          <a:endParaRPr lang="en-US" altLang="ko-KR" sz="700"/>
        </a:p>
      </xdr:txBody>
    </xdr:sp>
    <xdr:clientData/>
  </xdr:twoCellAnchor>
  <xdr:twoCellAnchor>
    <xdr:from>
      <xdr:col>66</xdr:col>
      <xdr:colOff>727011</xdr:colOff>
      <xdr:row>2</xdr:row>
      <xdr:rowOff>28576</xdr:rowOff>
    </xdr:from>
    <xdr:to>
      <xdr:col>67</xdr:col>
      <xdr:colOff>561974</xdr:colOff>
      <xdr:row>2</xdr:row>
      <xdr:rowOff>266700</xdr:rowOff>
    </xdr:to>
    <xdr:sp macro="" textlink="">
      <xdr:nvSpPr>
        <xdr:cNvPr id="22" name="오른쪽 화살표 13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042211" y="447676"/>
          <a:ext cx="616013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용성</a:t>
          </a:r>
          <a:r>
            <a:rPr lang="en-US" altLang="ko-KR" sz="700"/>
            <a:t>7</a:t>
          </a:r>
          <a:r>
            <a:rPr lang="ko-KR" altLang="en-US" sz="700"/>
            <a:t>호</a:t>
          </a:r>
          <a:endParaRPr lang="en-US" altLang="ko-KR" sz="700"/>
        </a:p>
        <a:p>
          <a:pPr algn="ctr"/>
          <a:endParaRPr lang="ko-KR" altLang="en-US" sz="700"/>
        </a:p>
      </xdr:txBody>
    </xdr:sp>
    <xdr:clientData/>
  </xdr:twoCellAnchor>
  <xdr:twoCellAnchor>
    <xdr:from>
      <xdr:col>66</xdr:col>
      <xdr:colOff>104775</xdr:colOff>
      <xdr:row>2</xdr:row>
      <xdr:rowOff>19050</xdr:rowOff>
    </xdr:from>
    <xdr:to>
      <xdr:col>66</xdr:col>
      <xdr:colOff>552450</xdr:colOff>
      <xdr:row>2</xdr:row>
      <xdr:rowOff>276225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419975" y="438150"/>
          <a:ext cx="447675" cy="2571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aseline="0"/>
            <a:t>정비</a:t>
          </a:r>
          <a:endParaRPr lang="ko-KR" altLang="en-US" sz="7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630324</xdr:colOff>
      <xdr:row>3</xdr:row>
      <xdr:rowOff>11206</xdr:rowOff>
    </xdr:from>
    <xdr:to>
      <xdr:col>16</xdr:col>
      <xdr:colOff>2429032</xdr:colOff>
      <xdr:row>4</xdr:row>
      <xdr:rowOff>231366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6A52819-B27A-47E1-B57D-D0524227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6299" y="649381"/>
          <a:ext cx="3160783" cy="277310"/>
        </a:xfrm>
        <a:prstGeom prst="rect">
          <a:avLst/>
        </a:prstGeom>
      </xdr:spPr>
    </xdr:pic>
    <xdr:clientData/>
  </xdr:twoCellAnchor>
  <xdr:twoCellAnchor editAs="oneCell">
    <xdr:from>
      <xdr:col>15</xdr:col>
      <xdr:colOff>630324</xdr:colOff>
      <xdr:row>3</xdr:row>
      <xdr:rowOff>11206</xdr:rowOff>
    </xdr:from>
    <xdr:to>
      <xdr:col>16</xdr:col>
      <xdr:colOff>2429032</xdr:colOff>
      <xdr:row>4</xdr:row>
      <xdr:rowOff>231366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1289DB3-1F16-49B5-898E-295FFD18F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6299" y="649381"/>
          <a:ext cx="3160783" cy="277310"/>
        </a:xfrm>
        <a:prstGeom prst="rect">
          <a:avLst/>
        </a:prstGeom>
      </xdr:spPr>
    </xdr:pic>
    <xdr:clientData/>
  </xdr:twoCellAnchor>
  <xdr:twoCellAnchor editAs="oneCell">
    <xdr:from>
      <xdr:col>15</xdr:col>
      <xdr:colOff>630324</xdr:colOff>
      <xdr:row>3</xdr:row>
      <xdr:rowOff>11206</xdr:rowOff>
    </xdr:from>
    <xdr:to>
      <xdr:col>16</xdr:col>
      <xdr:colOff>2429032</xdr:colOff>
      <xdr:row>4</xdr:row>
      <xdr:rowOff>231366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31648EB-C69C-4B24-9605-489D8BD8E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6299" y="649381"/>
          <a:ext cx="3160783" cy="277310"/>
        </a:xfrm>
        <a:prstGeom prst="rect">
          <a:avLst/>
        </a:prstGeom>
      </xdr:spPr>
    </xdr:pic>
    <xdr:clientData/>
  </xdr:twoCellAnchor>
  <xdr:twoCellAnchor editAs="oneCell">
    <xdr:from>
      <xdr:col>15</xdr:col>
      <xdr:colOff>630324</xdr:colOff>
      <xdr:row>3</xdr:row>
      <xdr:rowOff>11206</xdr:rowOff>
    </xdr:from>
    <xdr:to>
      <xdr:col>16</xdr:col>
      <xdr:colOff>2429032</xdr:colOff>
      <xdr:row>4</xdr:row>
      <xdr:rowOff>231366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AC66D10-4460-4E41-8F2E-57DC0BA9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6299" y="649381"/>
          <a:ext cx="3160783" cy="277310"/>
        </a:xfrm>
        <a:prstGeom prst="rect">
          <a:avLst/>
        </a:prstGeom>
      </xdr:spPr>
    </xdr:pic>
    <xdr:clientData/>
  </xdr:twoCellAnchor>
  <xdr:twoCellAnchor editAs="oneCell">
    <xdr:from>
      <xdr:col>15</xdr:col>
      <xdr:colOff>630324</xdr:colOff>
      <xdr:row>3</xdr:row>
      <xdr:rowOff>11206</xdr:rowOff>
    </xdr:from>
    <xdr:to>
      <xdr:col>16</xdr:col>
      <xdr:colOff>2429032</xdr:colOff>
      <xdr:row>4</xdr:row>
      <xdr:rowOff>231366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D1CE578-29D6-4F30-92B7-423F237A5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6299" y="649381"/>
          <a:ext cx="3160783" cy="277310"/>
        </a:xfrm>
        <a:prstGeom prst="rect">
          <a:avLst/>
        </a:prstGeom>
      </xdr:spPr>
    </xdr:pic>
    <xdr:clientData/>
  </xdr:twoCellAnchor>
  <xdr:twoCellAnchor editAs="oneCell">
    <xdr:from>
      <xdr:col>15</xdr:col>
      <xdr:colOff>630324</xdr:colOff>
      <xdr:row>3</xdr:row>
      <xdr:rowOff>11206</xdr:rowOff>
    </xdr:from>
    <xdr:to>
      <xdr:col>16</xdr:col>
      <xdr:colOff>2429032</xdr:colOff>
      <xdr:row>4</xdr:row>
      <xdr:rowOff>231366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DAB7851-8821-4C4C-B354-DBAFBDB2E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6299" y="649381"/>
          <a:ext cx="3160783" cy="277310"/>
        </a:xfrm>
        <a:prstGeom prst="rect">
          <a:avLst/>
        </a:prstGeom>
      </xdr:spPr>
    </xdr:pic>
    <xdr:clientData/>
  </xdr:twoCellAnchor>
  <xdr:twoCellAnchor editAs="oneCell">
    <xdr:from>
      <xdr:col>15</xdr:col>
      <xdr:colOff>630324</xdr:colOff>
      <xdr:row>3</xdr:row>
      <xdr:rowOff>11206</xdr:rowOff>
    </xdr:from>
    <xdr:to>
      <xdr:col>16</xdr:col>
      <xdr:colOff>2429032</xdr:colOff>
      <xdr:row>4</xdr:row>
      <xdr:rowOff>231366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EB4E3C2-D21D-4277-BA2B-F0C0B5193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6299" y="649381"/>
          <a:ext cx="3160783" cy="277310"/>
        </a:xfrm>
        <a:prstGeom prst="rect">
          <a:avLst/>
        </a:prstGeom>
      </xdr:spPr>
    </xdr:pic>
    <xdr:clientData/>
  </xdr:twoCellAnchor>
  <xdr:twoCellAnchor editAs="oneCell">
    <xdr:from>
      <xdr:col>15</xdr:col>
      <xdr:colOff>630324</xdr:colOff>
      <xdr:row>3</xdr:row>
      <xdr:rowOff>11206</xdr:rowOff>
    </xdr:from>
    <xdr:to>
      <xdr:col>16</xdr:col>
      <xdr:colOff>2429032</xdr:colOff>
      <xdr:row>4</xdr:row>
      <xdr:rowOff>231366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8754016-712C-4DBB-9DAE-AF86CA29F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6299" y="649381"/>
          <a:ext cx="3160783" cy="2773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123825</xdr:colOff>
      <xdr:row>16</xdr:row>
      <xdr:rowOff>0</xdr:rowOff>
    </xdr:from>
    <xdr:to>
      <xdr:col>29</xdr:col>
      <xdr:colOff>685800</xdr:colOff>
      <xdr:row>18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B0CDBA9-20FB-4253-8FA2-1CE12E735D9F}"/>
            </a:ext>
          </a:extLst>
        </xdr:cNvPr>
        <xdr:cNvSpPr/>
      </xdr:nvSpPr>
      <xdr:spPr>
        <a:xfrm>
          <a:off x="1952625" y="3133725"/>
          <a:ext cx="0" cy="428625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6</a:t>
          </a:r>
          <a:r>
            <a:rPr lang="ko-KR" altLang="en-US" sz="800" b="1">
              <a:solidFill>
                <a:srgbClr val="0000FF"/>
              </a:solidFill>
            </a:rPr>
            <a:t>기반출 중복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접안스케줄 조정 필요</a:t>
          </a:r>
          <a:endParaRPr lang="en-US" altLang="ko-KR" sz="800" b="1">
            <a:solidFill>
              <a:srgbClr val="0000FF"/>
            </a:solidFill>
          </a:endParaRPr>
        </a:p>
      </xdr:txBody>
    </xdr:sp>
    <xdr:clientData/>
  </xdr:twoCellAnchor>
  <xdr:twoCellAnchor>
    <xdr:from>
      <xdr:col>9</xdr:col>
      <xdr:colOff>647699</xdr:colOff>
      <xdr:row>17</xdr:row>
      <xdr:rowOff>85725</xdr:rowOff>
    </xdr:from>
    <xdr:to>
      <xdr:col>16</xdr:col>
      <xdr:colOff>247650</xdr:colOff>
      <xdr:row>18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4B9F671-C784-4BE1-8B69-082CCD1FC24F}"/>
            </a:ext>
          </a:extLst>
        </xdr:cNvPr>
        <xdr:cNvSpPr/>
      </xdr:nvSpPr>
      <xdr:spPr>
        <a:xfrm>
          <a:off x="1952625" y="3429000"/>
          <a:ext cx="0" cy="190499"/>
        </a:xfrm>
        <a:prstGeom prst="rect">
          <a:avLst/>
        </a:prstGeom>
        <a:solidFill>
          <a:schemeClr val="accent6">
            <a:lumMod val="60000"/>
            <a:lumOff val="40000"/>
            <a:alpha val="36000"/>
          </a:schemeClr>
        </a:solidFill>
        <a:ln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0000FF"/>
              </a:solidFill>
            </a:rPr>
            <a:t>11/29, 12/6</a:t>
          </a:r>
          <a:r>
            <a:rPr lang="en-US" altLang="ko-KR" sz="1100" b="1" baseline="0">
              <a:solidFill>
                <a:srgbClr val="0000FF"/>
              </a:solidFill>
            </a:rPr>
            <a:t>   5</a:t>
          </a:r>
          <a:r>
            <a:rPr lang="ko-KR" altLang="en-US" sz="1100" b="1" baseline="0">
              <a:solidFill>
                <a:srgbClr val="0000FF"/>
              </a:solidFill>
            </a:rPr>
            <a:t>기 반출라인 정비 연기 요청 </a:t>
          </a:r>
          <a:endParaRPr lang="en-US" altLang="ko-K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30</xdr:col>
      <xdr:colOff>419100</xdr:colOff>
      <xdr:row>14</xdr:row>
      <xdr:rowOff>142875</xdr:rowOff>
    </xdr:from>
    <xdr:to>
      <xdr:col>31</xdr:col>
      <xdr:colOff>476250</xdr:colOff>
      <xdr:row>18</xdr:row>
      <xdr:rowOff>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4923621F-D3D8-41F2-B3B9-96AD755641B3}"/>
            </a:ext>
          </a:extLst>
        </xdr:cNvPr>
        <xdr:cNvSpPr/>
      </xdr:nvSpPr>
      <xdr:spPr>
        <a:xfrm>
          <a:off x="1952625" y="2857500"/>
          <a:ext cx="0" cy="695325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6</a:t>
          </a:r>
          <a:r>
            <a:rPr lang="ko-KR" altLang="en-US" sz="800" b="1">
              <a:solidFill>
                <a:srgbClr val="0000FF"/>
              </a:solidFill>
            </a:rPr>
            <a:t>기반출 중복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접안스케줄 조정 필요</a:t>
          </a:r>
          <a:endParaRPr lang="en-US" altLang="ko-KR" sz="800" b="1">
            <a:solidFill>
              <a:srgbClr val="0000FF"/>
            </a:solidFill>
          </a:endParaRPr>
        </a:p>
      </xdr:txBody>
    </xdr:sp>
    <xdr:clientData/>
  </xdr:twoCellAnchor>
  <xdr:twoCellAnchor>
    <xdr:from>
      <xdr:col>18</xdr:col>
      <xdr:colOff>657225</xdr:colOff>
      <xdr:row>11</xdr:row>
      <xdr:rowOff>152400</xdr:rowOff>
    </xdr:from>
    <xdr:to>
      <xdr:col>19</xdr:col>
      <xdr:colOff>228600</xdr:colOff>
      <xdr:row>13</xdr:row>
      <xdr:rowOff>19050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E01BB713-8B0B-46C3-BEE1-9778C7EB380C}"/>
            </a:ext>
          </a:extLst>
        </xdr:cNvPr>
        <xdr:cNvSpPr/>
      </xdr:nvSpPr>
      <xdr:spPr>
        <a:xfrm>
          <a:off x="1952625" y="2238375"/>
          <a:ext cx="0" cy="285750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9</xdr:col>
      <xdr:colOff>257175</xdr:colOff>
      <xdr:row>12</xdr:row>
      <xdr:rowOff>66675</xdr:rowOff>
    </xdr:from>
    <xdr:to>
      <xdr:col>9</xdr:col>
      <xdr:colOff>695325</xdr:colOff>
      <xdr:row>13</xdr:row>
      <xdr:rowOff>123825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D07CD212-412E-434B-9035-B0E1CD765193}"/>
            </a:ext>
          </a:extLst>
        </xdr:cNvPr>
        <xdr:cNvSpPr/>
      </xdr:nvSpPr>
      <xdr:spPr>
        <a:xfrm>
          <a:off x="1952625" y="2362200"/>
          <a:ext cx="0" cy="266700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16</xdr:col>
      <xdr:colOff>781049</xdr:colOff>
      <xdr:row>11</xdr:row>
      <xdr:rowOff>161926</xdr:rowOff>
    </xdr:from>
    <xdr:to>
      <xdr:col>17</xdr:col>
      <xdr:colOff>552450</xdr:colOff>
      <xdr:row>13</xdr:row>
      <xdr:rowOff>0</xdr:rowOff>
    </xdr:to>
    <xdr:sp macro="" textlink="">
      <xdr:nvSpPr>
        <xdr:cNvPr id="7" name="오른쪽 화살표 103">
          <a:extLst>
            <a:ext uri="{FF2B5EF4-FFF2-40B4-BE49-F238E27FC236}">
              <a16:creationId xmlns:a16="http://schemas.microsoft.com/office/drawing/2014/main" id="{5970FBA9-30C0-40E6-B8D6-32DF5B2ADA8A}"/>
            </a:ext>
          </a:extLst>
        </xdr:cNvPr>
        <xdr:cNvSpPr/>
      </xdr:nvSpPr>
      <xdr:spPr>
        <a:xfrm>
          <a:off x="1952625" y="22479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17</xdr:col>
      <xdr:colOff>266699</xdr:colOff>
      <xdr:row>12</xdr:row>
      <xdr:rowOff>180976</xdr:rowOff>
    </xdr:from>
    <xdr:to>
      <xdr:col>18</xdr:col>
      <xdr:colOff>38100</xdr:colOff>
      <xdr:row>14</xdr:row>
      <xdr:rowOff>19050</xdr:rowOff>
    </xdr:to>
    <xdr:sp macro="" textlink="">
      <xdr:nvSpPr>
        <xdr:cNvPr id="8" name="오른쪽 화살표 104">
          <a:extLst>
            <a:ext uri="{FF2B5EF4-FFF2-40B4-BE49-F238E27FC236}">
              <a16:creationId xmlns:a16="http://schemas.microsoft.com/office/drawing/2014/main" id="{E7BC6AA7-66CA-41EB-BFF1-F3A2008586DA}"/>
            </a:ext>
          </a:extLst>
        </xdr:cNvPr>
        <xdr:cNvSpPr/>
      </xdr:nvSpPr>
      <xdr:spPr>
        <a:xfrm>
          <a:off x="1952625" y="24765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18</xdr:col>
      <xdr:colOff>114299</xdr:colOff>
      <xdr:row>13</xdr:row>
      <xdr:rowOff>161926</xdr:rowOff>
    </xdr:from>
    <xdr:to>
      <xdr:col>18</xdr:col>
      <xdr:colOff>666750</xdr:colOff>
      <xdr:row>15</xdr:row>
      <xdr:rowOff>0</xdr:rowOff>
    </xdr:to>
    <xdr:sp macro="" textlink="">
      <xdr:nvSpPr>
        <xdr:cNvPr id="9" name="오른쪽 화살표 105">
          <a:extLst>
            <a:ext uri="{FF2B5EF4-FFF2-40B4-BE49-F238E27FC236}">
              <a16:creationId xmlns:a16="http://schemas.microsoft.com/office/drawing/2014/main" id="{50E4DD81-7D34-48B9-8C41-91ACBF4C1194}"/>
            </a:ext>
          </a:extLst>
        </xdr:cNvPr>
        <xdr:cNvSpPr/>
      </xdr:nvSpPr>
      <xdr:spPr>
        <a:xfrm>
          <a:off x="1952625" y="26670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17</xdr:col>
      <xdr:colOff>590549</xdr:colOff>
      <xdr:row>10</xdr:row>
      <xdr:rowOff>161926</xdr:rowOff>
    </xdr:from>
    <xdr:to>
      <xdr:col>18</xdr:col>
      <xdr:colOff>361950</xdr:colOff>
      <xdr:row>12</xdr:row>
      <xdr:rowOff>0</xdr:rowOff>
    </xdr:to>
    <xdr:sp macro="" textlink="">
      <xdr:nvSpPr>
        <xdr:cNvPr id="10" name="오른쪽 화살표 108">
          <a:extLst>
            <a:ext uri="{FF2B5EF4-FFF2-40B4-BE49-F238E27FC236}">
              <a16:creationId xmlns:a16="http://schemas.microsoft.com/office/drawing/2014/main" id="{8EDF78E9-D68D-40DD-B8B6-9C3077CCA242}"/>
            </a:ext>
          </a:extLst>
        </xdr:cNvPr>
        <xdr:cNvSpPr/>
      </xdr:nvSpPr>
      <xdr:spPr>
        <a:xfrm>
          <a:off x="1952625" y="203835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27</xdr:col>
      <xdr:colOff>704850</xdr:colOff>
      <xdr:row>11</xdr:row>
      <xdr:rowOff>28576</xdr:rowOff>
    </xdr:from>
    <xdr:to>
      <xdr:col>28</xdr:col>
      <xdr:colOff>447675</xdr:colOff>
      <xdr:row>12</xdr:row>
      <xdr:rowOff>76200</xdr:rowOff>
    </xdr:to>
    <xdr:sp macro="" textlink="">
      <xdr:nvSpPr>
        <xdr:cNvPr id="11" name="오른쪽 화살표 115">
          <a:extLst>
            <a:ext uri="{FF2B5EF4-FFF2-40B4-BE49-F238E27FC236}">
              <a16:creationId xmlns:a16="http://schemas.microsoft.com/office/drawing/2014/main" id="{8B6C77BF-E39B-448D-8691-438247EEFBD0}"/>
            </a:ext>
          </a:extLst>
        </xdr:cNvPr>
        <xdr:cNvSpPr/>
      </xdr:nvSpPr>
      <xdr:spPr>
        <a:xfrm>
          <a:off x="1952625" y="211455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45</xdr:col>
      <xdr:colOff>285750</xdr:colOff>
      <xdr:row>9</xdr:row>
      <xdr:rowOff>19051</xdr:rowOff>
    </xdr:from>
    <xdr:to>
      <xdr:col>46</xdr:col>
      <xdr:colOff>19050</xdr:colOff>
      <xdr:row>10</xdr:row>
      <xdr:rowOff>66675</xdr:rowOff>
    </xdr:to>
    <xdr:sp macro="" textlink="">
      <xdr:nvSpPr>
        <xdr:cNvPr id="12" name="오른쪽 화살표 131">
          <a:extLst>
            <a:ext uri="{FF2B5EF4-FFF2-40B4-BE49-F238E27FC236}">
              <a16:creationId xmlns:a16="http://schemas.microsoft.com/office/drawing/2014/main" id="{1AF2F02A-9307-4E7F-A822-214B4C969F2E}"/>
            </a:ext>
          </a:extLst>
        </xdr:cNvPr>
        <xdr:cNvSpPr/>
      </xdr:nvSpPr>
      <xdr:spPr>
        <a:xfrm>
          <a:off x="1952625" y="16859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57</xdr:col>
      <xdr:colOff>552450</xdr:colOff>
      <xdr:row>13</xdr:row>
      <xdr:rowOff>200025</xdr:rowOff>
    </xdr:from>
    <xdr:to>
      <xdr:col>57</xdr:col>
      <xdr:colOff>866775</xdr:colOff>
      <xdr:row>15</xdr:row>
      <xdr:rowOff>38100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43912A79-53C7-49D7-931A-D18723FDAECD}"/>
            </a:ext>
          </a:extLst>
        </xdr:cNvPr>
        <xdr:cNvSpPr/>
      </xdr:nvSpPr>
      <xdr:spPr>
        <a:xfrm>
          <a:off x="1952625" y="2705100"/>
          <a:ext cx="0" cy="2571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주간</a:t>
          </a:r>
          <a:endParaRPr lang="en-US" altLang="ko-KR" sz="500"/>
        </a:p>
        <a:p>
          <a:pPr algn="ctr"/>
          <a:r>
            <a:rPr lang="ko-KR" altLang="en-US" sz="500"/>
            <a:t>정비</a:t>
          </a:r>
        </a:p>
      </xdr:txBody>
    </xdr:sp>
    <xdr:clientData/>
  </xdr:twoCellAnchor>
  <xdr:twoCellAnchor>
    <xdr:from>
      <xdr:col>61</xdr:col>
      <xdr:colOff>165036</xdr:colOff>
      <xdr:row>13</xdr:row>
      <xdr:rowOff>123826</xdr:rowOff>
    </xdr:from>
    <xdr:to>
      <xdr:col>61</xdr:col>
      <xdr:colOff>714375</xdr:colOff>
      <xdr:row>14</xdr:row>
      <xdr:rowOff>152400</xdr:rowOff>
    </xdr:to>
    <xdr:sp macro="" textlink="">
      <xdr:nvSpPr>
        <xdr:cNvPr id="14" name="오른쪽 화살표 158">
          <a:extLst>
            <a:ext uri="{FF2B5EF4-FFF2-40B4-BE49-F238E27FC236}">
              <a16:creationId xmlns:a16="http://schemas.microsoft.com/office/drawing/2014/main" id="{29CD0EA9-D1C9-4762-AC87-506EABBA9B08}"/>
            </a:ext>
          </a:extLst>
        </xdr:cNvPr>
        <xdr:cNvSpPr/>
      </xdr:nvSpPr>
      <xdr:spPr>
        <a:xfrm>
          <a:off x="4460811" y="2628901"/>
          <a:ext cx="549339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한국</a:t>
          </a:r>
          <a:r>
            <a:rPr lang="en-US" altLang="ko-KR" sz="700"/>
            <a:t>22</a:t>
          </a:r>
          <a:r>
            <a:rPr lang="ko-KR" altLang="en-US" sz="700"/>
            <a:t>호</a:t>
          </a:r>
        </a:p>
      </xdr:txBody>
    </xdr:sp>
    <xdr:clientData/>
  </xdr:twoCellAnchor>
  <xdr:twoCellAnchor>
    <xdr:from>
      <xdr:col>61</xdr:col>
      <xdr:colOff>143742</xdr:colOff>
      <xdr:row>9</xdr:row>
      <xdr:rowOff>180976</xdr:rowOff>
    </xdr:from>
    <xdr:to>
      <xdr:col>61</xdr:col>
      <xdr:colOff>647700</xdr:colOff>
      <xdr:row>11</xdr:row>
      <xdr:rowOff>0</xdr:rowOff>
    </xdr:to>
    <xdr:sp macro="" textlink="">
      <xdr:nvSpPr>
        <xdr:cNvPr id="16" name="오른쪽 화살표 174">
          <a:extLst>
            <a:ext uri="{FF2B5EF4-FFF2-40B4-BE49-F238E27FC236}">
              <a16:creationId xmlns:a16="http://schemas.microsoft.com/office/drawing/2014/main" id="{9AE8A7A1-C72A-4199-8336-2AD6D61FD714}"/>
            </a:ext>
          </a:extLst>
        </xdr:cNvPr>
        <xdr:cNvSpPr/>
      </xdr:nvSpPr>
      <xdr:spPr>
        <a:xfrm>
          <a:off x="4439517" y="1847851"/>
          <a:ext cx="50395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현대오션킹</a:t>
          </a:r>
          <a:r>
            <a:rPr lang="en-US" altLang="ko-KR" sz="700"/>
            <a:t>1500</a:t>
          </a:r>
          <a:endParaRPr lang="ko-KR" altLang="en-US" sz="700"/>
        </a:p>
      </xdr:txBody>
    </xdr:sp>
    <xdr:clientData/>
  </xdr:twoCellAnchor>
  <xdr:twoCellAnchor>
    <xdr:from>
      <xdr:col>66</xdr:col>
      <xdr:colOff>681283</xdr:colOff>
      <xdr:row>12</xdr:row>
      <xdr:rowOff>38100</xdr:rowOff>
    </xdr:from>
    <xdr:to>
      <xdr:col>67</xdr:col>
      <xdr:colOff>337894</xdr:colOff>
      <xdr:row>13</xdr:row>
      <xdr:rowOff>85724</xdr:rowOff>
    </xdr:to>
    <xdr:sp macro="" textlink="">
      <xdr:nvSpPr>
        <xdr:cNvPr id="19" name="오른쪽 화살표 180">
          <a:extLst>
            <a:ext uri="{FF2B5EF4-FFF2-40B4-BE49-F238E27FC236}">
              <a16:creationId xmlns:a16="http://schemas.microsoft.com/office/drawing/2014/main" id="{262EA4B3-38F4-4D31-B01C-4044890C67D4}"/>
            </a:ext>
          </a:extLst>
        </xdr:cNvPr>
        <xdr:cNvSpPr/>
      </xdr:nvSpPr>
      <xdr:spPr>
        <a:xfrm>
          <a:off x="8901358" y="2333625"/>
          <a:ext cx="437661" cy="257174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JK</a:t>
          </a:r>
          <a:r>
            <a:rPr lang="ko-KR" altLang="en-US" sz="800">
              <a:solidFill>
                <a:schemeClr val="bg1"/>
              </a:solidFill>
            </a:rPr>
            <a:t>군장</a:t>
          </a:r>
        </a:p>
      </xdr:txBody>
    </xdr:sp>
    <xdr:clientData/>
  </xdr:twoCellAnchor>
  <xdr:twoCellAnchor>
    <xdr:from>
      <xdr:col>66</xdr:col>
      <xdr:colOff>702018</xdr:colOff>
      <xdr:row>13</xdr:row>
      <xdr:rowOff>133350</xdr:rowOff>
    </xdr:from>
    <xdr:to>
      <xdr:col>67</xdr:col>
      <xdr:colOff>279059</xdr:colOff>
      <xdr:row>14</xdr:row>
      <xdr:rowOff>180974</xdr:rowOff>
    </xdr:to>
    <xdr:sp macro="" textlink="">
      <xdr:nvSpPr>
        <xdr:cNvPr id="20" name="오른쪽 화살표 181">
          <a:extLst>
            <a:ext uri="{FF2B5EF4-FFF2-40B4-BE49-F238E27FC236}">
              <a16:creationId xmlns:a16="http://schemas.microsoft.com/office/drawing/2014/main" id="{3DCB840C-A7C0-44ED-8B1B-BFD4E6554464}"/>
            </a:ext>
          </a:extLst>
        </xdr:cNvPr>
        <xdr:cNvSpPr/>
      </xdr:nvSpPr>
      <xdr:spPr>
        <a:xfrm>
          <a:off x="8922093" y="2638425"/>
          <a:ext cx="358091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JK</a:t>
          </a:r>
          <a:r>
            <a:rPr lang="ko-KR" altLang="en-US" sz="800">
              <a:solidFill>
                <a:schemeClr val="bg1"/>
              </a:solidFill>
            </a:rPr>
            <a:t>군장</a:t>
          </a:r>
        </a:p>
      </xdr:txBody>
    </xdr:sp>
    <xdr:clientData/>
  </xdr:twoCellAnchor>
  <xdr:twoCellAnchor>
    <xdr:from>
      <xdr:col>66</xdr:col>
      <xdr:colOff>606753</xdr:colOff>
      <xdr:row>9</xdr:row>
      <xdr:rowOff>123825</xdr:rowOff>
    </xdr:from>
    <xdr:to>
      <xdr:col>67</xdr:col>
      <xdr:colOff>355273</xdr:colOff>
      <xdr:row>10</xdr:row>
      <xdr:rowOff>171449</xdr:rowOff>
    </xdr:to>
    <xdr:sp macro="" textlink="">
      <xdr:nvSpPr>
        <xdr:cNvPr id="21" name="오른쪽 화살표 183">
          <a:extLst>
            <a:ext uri="{FF2B5EF4-FFF2-40B4-BE49-F238E27FC236}">
              <a16:creationId xmlns:a16="http://schemas.microsoft.com/office/drawing/2014/main" id="{313B9E42-9173-4C27-B283-9B2E0C22A40A}"/>
            </a:ext>
          </a:extLst>
        </xdr:cNvPr>
        <xdr:cNvSpPr/>
      </xdr:nvSpPr>
      <xdr:spPr>
        <a:xfrm>
          <a:off x="8826828" y="1790700"/>
          <a:ext cx="529570" cy="257174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JK</a:t>
          </a:r>
          <a:r>
            <a:rPr lang="ko-KR" altLang="en-US" sz="800">
              <a:solidFill>
                <a:schemeClr val="bg1"/>
              </a:solidFill>
            </a:rPr>
            <a:t>군장</a:t>
          </a:r>
        </a:p>
      </xdr:txBody>
    </xdr:sp>
    <xdr:clientData/>
  </xdr:twoCellAnchor>
  <xdr:twoCellAnchor>
    <xdr:from>
      <xdr:col>60</xdr:col>
      <xdr:colOff>610467</xdr:colOff>
      <xdr:row>2</xdr:row>
      <xdr:rowOff>28575</xdr:rowOff>
    </xdr:from>
    <xdr:to>
      <xdr:col>61</xdr:col>
      <xdr:colOff>333375</xdr:colOff>
      <xdr:row>2</xdr:row>
      <xdr:rowOff>257175</xdr:rowOff>
    </xdr:to>
    <xdr:sp macro="" textlink="">
      <xdr:nvSpPr>
        <xdr:cNvPr id="24" name="오른쪽 화살표 141">
          <a:extLst>
            <a:ext uri="{FF2B5EF4-FFF2-40B4-BE49-F238E27FC236}">
              <a16:creationId xmlns:a16="http://schemas.microsoft.com/office/drawing/2014/main" id="{50702547-2AB0-40C7-8CD3-F4436EA25676}"/>
            </a:ext>
          </a:extLst>
        </xdr:cNvPr>
        <xdr:cNvSpPr/>
      </xdr:nvSpPr>
      <xdr:spPr>
        <a:xfrm>
          <a:off x="4125192" y="342900"/>
          <a:ext cx="503958" cy="228600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재원스텔라</a:t>
          </a:r>
          <a:endParaRPr lang="en-US" altLang="ko-KR" sz="700"/>
        </a:p>
      </xdr:txBody>
    </xdr:sp>
    <xdr:clientData/>
  </xdr:twoCellAnchor>
  <xdr:twoCellAnchor>
    <xdr:from>
      <xdr:col>3</xdr:col>
      <xdr:colOff>0</xdr:colOff>
      <xdr:row>2</xdr:row>
      <xdr:rowOff>38101</xdr:rowOff>
    </xdr:from>
    <xdr:to>
      <xdr:col>42</xdr:col>
      <xdr:colOff>295275</xdr:colOff>
      <xdr:row>4</xdr:row>
      <xdr:rowOff>9525</xdr:rowOff>
    </xdr:to>
    <xdr:sp macro="" textlink="">
      <xdr:nvSpPr>
        <xdr:cNvPr id="25" name="오른쪽 화살표 80">
          <a:extLst>
            <a:ext uri="{FF2B5EF4-FFF2-40B4-BE49-F238E27FC236}">
              <a16:creationId xmlns:a16="http://schemas.microsoft.com/office/drawing/2014/main" id="{E502AB1F-A62B-4C83-B39C-529E05FF3D86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수출슬라그</a:t>
          </a:r>
        </a:p>
      </xdr:txBody>
    </xdr:sp>
    <xdr:clientData/>
  </xdr:twoCellAnchor>
  <xdr:twoCellAnchor>
    <xdr:from>
      <xdr:col>9</xdr:col>
      <xdr:colOff>0</xdr:colOff>
      <xdr:row>4</xdr:row>
      <xdr:rowOff>0</xdr:rowOff>
    </xdr:from>
    <xdr:to>
      <xdr:col>9</xdr:col>
      <xdr:colOff>342900</xdr:colOff>
      <xdr:row>4</xdr:row>
      <xdr:rowOff>1</xdr:rowOff>
    </xdr:to>
    <xdr:sp macro="" textlink="">
      <xdr:nvSpPr>
        <xdr:cNvPr id="26" name="오른쪽 화살표 73">
          <a:extLst>
            <a:ext uri="{FF2B5EF4-FFF2-40B4-BE49-F238E27FC236}">
              <a16:creationId xmlns:a16="http://schemas.microsoft.com/office/drawing/2014/main" id="{F76F8370-A692-4D9E-ACDA-E9D61AA0CA56}"/>
            </a:ext>
          </a:extLst>
        </xdr:cNvPr>
        <xdr:cNvSpPr/>
      </xdr:nvSpPr>
      <xdr:spPr>
        <a:xfrm>
          <a:off x="1952625" y="600075"/>
          <a:ext cx="0" cy="1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19</xdr:col>
      <xdr:colOff>752475</xdr:colOff>
      <xdr:row>6</xdr:row>
      <xdr:rowOff>19051</xdr:rowOff>
    </xdr:from>
    <xdr:to>
      <xdr:col>20</xdr:col>
      <xdr:colOff>276225</xdr:colOff>
      <xdr:row>6</xdr:row>
      <xdr:rowOff>276225</xdr:rowOff>
    </xdr:to>
    <xdr:sp macro="" textlink="">
      <xdr:nvSpPr>
        <xdr:cNvPr id="27" name="오른쪽 화살표 74">
          <a:extLst>
            <a:ext uri="{FF2B5EF4-FFF2-40B4-BE49-F238E27FC236}">
              <a16:creationId xmlns:a16="http://schemas.microsoft.com/office/drawing/2014/main" id="{FCDD4353-4140-43F9-8A58-DF6CB634DE82}"/>
            </a:ext>
          </a:extLst>
        </xdr:cNvPr>
        <xdr:cNvSpPr/>
      </xdr:nvSpPr>
      <xdr:spPr>
        <a:xfrm>
          <a:off x="1952625" y="11906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/>
            <a:t>SOC</a:t>
          </a:r>
          <a:r>
            <a:rPr lang="ko-KR" altLang="en-US" sz="700"/>
            <a:t>ㅜ</a:t>
          </a:r>
        </a:p>
      </xdr:txBody>
    </xdr:sp>
    <xdr:clientData/>
  </xdr:twoCellAnchor>
  <xdr:twoCellAnchor>
    <xdr:from>
      <xdr:col>11</xdr:col>
      <xdr:colOff>581025</xdr:colOff>
      <xdr:row>2</xdr:row>
      <xdr:rowOff>19050</xdr:rowOff>
    </xdr:from>
    <xdr:to>
      <xdr:col>13</xdr:col>
      <xdr:colOff>314325</xdr:colOff>
      <xdr:row>4</xdr:row>
      <xdr:rowOff>19049</xdr:rowOff>
    </xdr:to>
    <xdr:sp macro="" textlink="">
      <xdr:nvSpPr>
        <xdr:cNvPr id="28" name="오른쪽 화살표 75">
          <a:extLst>
            <a:ext uri="{FF2B5EF4-FFF2-40B4-BE49-F238E27FC236}">
              <a16:creationId xmlns:a16="http://schemas.microsoft.com/office/drawing/2014/main" id="{56CC11BC-CAC8-4190-AE8B-6CFB6FF1C33E}"/>
            </a:ext>
          </a:extLst>
        </xdr:cNvPr>
        <xdr:cNvSpPr/>
      </xdr:nvSpPr>
      <xdr:spPr>
        <a:xfrm>
          <a:off x="1952625" y="333375"/>
          <a:ext cx="0" cy="285749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수출슬라그</a:t>
          </a:r>
        </a:p>
      </xdr:txBody>
    </xdr:sp>
    <xdr:clientData/>
  </xdr:twoCellAnchor>
  <xdr:twoCellAnchor>
    <xdr:from>
      <xdr:col>14</xdr:col>
      <xdr:colOff>371473</xdr:colOff>
      <xdr:row>5</xdr:row>
      <xdr:rowOff>28575</xdr:rowOff>
    </xdr:from>
    <xdr:to>
      <xdr:col>15</xdr:col>
      <xdr:colOff>247650</xdr:colOff>
      <xdr:row>5</xdr:row>
      <xdr:rowOff>285749</xdr:rowOff>
    </xdr:to>
    <xdr:sp macro="" textlink="">
      <xdr:nvSpPr>
        <xdr:cNvPr id="29" name="오른쪽 화살표 77">
          <a:extLst>
            <a:ext uri="{FF2B5EF4-FFF2-40B4-BE49-F238E27FC236}">
              <a16:creationId xmlns:a16="http://schemas.microsoft.com/office/drawing/2014/main" id="{10BF8744-408B-4630-895E-35EB5CF5B07A}"/>
            </a:ext>
          </a:extLst>
        </xdr:cNvPr>
        <xdr:cNvSpPr/>
      </xdr:nvSpPr>
      <xdr:spPr>
        <a:xfrm>
          <a:off x="1952625" y="914400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33</xdr:col>
      <xdr:colOff>28575</xdr:colOff>
      <xdr:row>5</xdr:row>
      <xdr:rowOff>9525</xdr:rowOff>
    </xdr:from>
    <xdr:to>
      <xdr:col>33</xdr:col>
      <xdr:colOff>447675</xdr:colOff>
      <xdr:row>5</xdr:row>
      <xdr:rowOff>266699</xdr:rowOff>
    </xdr:to>
    <xdr:sp macro="" textlink="">
      <xdr:nvSpPr>
        <xdr:cNvPr id="30" name="오른쪽 화살표 78">
          <a:extLst>
            <a:ext uri="{FF2B5EF4-FFF2-40B4-BE49-F238E27FC236}">
              <a16:creationId xmlns:a16="http://schemas.microsoft.com/office/drawing/2014/main" id="{4ABC51B0-6E46-4A8E-93E8-7948A96C9708}"/>
            </a:ext>
          </a:extLst>
        </xdr:cNvPr>
        <xdr:cNvSpPr/>
      </xdr:nvSpPr>
      <xdr:spPr>
        <a:xfrm>
          <a:off x="1952625" y="895350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22</xdr:col>
      <xdr:colOff>666750</xdr:colOff>
      <xdr:row>6</xdr:row>
      <xdr:rowOff>19051</xdr:rowOff>
    </xdr:from>
    <xdr:to>
      <xdr:col>23</xdr:col>
      <xdr:colOff>466726</xdr:colOff>
      <xdr:row>6</xdr:row>
      <xdr:rowOff>276225</xdr:rowOff>
    </xdr:to>
    <xdr:sp macro="" textlink="">
      <xdr:nvSpPr>
        <xdr:cNvPr id="31" name="오른쪽 화살표 79">
          <a:extLst>
            <a:ext uri="{FF2B5EF4-FFF2-40B4-BE49-F238E27FC236}">
              <a16:creationId xmlns:a16="http://schemas.microsoft.com/office/drawing/2014/main" id="{6E1A6323-55F0-4847-ACB7-76C30D01B6EE}"/>
            </a:ext>
          </a:extLst>
        </xdr:cNvPr>
        <xdr:cNvSpPr/>
      </xdr:nvSpPr>
      <xdr:spPr>
        <a:xfrm>
          <a:off x="1952625" y="11906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600"/>
            <a:t>CRYSTAL WAVE</a:t>
          </a:r>
          <a:endParaRPr lang="ko-KR" altLang="en-US" sz="600"/>
        </a:p>
      </xdr:txBody>
    </xdr:sp>
    <xdr:clientData/>
  </xdr:twoCellAnchor>
  <xdr:twoCellAnchor>
    <xdr:from>
      <xdr:col>23</xdr:col>
      <xdr:colOff>504825</xdr:colOff>
      <xdr:row>5</xdr:row>
      <xdr:rowOff>19050</xdr:rowOff>
    </xdr:from>
    <xdr:to>
      <xdr:col>24</xdr:col>
      <xdr:colOff>76200</xdr:colOff>
      <xdr:row>5</xdr:row>
      <xdr:rowOff>276224</xdr:rowOff>
    </xdr:to>
    <xdr:sp macro="" textlink="">
      <xdr:nvSpPr>
        <xdr:cNvPr id="32" name="오른쪽 화살표 81">
          <a:extLst>
            <a:ext uri="{FF2B5EF4-FFF2-40B4-BE49-F238E27FC236}">
              <a16:creationId xmlns:a16="http://schemas.microsoft.com/office/drawing/2014/main" id="{216A5EA7-34A6-4B20-8458-04E8F9AE6218}"/>
            </a:ext>
          </a:extLst>
        </xdr:cNvPr>
        <xdr:cNvSpPr/>
      </xdr:nvSpPr>
      <xdr:spPr>
        <a:xfrm>
          <a:off x="1952625" y="904875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16</xdr:col>
      <xdr:colOff>95248</xdr:colOff>
      <xdr:row>2</xdr:row>
      <xdr:rowOff>19051</xdr:rowOff>
    </xdr:from>
    <xdr:to>
      <xdr:col>18</xdr:col>
      <xdr:colOff>352425</xdr:colOff>
      <xdr:row>2</xdr:row>
      <xdr:rowOff>266700</xdr:rowOff>
    </xdr:to>
    <xdr:sp macro="" textlink="">
      <xdr:nvSpPr>
        <xdr:cNvPr id="33" name="오른쪽 화살표 82">
          <a:extLst>
            <a:ext uri="{FF2B5EF4-FFF2-40B4-BE49-F238E27FC236}">
              <a16:creationId xmlns:a16="http://schemas.microsoft.com/office/drawing/2014/main" id="{C281229B-3C0E-4DF6-8F40-3DF7674CBBF6}"/>
            </a:ext>
          </a:extLst>
        </xdr:cNvPr>
        <xdr:cNvSpPr/>
      </xdr:nvSpPr>
      <xdr:spPr>
        <a:xfrm>
          <a:off x="1952625" y="333376"/>
          <a:ext cx="0" cy="247649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PVT</a:t>
          </a:r>
          <a:r>
            <a:rPr lang="en-US" altLang="ko-KR" sz="800" baseline="0">
              <a:solidFill>
                <a:schemeClr val="bg1"/>
              </a:solidFill>
            </a:rPr>
            <a:t> HN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238124</xdr:colOff>
      <xdr:row>2</xdr:row>
      <xdr:rowOff>28576</xdr:rowOff>
    </xdr:from>
    <xdr:to>
      <xdr:col>9</xdr:col>
      <xdr:colOff>9525</xdr:colOff>
      <xdr:row>3</xdr:row>
      <xdr:rowOff>0</xdr:rowOff>
    </xdr:to>
    <xdr:sp macro="" textlink="">
      <xdr:nvSpPr>
        <xdr:cNvPr id="34" name="오른쪽 화살표 83">
          <a:extLst>
            <a:ext uri="{FF2B5EF4-FFF2-40B4-BE49-F238E27FC236}">
              <a16:creationId xmlns:a16="http://schemas.microsoft.com/office/drawing/2014/main" id="{32CB245A-55B5-4794-B414-209029E1079E}"/>
            </a:ext>
          </a:extLst>
        </xdr:cNvPr>
        <xdr:cNvSpPr/>
      </xdr:nvSpPr>
      <xdr:spPr>
        <a:xfrm>
          <a:off x="1952625" y="3429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13</xdr:col>
      <xdr:colOff>333375</xdr:colOff>
      <xdr:row>4</xdr:row>
      <xdr:rowOff>38101</xdr:rowOff>
    </xdr:from>
    <xdr:to>
      <xdr:col>13</xdr:col>
      <xdr:colOff>714375</xdr:colOff>
      <xdr:row>4</xdr:row>
      <xdr:rowOff>276225</xdr:rowOff>
    </xdr:to>
    <xdr:sp macro="" textlink="">
      <xdr:nvSpPr>
        <xdr:cNvPr id="35" name="오른쪽 화살표 84">
          <a:extLst>
            <a:ext uri="{FF2B5EF4-FFF2-40B4-BE49-F238E27FC236}">
              <a16:creationId xmlns:a16="http://schemas.microsoft.com/office/drawing/2014/main" id="{E1249828-FCD9-4B61-9E48-4F36C19206AC}"/>
            </a:ext>
          </a:extLst>
        </xdr:cNvPr>
        <xdr:cNvSpPr/>
      </xdr:nvSpPr>
      <xdr:spPr>
        <a:xfrm>
          <a:off x="1952625" y="638176"/>
          <a:ext cx="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코렉스수</a:t>
          </a:r>
        </a:p>
      </xdr:txBody>
    </xdr:sp>
    <xdr:clientData/>
  </xdr:twoCellAnchor>
  <xdr:twoCellAnchor>
    <xdr:from>
      <xdr:col>10</xdr:col>
      <xdr:colOff>800101</xdr:colOff>
      <xdr:row>5</xdr:row>
      <xdr:rowOff>28576</xdr:rowOff>
    </xdr:from>
    <xdr:to>
      <xdr:col>11</xdr:col>
      <xdr:colOff>447676</xdr:colOff>
      <xdr:row>6</xdr:row>
      <xdr:rowOff>0</xdr:rowOff>
    </xdr:to>
    <xdr:sp macro="" textlink="">
      <xdr:nvSpPr>
        <xdr:cNvPr id="36" name="오른쪽 화살표 85">
          <a:extLst>
            <a:ext uri="{FF2B5EF4-FFF2-40B4-BE49-F238E27FC236}">
              <a16:creationId xmlns:a16="http://schemas.microsoft.com/office/drawing/2014/main" id="{DEC6B278-E802-4A87-B92F-0A13515842DF}"/>
            </a:ext>
          </a:extLst>
        </xdr:cNvPr>
        <xdr:cNvSpPr/>
      </xdr:nvSpPr>
      <xdr:spPr>
        <a:xfrm>
          <a:off x="1952625" y="9144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12</xdr:col>
      <xdr:colOff>190500</xdr:colOff>
      <xdr:row>2</xdr:row>
      <xdr:rowOff>9525</xdr:rowOff>
    </xdr:from>
    <xdr:to>
      <xdr:col>12</xdr:col>
      <xdr:colOff>542925</xdr:colOff>
      <xdr:row>2</xdr:row>
      <xdr:rowOff>276225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C0F109E3-C89B-41B8-AFBA-684BE2AC9715}"/>
            </a:ext>
          </a:extLst>
        </xdr:cNvPr>
        <xdr:cNvSpPr/>
      </xdr:nvSpPr>
      <xdr:spPr>
        <a:xfrm>
          <a:off x="1952625" y="323850"/>
          <a:ext cx="0" cy="266700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14</xdr:col>
      <xdr:colOff>247650</xdr:colOff>
      <xdr:row>2</xdr:row>
      <xdr:rowOff>19050</xdr:rowOff>
    </xdr:from>
    <xdr:to>
      <xdr:col>14</xdr:col>
      <xdr:colOff>600075</xdr:colOff>
      <xdr:row>2</xdr:row>
      <xdr:rowOff>266700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85D2D21D-4DDA-4D08-B58F-AFFE75CAD441}"/>
            </a:ext>
          </a:extLst>
        </xdr:cNvPr>
        <xdr:cNvSpPr/>
      </xdr:nvSpPr>
      <xdr:spPr>
        <a:xfrm>
          <a:off x="1952625" y="333375"/>
          <a:ext cx="0" cy="247650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23</xdr:col>
      <xdr:colOff>276225</xdr:colOff>
      <xdr:row>2</xdr:row>
      <xdr:rowOff>19050</xdr:rowOff>
    </xdr:from>
    <xdr:to>
      <xdr:col>24</xdr:col>
      <xdr:colOff>571500</xdr:colOff>
      <xdr:row>2</xdr:row>
      <xdr:rowOff>276225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66A2B634-9A72-422F-B25D-1E2C5693E4EF}"/>
            </a:ext>
          </a:extLst>
        </xdr:cNvPr>
        <xdr:cNvSpPr/>
      </xdr:nvSpPr>
      <xdr:spPr>
        <a:xfrm>
          <a:off x="1952625" y="333375"/>
          <a:ext cx="0" cy="257175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5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20</xdr:col>
      <xdr:colOff>152400</xdr:colOff>
      <xdr:row>4</xdr:row>
      <xdr:rowOff>28576</xdr:rowOff>
    </xdr:from>
    <xdr:to>
      <xdr:col>20</xdr:col>
      <xdr:colOff>600075</xdr:colOff>
      <xdr:row>5</xdr:row>
      <xdr:rowOff>0</xdr:rowOff>
    </xdr:to>
    <xdr:sp macro="" textlink="">
      <xdr:nvSpPr>
        <xdr:cNvPr id="40" name="오른쪽 화살표 91">
          <a:extLst>
            <a:ext uri="{FF2B5EF4-FFF2-40B4-BE49-F238E27FC236}">
              <a16:creationId xmlns:a16="http://schemas.microsoft.com/office/drawing/2014/main" id="{49F96FE8-8879-464A-9D73-6D3B86BF7180}"/>
            </a:ext>
          </a:extLst>
        </xdr:cNvPr>
        <xdr:cNvSpPr/>
      </xdr:nvSpPr>
      <xdr:spPr>
        <a:xfrm>
          <a:off x="1952625" y="62865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24</xdr:col>
      <xdr:colOff>619126</xdr:colOff>
      <xdr:row>4</xdr:row>
      <xdr:rowOff>28576</xdr:rowOff>
    </xdr:from>
    <xdr:to>
      <xdr:col>25</xdr:col>
      <xdr:colOff>276225</xdr:colOff>
      <xdr:row>5</xdr:row>
      <xdr:rowOff>0</xdr:rowOff>
    </xdr:to>
    <xdr:sp macro="" textlink="">
      <xdr:nvSpPr>
        <xdr:cNvPr id="41" name="오른쪽 화살표 92">
          <a:extLst>
            <a:ext uri="{FF2B5EF4-FFF2-40B4-BE49-F238E27FC236}">
              <a16:creationId xmlns:a16="http://schemas.microsoft.com/office/drawing/2014/main" id="{4940472A-8F9D-4779-A5EC-4B09C5071662}"/>
            </a:ext>
          </a:extLst>
        </xdr:cNvPr>
        <xdr:cNvSpPr/>
      </xdr:nvSpPr>
      <xdr:spPr>
        <a:xfrm>
          <a:off x="1952625" y="62865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27</xdr:col>
      <xdr:colOff>238125</xdr:colOff>
      <xdr:row>4</xdr:row>
      <xdr:rowOff>19051</xdr:rowOff>
    </xdr:from>
    <xdr:to>
      <xdr:col>27</xdr:col>
      <xdr:colOff>742950</xdr:colOff>
      <xdr:row>4</xdr:row>
      <xdr:rowOff>276225</xdr:rowOff>
    </xdr:to>
    <xdr:sp macro="" textlink="">
      <xdr:nvSpPr>
        <xdr:cNvPr id="42" name="오른쪽 화살표 93">
          <a:extLst>
            <a:ext uri="{FF2B5EF4-FFF2-40B4-BE49-F238E27FC236}">
              <a16:creationId xmlns:a16="http://schemas.microsoft.com/office/drawing/2014/main" id="{F0F90C0D-40CD-4D7E-B019-D49F02028D36}"/>
            </a:ext>
          </a:extLst>
        </xdr:cNvPr>
        <xdr:cNvSpPr/>
      </xdr:nvSpPr>
      <xdr:spPr>
        <a:xfrm>
          <a:off x="1952625" y="6191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9</xdr:col>
      <xdr:colOff>152400</xdr:colOff>
      <xdr:row>2</xdr:row>
      <xdr:rowOff>38101</xdr:rowOff>
    </xdr:from>
    <xdr:to>
      <xdr:col>9</xdr:col>
      <xdr:colOff>638176</xdr:colOff>
      <xdr:row>4</xdr:row>
      <xdr:rowOff>9525</xdr:rowOff>
    </xdr:to>
    <xdr:sp macro="" textlink="">
      <xdr:nvSpPr>
        <xdr:cNvPr id="43" name="오른쪽 화살표 94">
          <a:extLst>
            <a:ext uri="{FF2B5EF4-FFF2-40B4-BE49-F238E27FC236}">
              <a16:creationId xmlns:a16="http://schemas.microsoft.com/office/drawing/2014/main" id="{43BC02D3-0E09-4A06-B55D-A0438ECC50DD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13</xdr:col>
      <xdr:colOff>762001</xdr:colOff>
      <xdr:row>4</xdr:row>
      <xdr:rowOff>38101</xdr:rowOff>
    </xdr:from>
    <xdr:to>
      <xdr:col>14</xdr:col>
      <xdr:colOff>371475</xdr:colOff>
      <xdr:row>4</xdr:row>
      <xdr:rowOff>276225</xdr:rowOff>
    </xdr:to>
    <xdr:sp macro="" textlink="">
      <xdr:nvSpPr>
        <xdr:cNvPr id="44" name="오른쪽 화살표 96">
          <a:extLst>
            <a:ext uri="{FF2B5EF4-FFF2-40B4-BE49-F238E27FC236}">
              <a16:creationId xmlns:a16="http://schemas.microsoft.com/office/drawing/2014/main" id="{671DB489-5A58-4030-BEEF-72C7F15DE0E3}"/>
            </a:ext>
          </a:extLst>
        </xdr:cNvPr>
        <xdr:cNvSpPr/>
      </xdr:nvSpPr>
      <xdr:spPr>
        <a:xfrm>
          <a:off x="1952625" y="638176"/>
          <a:ext cx="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29</xdr:col>
      <xdr:colOff>723900</xdr:colOff>
      <xdr:row>6</xdr:row>
      <xdr:rowOff>19051</xdr:rowOff>
    </xdr:from>
    <xdr:to>
      <xdr:col>30</xdr:col>
      <xdr:colOff>771525</xdr:colOff>
      <xdr:row>6</xdr:row>
      <xdr:rowOff>276225</xdr:rowOff>
    </xdr:to>
    <xdr:sp macro="" textlink="">
      <xdr:nvSpPr>
        <xdr:cNvPr id="45" name="오른쪽 화살표 97">
          <a:extLst>
            <a:ext uri="{FF2B5EF4-FFF2-40B4-BE49-F238E27FC236}">
              <a16:creationId xmlns:a16="http://schemas.microsoft.com/office/drawing/2014/main" id="{98A68A75-44DA-4A89-A394-F54713E18EAD}"/>
            </a:ext>
          </a:extLst>
        </xdr:cNvPr>
        <xdr:cNvSpPr/>
      </xdr:nvSpPr>
      <xdr:spPr>
        <a:xfrm>
          <a:off x="1952625" y="11906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Fairy</a:t>
          </a:r>
          <a:r>
            <a:rPr lang="en-US" altLang="ko-KR" sz="900" baseline="0"/>
            <a:t> island</a:t>
          </a:r>
          <a:r>
            <a:rPr lang="ko-KR" altLang="en-US" sz="900" baseline="0"/>
            <a:t>ㅆㅁ</a:t>
          </a:r>
          <a:endParaRPr lang="ko-KR" altLang="en-US" sz="900"/>
        </a:p>
      </xdr:txBody>
    </xdr:sp>
    <xdr:clientData/>
  </xdr:twoCellAnchor>
  <xdr:twoCellAnchor>
    <xdr:from>
      <xdr:col>8</xdr:col>
      <xdr:colOff>209550</xdr:colOff>
      <xdr:row>4</xdr:row>
      <xdr:rowOff>19049</xdr:rowOff>
    </xdr:from>
    <xdr:to>
      <xdr:col>9</xdr:col>
      <xdr:colOff>571500</xdr:colOff>
      <xdr:row>6</xdr:row>
      <xdr:rowOff>257174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0A16B617-06F5-48DB-84D6-06712FA7526D}"/>
            </a:ext>
          </a:extLst>
        </xdr:cNvPr>
        <xdr:cNvSpPr/>
      </xdr:nvSpPr>
      <xdr:spPr>
        <a:xfrm>
          <a:off x="1952625" y="619124"/>
          <a:ext cx="0" cy="809625"/>
        </a:xfrm>
        <a:prstGeom prst="rect">
          <a:avLst/>
        </a:prstGeom>
        <a:solidFill>
          <a:srgbClr val="92D050">
            <a:alpha val="36000"/>
          </a:srgbClr>
        </a:solidFill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rgbClr val="0000FF"/>
              </a:solidFill>
            </a:rPr>
            <a:t>6</a:t>
          </a:r>
          <a:r>
            <a:rPr lang="ko-KR" altLang="en-US" sz="800" b="1">
              <a:solidFill>
                <a:srgbClr val="0000FF"/>
              </a:solidFill>
            </a:rPr>
            <a:t>기</a:t>
          </a:r>
          <a:endParaRPr lang="en-US" altLang="ko-KR" sz="800" b="1">
            <a:solidFill>
              <a:srgbClr val="0000FF"/>
            </a:solidFill>
          </a:endParaRPr>
        </a:p>
        <a:p>
          <a:pPr algn="ctr"/>
          <a:r>
            <a:rPr lang="ko-KR" altLang="en-US" sz="800" b="1">
              <a:solidFill>
                <a:srgbClr val="0000FF"/>
              </a:solidFill>
            </a:rPr>
            <a:t>정비</a:t>
          </a:r>
        </a:p>
      </xdr:txBody>
    </xdr:sp>
    <xdr:clientData/>
  </xdr:twoCellAnchor>
  <xdr:twoCellAnchor>
    <xdr:from>
      <xdr:col>11</xdr:col>
      <xdr:colOff>38099</xdr:colOff>
      <xdr:row>2</xdr:row>
      <xdr:rowOff>28576</xdr:rowOff>
    </xdr:from>
    <xdr:to>
      <xdr:col>11</xdr:col>
      <xdr:colOff>590550</xdr:colOff>
      <xdr:row>3</xdr:row>
      <xdr:rowOff>0</xdr:rowOff>
    </xdr:to>
    <xdr:sp macro="" textlink="">
      <xdr:nvSpPr>
        <xdr:cNvPr id="47" name="오른쪽 화살표 100">
          <a:extLst>
            <a:ext uri="{FF2B5EF4-FFF2-40B4-BE49-F238E27FC236}">
              <a16:creationId xmlns:a16="http://schemas.microsoft.com/office/drawing/2014/main" id="{F558F883-0966-4126-AD57-95301FCF4067}"/>
            </a:ext>
          </a:extLst>
        </xdr:cNvPr>
        <xdr:cNvSpPr/>
      </xdr:nvSpPr>
      <xdr:spPr>
        <a:xfrm>
          <a:off x="1952625" y="3429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슬라그</a:t>
          </a:r>
        </a:p>
      </xdr:txBody>
    </xdr:sp>
    <xdr:clientData/>
  </xdr:twoCellAnchor>
  <xdr:twoCellAnchor>
    <xdr:from>
      <xdr:col>14</xdr:col>
      <xdr:colOff>19049</xdr:colOff>
      <xdr:row>2</xdr:row>
      <xdr:rowOff>38101</xdr:rowOff>
    </xdr:from>
    <xdr:to>
      <xdr:col>14</xdr:col>
      <xdr:colOff>742950</xdr:colOff>
      <xdr:row>4</xdr:row>
      <xdr:rowOff>9525</xdr:rowOff>
    </xdr:to>
    <xdr:sp macro="" textlink="">
      <xdr:nvSpPr>
        <xdr:cNvPr id="48" name="오른쪽 화살표 101">
          <a:extLst>
            <a:ext uri="{FF2B5EF4-FFF2-40B4-BE49-F238E27FC236}">
              <a16:creationId xmlns:a16="http://schemas.microsoft.com/office/drawing/2014/main" id="{CCA4432A-DB6E-4391-BFAC-49487D90F55E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삼성</a:t>
          </a:r>
          <a:r>
            <a:rPr lang="en-US" altLang="ko-KR" sz="800">
              <a:solidFill>
                <a:schemeClr val="bg1"/>
              </a:solidFill>
            </a:rPr>
            <a:t>2</a:t>
          </a:r>
          <a:r>
            <a:rPr lang="ko-KR" altLang="en-US" sz="800">
              <a:solidFill>
                <a:schemeClr val="bg1"/>
              </a:solidFill>
            </a:rPr>
            <a:t>호</a:t>
          </a:r>
        </a:p>
      </xdr:txBody>
    </xdr:sp>
    <xdr:clientData/>
  </xdr:twoCellAnchor>
  <xdr:twoCellAnchor>
    <xdr:from>
      <xdr:col>18</xdr:col>
      <xdr:colOff>428625</xdr:colOff>
      <xdr:row>2</xdr:row>
      <xdr:rowOff>19051</xdr:rowOff>
    </xdr:from>
    <xdr:to>
      <xdr:col>19</xdr:col>
      <xdr:colOff>114301</xdr:colOff>
      <xdr:row>2</xdr:row>
      <xdr:rowOff>276225</xdr:rowOff>
    </xdr:to>
    <xdr:sp macro="" textlink="">
      <xdr:nvSpPr>
        <xdr:cNvPr id="49" name="오른쪽 화살표 102">
          <a:extLst>
            <a:ext uri="{FF2B5EF4-FFF2-40B4-BE49-F238E27FC236}">
              <a16:creationId xmlns:a16="http://schemas.microsoft.com/office/drawing/2014/main" id="{8B5A5D87-3F1E-4F69-B443-7EE8F59BE103}"/>
            </a:ext>
          </a:extLst>
        </xdr:cNvPr>
        <xdr:cNvSpPr/>
      </xdr:nvSpPr>
      <xdr:spPr>
        <a:xfrm>
          <a:off x="1952625" y="33337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유건호</a:t>
          </a:r>
        </a:p>
      </xdr:txBody>
    </xdr:sp>
    <xdr:clientData/>
  </xdr:twoCellAnchor>
  <xdr:twoCellAnchor>
    <xdr:from>
      <xdr:col>19</xdr:col>
      <xdr:colOff>171449</xdr:colOff>
      <xdr:row>2</xdr:row>
      <xdr:rowOff>28576</xdr:rowOff>
    </xdr:from>
    <xdr:to>
      <xdr:col>20</xdr:col>
      <xdr:colOff>0</xdr:colOff>
      <xdr:row>3</xdr:row>
      <xdr:rowOff>0</xdr:rowOff>
    </xdr:to>
    <xdr:sp macro="" textlink="">
      <xdr:nvSpPr>
        <xdr:cNvPr id="50" name="오른쪽 화살표 106">
          <a:extLst>
            <a:ext uri="{FF2B5EF4-FFF2-40B4-BE49-F238E27FC236}">
              <a16:creationId xmlns:a16="http://schemas.microsoft.com/office/drawing/2014/main" id="{AEE2C793-CA29-488E-8920-461D7B427940}"/>
            </a:ext>
          </a:extLst>
        </xdr:cNvPr>
        <xdr:cNvSpPr/>
      </xdr:nvSpPr>
      <xdr:spPr>
        <a:xfrm>
          <a:off x="1952625" y="3429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용성</a:t>
          </a:r>
          <a:r>
            <a:rPr lang="en-US" altLang="ko-KR" sz="800">
              <a:solidFill>
                <a:schemeClr val="bg1"/>
              </a:solidFill>
            </a:rPr>
            <a:t>7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190500</xdr:colOff>
      <xdr:row>4</xdr:row>
      <xdr:rowOff>47626</xdr:rowOff>
    </xdr:from>
    <xdr:to>
      <xdr:col>15</xdr:col>
      <xdr:colOff>647700</xdr:colOff>
      <xdr:row>5</xdr:row>
      <xdr:rowOff>0</xdr:rowOff>
    </xdr:to>
    <xdr:sp macro="" textlink="">
      <xdr:nvSpPr>
        <xdr:cNvPr id="51" name="오른쪽 화살표 110">
          <a:extLst>
            <a:ext uri="{FF2B5EF4-FFF2-40B4-BE49-F238E27FC236}">
              <a16:creationId xmlns:a16="http://schemas.microsoft.com/office/drawing/2014/main" id="{DC7F246C-C6FD-409D-BF57-FB74F5AD03D7}"/>
            </a:ext>
          </a:extLst>
        </xdr:cNvPr>
        <xdr:cNvSpPr/>
      </xdr:nvSpPr>
      <xdr:spPr>
        <a:xfrm>
          <a:off x="1952625" y="647701"/>
          <a:ext cx="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코렉스수</a:t>
          </a:r>
        </a:p>
      </xdr:txBody>
    </xdr:sp>
    <xdr:clientData/>
  </xdr:twoCellAnchor>
  <xdr:twoCellAnchor>
    <xdr:from>
      <xdr:col>14</xdr:col>
      <xdr:colOff>761999</xdr:colOff>
      <xdr:row>2</xdr:row>
      <xdr:rowOff>38101</xdr:rowOff>
    </xdr:from>
    <xdr:to>
      <xdr:col>15</xdr:col>
      <xdr:colOff>571500</xdr:colOff>
      <xdr:row>4</xdr:row>
      <xdr:rowOff>9525</xdr:rowOff>
    </xdr:to>
    <xdr:sp macro="" textlink="">
      <xdr:nvSpPr>
        <xdr:cNvPr id="52" name="오른쪽 화살표 111">
          <a:extLst>
            <a:ext uri="{FF2B5EF4-FFF2-40B4-BE49-F238E27FC236}">
              <a16:creationId xmlns:a16="http://schemas.microsoft.com/office/drawing/2014/main" id="{04ED670B-3797-427E-8D4F-F59EB9B980A7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TS HAPP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9524</xdr:colOff>
      <xdr:row>5</xdr:row>
      <xdr:rowOff>38100</xdr:rowOff>
    </xdr:from>
    <xdr:to>
      <xdr:col>19</xdr:col>
      <xdr:colOff>647700</xdr:colOff>
      <xdr:row>6</xdr:row>
      <xdr:rowOff>9524</xdr:rowOff>
    </xdr:to>
    <xdr:sp macro="" textlink="">
      <xdr:nvSpPr>
        <xdr:cNvPr id="53" name="오른쪽 화살표 112">
          <a:extLst>
            <a:ext uri="{FF2B5EF4-FFF2-40B4-BE49-F238E27FC236}">
              <a16:creationId xmlns:a16="http://schemas.microsoft.com/office/drawing/2014/main" id="{1BF3E88C-5CB6-4149-B31C-B588869F0844}"/>
            </a:ext>
          </a:extLst>
        </xdr:cNvPr>
        <xdr:cNvSpPr/>
      </xdr:nvSpPr>
      <xdr:spPr>
        <a:xfrm>
          <a:off x="1952625" y="923925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18</xdr:col>
      <xdr:colOff>342900</xdr:colOff>
      <xdr:row>4</xdr:row>
      <xdr:rowOff>38101</xdr:rowOff>
    </xdr:from>
    <xdr:to>
      <xdr:col>18</xdr:col>
      <xdr:colOff>771526</xdr:colOff>
      <xdr:row>4</xdr:row>
      <xdr:rowOff>276225</xdr:rowOff>
    </xdr:to>
    <xdr:sp macro="" textlink="">
      <xdr:nvSpPr>
        <xdr:cNvPr id="54" name="오른쪽 화살표 113">
          <a:extLst>
            <a:ext uri="{FF2B5EF4-FFF2-40B4-BE49-F238E27FC236}">
              <a16:creationId xmlns:a16="http://schemas.microsoft.com/office/drawing/2014/main" id="{A8B44A08-7DC3-4145-9C72-EFBE1FE96C09}"/>
            </a:ext>
          </a:extLst>
        </xdr:cNvPr>
        <xdr:cNvSpPr/>
      </xdr:nvSpPr>
      <xdr:spPr>
        <a:xfrm>
          <a:off x="1952625" y="638176"/>
          <a:ext cx="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코렉스수</a:t>
          </a:r>
        </a:p>
      </xdr:txBody>
    </xdr:sp>
    <xdr:clientData/>
  </xdr:twoCellAnchor>
  <xdr:twoCellAnchor>
    <xdr:from>
      <xdr:col>20</xdr:col>
      <xdr:colOff>600073</xdr:colOff>
      <xdr:row>2</xdr:row>
      <xdr:rowOff>47626</xdr:rowOff>
    </xdr:from>
    <xdr:to>
      <xdr:col>22</xdr:col>
      <xdr:colOff>561975</xdr:colOff>
      <xdr:row>4</xdr:row>
      <xdr:rowOff>9525</xdr:rowOff>
    </xdr:to>
    <xdr:sp macro="" textlink="">
      <xdr:nvSpPr>
        <xdr:cNvPr id="55" name="오른쪽 화살표 114">
          <a:extLst>
            <a:ext uri="{FF2B5EF4-FFF2-40B4-BE49-F238E27FC236}">
              <a16:creationId xmlns:a16="http://schemas.microsoft.com/office/drawing/2014/main" id="{FBE842C6-5EDC-4F9C-9778-FCCCF7704527}"/>
            </a:ext>
          </a:extLst>
        </xdr:cNvPr>
        <xdr:cNvSpPr/>
      </xdr:nvSpPr>
      <xdr:spPr>
        <a:xfrm>
          <a:off x="1952625" y="361951"/>
          <a:ext cx="0" cy="247649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TAN BIN</a:t>
          </a:r>
          <a:r>
            <a:rPr lang="en-US" altLang="ko-KR" sz="800" baseline="0">
              <a:solidFill>
                <a:schemeClr val="bg1"/>
              </a:solidFill>
            </a:rPr>
            <a:t>H 239</a:t>
          </a:r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104776</xdr:colOff>
      <xdr:row>4</xdr:row>
      <xdr:rowOff>47626</xdr:rowOff>
    </xdr:from>
    <xdr:to>
      <xdr:col>24</xdr:col>
      <xdr:colOff>352426</xdr:colOff>
      <xdr:row>4</xdr:row>
      <xdr:rowOff>247650</xdr:rowOff>
    </xdr:to>
    <xdr:sp macro="" textlink="">
      <xdr:nvSpPr>
        <xdr:cNvPr id="56" name="오른쪽 화살표 121">
          <a:extLst>
            <a:ext uri="{FF2B5EF4-FFF2-40B4-BE49-F238E27FC236}">
              <a16:creationId xmlns:a16="http://schemas.microsoft.com/office/drawing/2014/main" id="{9CA173E7-9F1E-4E2A-9FAC-C79C40547C0F}"/>
            </a:ext>
          </a:extLst>
        </xdr:cNvPr>
        <xdr:cNvSpPr/>
      </xdr:nvSpPr>
      <xdr:spPr>
        <a:xfrm>
          <a:off x="1952625" y="647701"/>
          <a:ext cx="0" cy="2000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17</xdr:col>
      <xdr:colOff>9525</xdr:colOff>
      <xdr:row>0</xdr:row>
      <xdr:rowOff>19050</xdr:rowOff>
    </xdr:from>
    <xdr:to>
      <xdr:col>24</xdr:col>
      <xdr:colOff>771525</xdr:colOff>
      <xdr:row>6</xdr:row>
      <xdr:rowOff>276225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CBF909C1-C9DB-4971-9874-6CCF66064E5F}"/>
            </a:ext>
          </a:extLst>
        </xdr:cNvPr>
        <xdr:cNvSpPr/>
      </xdr:nvSpPr>
      <xdr:spPr>
        <a:xfrm>
          <a:off x="1952625" y="19050"/>
          <a:ext cx="0" cy="1428750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685799</xdr:colOff>
      <xdr:row>2</xdr:row>
      <xdr:rowOff>38101</xdr:rowOff>
    </xdr:from>
    <xdr:to>
      <xdr:col>23</xdr:col>
      <xdr:colOff>333374</xdr:colOff>
      <xdr:row>4</xdr:row>
      <xdr:rowOff>9525</xdr:rowOff>
    </xdr:to>
    <xdr:sp macro="" textlink="">
      <xdr:nvSpPr>
        <xdr:cNvPr id="58" name="오른쪽 화살표 125">
          <a:extLst>
            <a:ext uri="{FF2B5EF4-FFF2-40B4-BE49-F238E27FC236}">
              <a16:creationId xmlns:a16="http://schemas.microsoft.com/office/drawing/2014/main" id="{A3A249E1-4384-4863-B2BE-C2BD2354D45E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361949</xdr:colOff>
      <xdr:row>2</xdr:row>
      <xdr:rowOff>38101</xdr:rowOff>
    </xdr:from>
    <xdr:to>
      <xdr:col>24</xdr:col>
      <xdr:colOff>9524</xdr:colOff>
      <xdr:row>4</xdr:row>
      <xdr:rowOff>9525</xdr:rowOff>
    </xdr:to>
    <xdr:sp macro="" textlink="">
      <xdr:nvSpPr>
        <xdr:cNvPr id="59" name="오른쪽 화살표 126">
          <a:extLst>
            <a:ext uri="{FF2B5EF4-FFF2-40B4-BE49-F238E27FC236}">
              <a16:creationId xmlns:a16="http://schemas.microsoft.com/office/drawing/2014/main" id="{233E6B26-C4E4-4DCE-9CE2-FEB572103098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28</xdr:col>
      <xdr:colOff>561975</xdr:colOff>
      <xdr:row>4</xdr:row>
      <xdr:rowOff>28576</xdr:rowOff>
    </xdr:from>
    <xdr:to>
      <xdr:col>29</xdr:col>
      <xdr:colOff>285750</xdr:colOff>
      <xdr:row>5</xdr:row>
      <xdr:rowOff>0</xdr:rowOff>
    </xdr:to>
    <xdr:sp macro="" textlink="">
      <xdr:nvSpPr>
        <xdr:cNvPr id="60" name="오른쪽 화살표 89">
          <a:extLst>
            <a:ext uri="{FF2B5EF4-FFF2-40B4-BE49-F238E27FC236}">
              <a16:creationId xmlns:a16="http://schemas.microsoft.com/office/drawing/2014/main" id="{A849CA9B-B2E0-4E58-BB5A-877396C276AF}"/>
            </a:ext>
          </a:extLst>
        </xdr:cNvPr>
        <xdr:cNvSpPr/>
      </xdr:nvSpPr>
      <xdr:spPr>
        <a:xfrm>
          <a:off x="1952625" y="62865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29</xdr:col>
      <xdr:colOff>304800</xdr:colOff>
      <xdr:row>4</xdr:row>
      <xdr:rowOff>38101</xdr:rowOff>
    </xdr:from>
    <xdr:to>
      <xdr:col>29</xdr:col>
      <xdr:colOff>733425</xdr:colOff>
      <xdr:row>5</xdr:row>
      <xdr:rowOff>9525</xdr:rowOff>
    </xdr:to>
    <xdr:sp macro="" textlink="">
      <xdr:nvSpPr>
        <xdr:cNvPr id="61" name="오른쪽 화살표 109">
          <a:extLst>
            <a:ext uri="{FF2B5EF4-FFF2-40B4-BE49-F238E27FC236}">
              <a16:creationId xmlns:a16="http://schemas.microsoft.com/office/drawing/2014/main" id="{DAAD6678-5119-4A68-BF9B-28439ABB58FC}"/>
            </a:ext>
          </a:extLst>
        </xdr:cNvPr>
        <xdr:cNvSpPr/>
      </xdr:nvSpPr>
      <xdr:spPr>
        <a:xfrm>
          <a:off x="1952625" y="63817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36</xdr:col>
      <xdr:colOff>47625</xdr:colOff>
      <xdr:row>4</xdr:row>
      <xdr:rowOff>19051</xdr:rowOff>
    </xdr:from>
    <xdr:to>
      <xdr:col>36</xdr:col>
      <xdr:colOff>552450</xdr:colOff>
      <xdr:row>4</xdr:row>
      <xdr:rowOff>276225</xdr:rowOff>
    </xdr:to>
    <xdr:sp macro="" textlink="">
      <xdr:nvSpPr>
        <xdr:cNvPr id="62" name="오른쪽 화살표 116">
          <a:extLst>
            <a:ext uri="{FF2B5EF4-FFF2-40B4-BE49-F238E27FC236}">
              <a16:creationId xmlns:a16="http://schemas.microsoft.com/office/drawing/2014/main" id="{D07B8072-A8CF-4742-ACD8-ADA83F331F2E}"/>
            </a:ext>
          </a:extLst>
        </xdr:cNvPr>
        <xdr:cNvSpPr/>
      </xdr:nvSpPr>
      <xdr:spPr>
        <a:xfrm>
          <a:off x="1952625" y="6191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30</xdr:col>
      <xdr:colOff>561974</xdr:colOff>
      <xdr:row>2</xdr:row>
      <xdr:rowOff>28576</xdr:rowOff>
    </xdr:from>
    <xdr:to>
      <xdr:col>31</xdr:col>
      <xdr:colOff>352425</xdr:colOff>
      <xdr:row>2</xdr:row>
      <xdr:rowOff>276225</xdr:rowOff>
    </xdr:to>
    <xdr:sp macro="" textlink="">
      <xdr:nvSpPr>
        <xdr:cNvPr id="63" name="오른쪽 화살표 119">
          <a:extLst>
            <a:ext uri="{FF2B5EF4-FFF2-40B4-BE49-F238E27FC236}">
              <a16:creationId xmlns:a16="http://schemas.microsoft.com/office/drawing/2014/main" id="{51721778-AC47-49AE-8DB2-F4A23D222B91}"/>
            </a:ext>
          </a:extLst>
        </xdr:cNvPr>
        <xdr:cNvSpPr/>
      </xdr:nvSpPr>
      <xdr:spPr>
        <a:xfrm>
          <a:off x="1952625" y="342901"/>
          <a:ext cx="0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연안</a:t>
          </a:r>
        </a:p>
      </xdr:txBody>
    </xdr:sp>
    <xdr:clientData/>
  </xdr:twoCellAnchor>
  <xdr:twoCellAnchor>
    <xdr:from>
      <xdr:col>31</xdr:col>
      <xdr:colOff>457199</xdr:colOff>
      <xdr:row>2</xdr:row>
      <xdr:rowOff>38101</xdr:rowOff>
    </xdr:from>
    <xdr:to>
      <xdr:col>32</xdr:col>
      <xdr:colOff>247650</xdr:colOff>
      <xdr:row>3</xdr:row>
      <xdr:rowOff>0</xdr:rowOff>
    </xdr:to>
    <xdr:sp macro="" textlink="">
      <xdr:nvSpPr>
        <xdr:cNvPr id="64" name="오른쪽 화살표 120">
          <a:extLst>
            <a:ext uri="{FF2B5EF4-FFF2-40B4-BE49-F238E27FC236}">
              <a16:creationId xmlns:a16="http://schemas.microsoft.com/office/drawing/2014/main" id="{4E5C034E-2AFD-4D9D-86D1-ADE7E982576A}"/>
            </a:ext>
          </a:extLst>
        </xdr:cNvPr>
        <xdr:cNvSpPr/>
      </xdr:nvSpPr>
      <xdr:spPr>
        <a:xfrm>
          <a:off x="1952625" y="352426"/>
          <a:ext cx="0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연안</a:t>
          </a:r>
        </a:p>
      </xdr:txBody>
    </xdr:sp>
    <xdr:clientData/>
  </xdr:twoCellAnchor>
  <xdr:twoCellAnchor>
    <xdr:from>
      <xdr:col>32</xdr:col>
      <xdr:colOff>342899</xdr:colOff>
      <xdr:row>2</xdr:row>
      <xdr:rowOff>38101</xdr:rowOff>
    </xdr:from>
    <xdr:to>
      <xdr:col>33</xdr:col>
      <xdr:colOff>133350</xdr:colOff>
      <xdr:row>3</xdr:row>
      <xdr:rowOff>0</xdr:rowOff>
    </xdr:to>
    <xdr:sp macro="" textlink="">
      <xdr:nvSpPr>
        <xdr:cNvPr id="65" name="오른쪽 화살표 122">
          <a:extLst>
            <a:ext uri="{FF2B5EF4-FFF2-40B4-BE49-F238E27FC236}">
              <a16:creationId xmlns:a16="http://schemas.microsoft.com/office/drawing/2014/main" id="{9C64659E-493B-4C2B-945B-403E693330D3}"/>
            </a:ext>
          </a:extLst>
        </xdr:cNvPr>
        <xdr:cNvSpPr/>
      </xdr:nvSpPr>
      <xdr:spPr>
        <a:xfrm>
          <a:off x="1952625" y="352426"/>
          <a:ext cx="0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연안</a:t>
          </a:r>
        </a:p>
      </xdr:txBody>
    </xdr:sp>
    <xdr:clientData/>
  </xdr:twoCellAnchor>
  <xdr:twoCellAnchor>
    <xdr:from>
      <xdr:col>33</xdr:col>
      <xdr:colOff>209549</xdr:colOff>
      <xdr:row>2</xdr:row>
      <xdr:rowOff>38101</xdr:rowOff>
    </xdr:from>
    <xdr:to>
      <xdr:col>34</xdr:col>
      <xdr:colOff>0</xdr:colOff>
      <xdr:row>3</xdr:row>
      <xdr:rowOff>0</xdr:rowOff>
    </xdr:to>
    <xdr:sp macro="" textlink="">
      <xdr:nvSpPr>
        <xdr:cNvPr id="66" name="오른쪽 화살표 123">
          <a:extLst>
            <a:ext uri="{FF2B5EF4-FFF2-40B4-BE49-F238E27FC236}">
              <a16:creationId xmlns:a16="http://schemas.microsoft.com/office/drawing/2014/main" id="{4CA831F6-D145-4348-AF77-ED6FA2287226}"/>
            </a:ext>
          </a:extLst>
        </xdr:cNvPr>
        <xdr:cNvSpPr/>
      </xdr:nvSpPr>
      <xdr:spPr>
        <a:xfrm>
          <a:off x="1952625" y="352426"/>
          <a:ext cx="0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연안</a:t>
          </a:r>
        </a:p>
      </xdr:txBody>
    </xdr:sp>
    <xdr:clientData/>
  </xdr:twoCellAnchor>
  <xdr:twoCellAnchor>
    <xdr:from>
      <xdr:col>28</xdr:col>
      <xdr:colOff>123825</xdr:colOff>
      <xdr:row>5</xdr:row>
      <xdr:rowOff>19050</xdr:rowOff>
    </xdr:from>
    <xdr:to>
      <xdr:col>28</xdr:col>
      <xdr:colOff>542925</xdr:colOff>
      <xdr:row>5</xdr:row>
      <xdr:rowOff>276224</xdr:rowOff>
    </xdr:to>
    <xdr:sp macro="" textlink="">
      <xdr:nvSpPr>
        <xdr:cNvPr id="67" name="오른쪽 화살표 128">
          <a:extLst>
            <a:ext uri="{FF2B5EF4-FFF2-40B4-BE49-F238E27FC236}">
              <a16:creationId xmlns:a16="http://schemas.microsoft.com/office/drawing/2014/main" id="{5D4DB9A4-7451-437E-A835-CA7EAC4CF160}"/>
            </a:ext>
          </a:extLst>
        </xdr:cNvPr>
        <xdr:cNvSpPr/>
      </xdr:nvSpPr>
      <xdr:spPr>
        <a:xfrm>
          <a:off x="1952625" y="904875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/>
            <a:t>JK</a:t>
          </a:r>
          <a:r>
            <a:rPr lang="ko-KR" altLang="en-US" sz="900"/>
            <a:t>군장</a:t>
          </a:r>
        </a:p>
      </xdr:txBody>
    </xdr:sp>
    <xdr:clientData/>
  </xdr:twoCellAnchor>
  <xdr:twoCellAnchor>
    <xdr:from>
      <xdr:col>37</xdr:col>
      <xdr:colOff>209549</xdr:colOff>
      <xdr:row>5</xdr:row>
      <xdr:rowOff>19050</xdr:rowOff>
    </xdr:from>
    <xdr:to>
      <xdr:col>38</xdr:col>
      <xdr:colOff>85725</xdr:colOff>
      <xdr:row>5</xdr:row>
      <xdr:rowOff>276224</xdr:rowOff>
    </xdr:to>
    <xdr:sp macro="" textlink="">
      <xdr:nvSpPr>
        <xdr:cNvPr id="68" name="오른쪽 화살표 129">
          <a:extLst>
            <a:ext uri="{FF2B5EF4-FFF2-40B4-BE49-F238E27FC236}">
              <a16:creationId xmlns:a16="http://schemas.microsoft.com/office/drawing/2014/main" id="{2B5BC222-FE49-417F-9B07-086A88408477}"/>
            </a:ext>
          </a:extLst>
        </xdr:cNvPr>
        <xdr:cNvSpPr/>
      </xdr:nvSpPr>
      <xdr:spPr>
        <a:xfrm>
          <a:off x="1952625" y="904875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34</xdr:col>
      <xdr:colOff>266700</xdr:colOff>
      <xdr:row>4</xdr:row>
      <xdr:rowOff>47626</xdr:rowOff>
    </xdr:from>
    <xdr:to>
      <xdr:col>34</xdr:col>
      <xdr:colOff>771525</xdr:colOff>
      <xdr:row>5</xdr:row>
      <xdr:rowOff>19050</xdr:rowOff>
    </xdr:to>
    <xdr:sp macro="" textlink="">
      <xdr:nvSpPr>
        <xdr:cNvPr id="69" name="오른쪽 화살표 130">
          <a:extLst>
            <a:ext uri="{FF2B5EF4-FFF2-40B4-BE49-F238E27FC236}">
              <a16:creationId xmlns:a16="http://schemas.microsoft.com/office/drawing/2014/main" id="{CD5E1445-67D2-41B4-B504-0DAA05601AAA}"/>
            </a:ext>
          </a:extLst>
        </xdr:cNvPr>
        <xdr:cNvSpPr/>
      </xdr:nvSpPr>
      <xdr:spPr>
        <a:xfrm>
          <a:off x="1952625" y="6477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38</xdr:col>
      <xdr:colOff>581025</xdr:colOff>
      <xdr:row>4</xdr:row>
      <xdr:rowOff>28576</xdr:rowOff>
    </xdr:from>
    <xdr:to>
      <xdr:col>39</xdr:col>
      <xdr:colOff>304800</xdr:colOff>
      <xdr:row>5</xdr:row>
      <xdr:rowOff>0</xdr:rowOff>
    </xdr:to>
    <xdr:sp macro="" textlink="">
      <xdr:nvSpPr>
        <xdr:cNvPr id="70" name="오른쪽 화살표 63">
          <a:extLst>
            <a:ext uri="{FF2B5EF4-FFF2-40B4-BE49-F238E27FC236}">
              <a16:creationId xmlns:a16="http://schemas.microsoft.com/office/drawing/2014/main" id="{84EFB760-B939-4CC2-9281-1AF5D8AB9C5E}"/>
            </a:ext>
          </a:extLst>
        </xdr:cNvPr>
        <xdr:cNvSpPr/>
      </xdr:nvSpPr>
      <xdr:spPr>
        <a:xfrm>
          <a:off x="1952625" y="62865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46</xdr:col>
      <xdr:colOff>171450</xdr:colOff>
      <xdr:row>4</xdr:row>
      <xdr:rowOff>38101</xdr:rowOff>
    </xdr:from>
    <xdr:to>
      <xdr:col>46</xdr:col>
      <xdr:colOff>666750</xdr:colOff>
      <xdr:row>5</xdr:row>
      <xdr:rowOff>9525</xdr:rowOff>
    </xdr:to>
    <xdr:sp macro="" textlink="">
      <xdr:nvSpPr>
        <xdr:cNvPr id="71" name="오른쪽 화살표 65">
          <a:extLst>
            <a:ext uri="{FF2B5EF4-FFF2-40B4-BE49-F238E27FC236}">
              <a16:creationId xmlns:a16="http://schemas.microsoft.com/office/drawing/2014/main" id="{DD378A93-9DF2-4E50-A425-C1487A7D43BE}"/>
            </a:ext>
          </a:extLst>
        </xdr:cNvPr>
        <xdr:cNvSpPr/>
      </xdr:nvSpPr>
      <xdr:spPr>
        <a:xfrm>
          <a:off x="1952625" y="63817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42</xdr:col>
      <xdr:colOff>314324</xdr:colOff>
      <xdr:row>5</xdr:row>
      <xdr:rowOff>47625</xdr:rowOff>
    </xdr:from>
    <xdr:to>
      <xdr:col>43</xdr:col>
      <xdr:colOff>228600</xdr:colOff>
      <xdr:row>6</xdr:row>
      <xdr:rowOff>0</xdr:rowOff>
    </xdr:to>
    <xdr:sp macro="" textlink="">
      <xdr:nvSpPr>
        <xdr:cNvPr id="72" name="오른쪽 화살표 66">
          <a:extLst>
            <a:ext uri="{FF2B5EF4-FFF2-40B4-BE49-F238E27FC236}">
              <a16:creationId xmlns:a16="http://schemas.microsoft.com/office/drawing/2014/main" id="{A097408E-5004-4290-8415-3DD208D28738}"/>
            </a:ext>
          </a:extLst>
        </xdr:cNvPr>
        <xdr:cNvSpPr/>
      </xdr:nvSpPr>
      <xdr:spPr>
        <a:xfrm>
          <a:off x="1952625" y="933450"/>
          <a:ext cx="0" cy="238125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37</xdr:col>
      <xdr:colOff>371475</xdr:colOff>
      <xdr:row>2</xdr:row>
      <xdr:rowOff>19051</xdr:rowOff>
    </xdr:from>
    <xdr:to>
      <xdr:col>38</xdr:col>
      <xdr:colOff>85725</xdr:colOff>
      <xdr:row>2</xdr:row>
      <xdr:rowOff>276225</xdr:rowOff>
    </xdr:to>
    <xdr:sp macro="" textlink="">
      <xdr:nvSpPr>
        <xdr:cNvPr id="73" name="오른쪽 화살표 67">
          <a:extLst>
            <a:ext uri="{FF2B5EF4-FFF2-40B4-BE49-F238E27FC236}">
              <a16:creationId xmlns:a16="http://schemas.microsoft.com/office/drawing/2014/main" id="{10DE69A2-63BA-4A54-B2DD-51CFED146CCE}"/>
            </a:ext>
          </a:extLst>
        </xdr:cNvPr>
        <xdr:cNvSpPr/>
      </xdr:nvSpPr>
      <xdr:spPr>
        <a:xfrm>
          <a:off x="1952625" y="33337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38</xdr:col>
      <xdr:colOff>133350</xdr:colOff>
      <xdr:row>2</xdr:row>
      <xdr:rowOff>28576</xdr:rowOff>
    </xdr:from>
    <xdr:to>
      <xdr:col>38</xdr:col>
      <xdr:colOff>628650</xdr:colOff>
      <xdr:row>3</xdr:row>
      <xdr:rowOff>0</xdr:rowOff>
    </xdr:to>
    <xdr:sp macro="" textlink="">
      <xdr:nvSpPr>
        <xdr:cNvPr id="74" name="오른쪽 화살표 69">
          <a:extLst>
            <a:ext uri="{FF2B5EF4-FFF2-40B4-BE49-F238E27FC236}">
              <a16:creationId xmlns:a16="http://schemas.microsoft.com/office/drawing/2014/main" id="{1251A5A6-D3F6-487D-AD6B-7A1ACC4FC99D}"/>
            </a:ext>
          </a:extLst>
        </xdr:cNvPr>
        <xdr:cNvSpPr/>
      </xdr:nvSpPr>
      <xdr:spPr>
        <a:xfrm>
          <a:off x="1952625" y="3429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43</xdr:col>
      <xdr:colOff>219076</xdr:colOff>
      <xdr:row>4</xdr:row>
      <xdr:rowOff>66675</xdr:rowOff>
    </xdr:from>
    <xdr:to>
      <xdr:col>43</xdr:col>
      <xdr:colOff>676276</xdr:colOff>
      <xdr:row>5</xdr:row>
      <xdr:rowOff>0</xdr:rowOff>
    </xdr:to>
    <xdr:sp macro="" textlink="">
      <xdr:nvSpPr>
        <xdr:cNvPr id="75" name="오른쪽 화살표 70">
          <a:extLst>
            <a:ext uri="{FF2B5EF4-FFF2-40B4-BE49-F238E27FC236}">
              <a16:creationId xmlns:a16="http://schemas.microsoft.com/office/drawing/2014/main" id="{431EFF63-0960-4722-99A6-985E8BA5863C}"/>
            </a:ext>
          </a:extLst>
        </xdr:cNvPr>
        <xdr:cNvSpPr/>
      </xdr:nvSpPr>
      <xdr:spPr>
        <a:xfrm>
          <a:off x="1952625" y="666750"/>
          <a:ext cx="0" cy="219075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44</xdr:col>
      <xdr:colOff>247649</xdr:colOff>
      <xdr:row>2</xdr:row>
      <xdr:rowOff>38101</xdr:rowOff>
    </xdr:from>
    <xdr:to>
      <xdr:col>45</xdr:col>
      <xdr:colOff>628650</xdr:colOff>
      <xdr:row>4</xdr:row>
      <xdr:rowOff>9525</xdr:rowOff>
    </xdr:to>
    <xdr:sp macro="" textlink="">
      <xdr:nvSpPr>
        <xdr:cNvPr id="76" name="오른쪽 화살표 71">
          <a:extLst>
            <a:ext uri="{FF2B5EF4-FFF2-40B4-BE49-F238E27FC236}">
              <a16:creationId xmlns:a16="http://schemas.microsoft.com/office/drawing/2014/main" id="{F33391BB-6D96-42C7-848F-3F3C73203B86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chemeClr val="bg1"/>
              </a:solidFill>
            </a:rPr>
            <a:t>수출슬라그</a:t>
          </a:r>
        </a:p>
      </xdr:txBody>
    </xdr:sp>
    <xdr:clientData/>
  </xdr:twoCellAnchor>
  <xdr:twoCellAnchor>
    <xdr:from>
      <xdr:col>48</xdr:col>
      <xdr:colOff>228600</xdr:colOff>
      <xdr:row>4</xdr:row>
      <xdr:rowOff>47625</xdr:rowOff>
    </xdr:from>
    <xdr:to>
      <xdr:col>48</xdr:col>
      <xdr:colOff>638175</xdr:colOff>
      <xdr:row>5</xdr:row>
      <xdr:rowOff>9524</xdr:rowOff>
    </xdr:to>
    <xdr:sp macro="" textlink="">
      <xdr:nvSpPr>
        <xdr:cNvPr id="77" name="오른쪽 화살표 72">
          <a:extLst>
            <a:ext uri="{FF2B5EF4-FFF2-40B4-BE49-F238E27FC236}">
              <a16:creationId xmlns:a16="http://schemas.microsoft.com/office/drawing/2014/main" id="{97BEBD5F-55BC-45B6-90D0-A6423076908A}"/>
            </a:ext>
          </a:extLst>
        </xdr:cNvPr>
        <xdr:cNvSpPr/>
      </xdr:nvSpPr>
      <xdr:spPr>
        <a:xfrm>
          <a:off x="1952625" y="647700"/>
          <a:ext cx="0" cy="24764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</a:t>
          </a:r>
        </a:p>
      </xdr:txBody>
    </xdr:sp>
    <xdr:clientData/>
  </xdr:twoCellAnchor>
  <xdr:twoCellAnchor>
    <xdr:from>
      <xdr:col>50</xdr:col>
      <xdr:colOff>190501</xdr:colOff>
      <xdr:row>4</xdr:row>
      <xdr:rowOff>47626</xdr:rowOff>
    </xdr:from>
    <xdr:to>
      <xdr:col>50</xdr:col>
      <xdr:colOff>590551</xdr:colOff>
      <xdr:row>5</xdr:row>
      <xdr:rowOff>0</xdr:rowOff>
    </xdr:to>
    <xdr:sp macro="" textlink="">
      <xdr:nvSpPr>
        <xdr:cNvPr id="78" name="오른쪽 화살표 76">
          <a:extLst>
            <a:ext uri="{FF2B5EF4-FFF2-40B4-BE49-F238E27FC236}">
              <a16:creationId xmlns:a16="http://schemas.microsoft.com/office/drawing/2014/main" id="{1FC9C9A4-706D-458B-AFA8-56B5D17CC935}"/>
            </a:ext>
          </a:extLst>
        </xdr:cNvPr>
        <xdr:cNvSpPr/>
      </xdr:nvSpPr>
      <xdr:spPr>
        <a:xfrm>
          <a:off x="1952625" y="647701"/>
          <a:ext cx="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코렉스</a:t>
          </a:r>
        </a:p>
      </xdr:txBody>
    </xdr:sp>
    <xdr:clientData/>
  </xdr:twoCellAnchor>
  <xdr:twoCellAnchor>
    <xdr:from>
      <xdr:col>47</xdr:col>
      <xdr:colOff>152399</xdr:colOff>
      <xdr:row>5</xdr:row>
      <xdr:rowOff>28575</xdr:rowOff>
    </xdr:from>
    <xdr:to>
      <xdr:col>48</xdr:col>
      <xdr:colOff>66675</xdr:colOff>
      <xdr:row>5</xdr:row>
      <xdr:rowOff>285749</xdr:rowOff>
    </xdr:to>
    <xdr:sp macro="" textlink="">
      <xdr:nvSpPr>
        <xdr:cNvPr id="79" name="오른쪽 화살표 98">
          <a:extLst>
            <a:ext uri="{FF2B5EF4-FFF2-40B4-BE49-F238E27FC236}">
              <a16:creationId xmlns:a16="http://schemas.microsoft.com/office/drawing/2014/main" id="{0C6A17FE-7BEC-4127-99A2-9BF8CF7E9926}"/>
            </a:ext>
          </a:extLst>
        </xdr:cNvPr>
        <xdr:cNvSpPr/>
      </xdr:nvSpPr>
      <xdr:spPr>
        <a:xfrm>
          <a:off x="1952625" y="914400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45</xdr:col>
      <xdr:colOff>762000</xdr:colOff>
      <xdr:row>2</xdr:row>
      <xdr:rowOff>38101</xdr:rowOff>
    </xdr:from>
    <xdr:to>
      <xdr:col>46</xdr:col>
      <xdr:colOff>476250</xdr:colOff>
      <xdr:row>4</xdr:row>
      <xdr:rowOff>9525</xdr:rowOff>
    </xdr:to>
    <xdr:sp macro="" textlink="">
      <xdr:nvSpPr>
        <xdr:cNvPr id="80" name="오른쪽 화살표 124">
          <a:extLst>
            <a:ext uri="{FF2B5EF4-FFF2-40B4-BE49-F238E27FC236}">
              <a16:creationId xmlns:a16="http://schemas.microsoft.com/office/drawing/2014/main" id="{44F10148-F351-4B48-83E6-A5DB16EA6F7A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43</xdr:col>
      <xdr:colOff>447675</xdr:colOff>
      <xdr:row>2</xdr:row>
      <xdr:rowOff>28576</xdr:rowOff>
    </xdr:from>
    <xdr:to>
      <xdr:col>44</xdr:col>
      <xdr:colOff>142875</xdr:colOff>
      <xdr:row>3</xdr:row>
      <xdr:rowOff>0</xdr:rowOff>
    </xdr:to>
    <xdr:sp macro="" textlink="">
      <xdr:nvSpPr>
        <xdr:cNvPr id="81" name="오른쪽 화살표 127">
          <a:extLst>
            <a:ext uri="{FF2B5EF4-FFF2-40B4-BE49-F238E27FC236}">
              <a16:creationId xmlns:a16="http://schemas.microsoft.com/office/drawing/2014/main" id="{C946809A-BDF2-473E-A42F-ACC102072AB5}"/>
            </a:ext>
          </a:extLst>
        </xdr:cNvPr>
        <xdr:cNvSpPr/>
      </xdr:nvSpPr>
      <xdr:spPr>
        <a:xfrm>
          <a:off x="1952625" y="3429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46</xdr:col>
      <xdr:colOff>523875</xdr:colOff>
      <xdr:row>2</xdr:row>
      <xdr:rowOff>38101</xdr:rowOff>
    </xdr:from>
    <xdr:to>
      <xdr:col>47</xdr:col>
      <xdr:colOff>238125</xdr:colOff>
      <xdr:row>4</xdr:row>
      <xdr:rowOff>9525</xdr:rowOff>
    </xdr:to>
    <xdr:sp macro="" textlink="">
      <xdr:nvSpPr>
        <xdr:cNvPr id="82" name="오른쪽 화살표 117">
          <a:extLst>
            <a:ext uri="{FF2B5EF4-FFF2-40B4-BE49-F238E27FC236}">
              <a16:creationId xmlns:a16="http://schemas.microsoft.com/office/drawing/2014/main" id="{FB1CC23C-8FA4-49C0-AC1E-5A99097F5DA1}"/>
            </a:ext>
          </a:extLst>
        </xdr:cNvPr>
        <xdr:cNvSpPr/>
      </xdr:nvSpPr>
      <xdr:spPr>
        <a:xfrm>
          <a:off x="1952625" y="352426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48</xdr:col>
      <xdr:colOff>285750</xdr:colOff>
      <xdr:row>2</xdr:row>
      <xdr:rowOff>28576</xdr:rowOff>
    </xdr:from>
    <xdr:to>
      <xdr:col>49</xdr:col>
      <xdr:colOff>542925</xdr:colOff>
      <xdr:row>2</xdr:row>
      <xdr:rowOff>266700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7EABDB29-2F78-4DAB-82F7-A1928614843D}"/>
            </a:ext>
          </a:extLst>
        </xdr:cNvPr>
        <xdr:cNvSpPr/>
      </xdr:nvSpPr>
      <xdr:spPr>
        <a:xfrm>
          <a:off x="1952625" y="342901"/>
          <a:ext cx="0" cy="23812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/>
            <a:t>C507, S/L #1</a:t>
          </a:r>
        </a:p>
        <a:p>
          <a:pPr algn="ctr"/>
          <a:r>
            <a:rPr lang="ko-KR" altLang="en-US" sz="700"/>
            <a:t>야간 조업가능</a:t>
          </a:r>
        </a:p>
      </xdr:txBody>
    </xdr:sp>
    <xdr:clientData/>
  </xdr:twoCellAnchor>
  <xdr:twoCellAnchor>
    <xdr:from>
      <xdr:col>53</xdr:col>
      <xdr:colOff>819149</xdr:colOff>
      <xdr:row>5</xdr:row>
      <xdr:rowOff>19050</xdr:rowOff>
    </xdr:from>
    <xdr:to>
      <xdr:col>54</xdr:col>
      <xdr:colOff>114300</xdr:colOff>
      <xdr:row>5</xdr:row>
      <xdr:rowOff>276224</xdr:rowOff>
    </xdr:to>
    <xdr:sp macro="" textlink="">
      <xdr:nvSpPr>
        <xdr:cNvPr id="84" name="오른쪽 화살표 137">
          <a:extLst>
            <a:ext uri="{FF2B5EF4-FFF2-40B4-BE49-F238E27FC236}">
              <a16:creationId xmlns:a16="http://schemas.microsoft.com/office/drawing/2014/main" id="{CE34FBEE-5CDC-4409-99FA-131C2C3F8AD5}"/>
            </a:ext>
          </a:extLst>
        </xdr:cNvPr>
        <xdr:cNvSpPr/>
      </xdr:nvSpPr>
      <xdr:spPr>
        <a:xfrm>
          <a:off x="1952625" y="904875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JK</a:t>
          </a:r>
          <a:r>
            <a:rPr lang="ko-KR" altLang="en-US" sz="800"/>
            <a:t>군장</a:t>
          </a:r>
        </a:p>
      </xdr:txBody>
    </xdr:sp>
    <xdr:clientData/>
  </xdr:twoCellAnchor>
  <xdr:twoCellAnchor>
    <xdr:from>
      <xdr:col>50</xdr:col>
      <xdr:colOff>180975</xdr:colOff>
      <xdr:row>2</xdr:row>
      <xdr:rowOff>28576</xdr:rowOff>
    </xdr:from>
    <xdr:to>
      <xdr:col>50</xdr:col>
      <xdr:colOff>676275</xdr:colOff>
      <xdr:row>3</xdr:row>
      <xdr:rowOff>0</xdr:rowOff>
    </xdr:to>
    <xdr:sp macro="" textlink="">
      <xdr:nvSpPr>
        <xdr:cNvPr id="85" name="오른쪽 화살표 138">
          <a:extLst>
            <a:ext uri="{FF2B5EF4-FFF2-40B4-BE49-F238E27FC236}">
              <a16:creationId xmlns:a16="http://schemas.microsoft.com/office/drawing/2014/main" id="{6691633E-7B0C-40E1-BC3C-8080B01172F4}"/>
            </a:ext>
          </a:extLst>
        </xdr:cNvPr>
        <xdr:cNvSpPr/>
      </xdr:nvSpPr>
      <xdr:spPr>
        <a:xfrm>
          <a:off x="1952625" y="342901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수재</a:t>
          </a:r>
        </a:p>
      </xdr:txBody>
    </xdr:sp>
    <xdr:clientData/>
  </xdr:twoCellAnchor>
  <xdr:twoCellAnchor>
    <xdr:from>
      <xdr:col>53</xdr:col>
      <xdr:colOff>990600</xdr:colOff>
      <xdr:row>2</xdr:row>
      <xdr:rowOff>28576</xdr:rowOff>
    </xdr:from>
    <xdr:to>
      <xdr:col>54</xdr:col>
      <xdr:colOff>619125</xdr:colOff>
      <xdr:row>2</xdr:row>
      <xdr:rowOff>266700</xdr:rowOff>
    </xdr:to>
    <xdr:sp macro="" textlink="">
      <xdr:nvSpPr>
        <xdr:cNvPr id="86" name="오른쪽 화살표 139">
          <a:extLst>
            <a:ext uri="{FF2B5EF4-FFF2-40B4-BE49-F238E27FC236}">
              <a16:creationId xmlns:a16="http://schemas.microsoft.com/office/drawing/2014/main" id="{467E9341-D7BD-4C41-A83F-C9D27D3AF9AE}"/>
            </a:ext>
          </a:extLst>
        </xdr:cNvPr>
        <xdr:cNvSpPr/>
      </xdr:nvSpPr>
      <xdr:spPr>
        <a:xfrm>
          <a:off x="1952625" y="342901"/>
          <a:ext cx="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마린</a:t>
          </a:r>
          <a:r>
            <a:rPr lang="en-US" altLang="ko-KR" sz="700"/>
            <a:t>7</a:t>
          </a:r>
          <a:r>
            <a:rPr lang="ko-KR" altLang="en-US" sz="700"/>
            <a:t>호</a:t>
          </a:r>
        </a:p>
      </xdr:txBody>
    </xdr:sp>
    <xdr:clientData/>
  </xdr:twoCellAnchor>
  <xdr:twoCellAnchor>
    <xdr:from>
      <xdr:col>54</xdr:col>
      <xdr:colOff>228600</xdr:colOff>
      <xdr:row>4</xdr:row>
      <xdr:rowOff>57151</xdr:rowOff>
    </xdr:from>
    <xdr:to>
      <xdr:col>54</xdr:col>
      <xdr:colOff>752475</xdr:colOff>
      <xdr:row>5</xdr:row>
      <xdr:rowOff>9525</xdr:rowOff>
    </xdr:to>
    <xdr:sp macro="" textlink="">
      <xdr:nvSpPr>
        <xdr:cNvPr id="87" name="오른쪽 화살표 143">
          <a:extLst>
            <a:ext uri="{FF2B5EF4-FFF2-40B4-BE49-F238E27FC236}">
              <a16:creationId xmlns:a16="http://schemas.microsoft.com/office/drawing/2014/main" id="{C4B6A31E-AB42-4D98-AD84-49F797EAFFE4}"/>
            </a:ext>
          </a:extLst>
        </xdr:cNvPr>
        <xdr:cNvSpPr/>
      </xdr:nvSpPr>
      <xdr:spPr>
        <a:xfrm>
          <a:off x="1952625" y="657226"/>
          <a:ext cx="0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한진그린</a:t>
          </a:r>
        </a:p>
      </xdr:txBody>
    </xdr:sp>
    <xdr:clientData/>
  </xdr:twoCellAnchor>
  <xdr:twoCellAnchor>
    <xdr:from>
      <xdr:col>52</xdr:col>
      <xdr:colOff>666750</xdr:colOff>
      <xdr:row>6</xdr:row>
      <xdr:rowOff>9525</xdr:rowOff>
    </xdr:from>
    <xdr:to>
      <xdr:col>53</xdr:col>
      <xdr:colOff>752475</xdr:colOff>
      <xdr:row>6</xdr:row>
      <xdr:rowOff>266699</xdr:rowOff>
    </xdr:to>
    <xdr:sp macro="" textlink="">
      <xdr:nvSpPr>
        <xdr:cNvPr id="88" name="오른쪽 화살표 145">
          <a:extLst>
            <a:ext uri="{FF2B5EF4-FFF2-40B4-BE49-F238E27FC236}">
              <a16:creationId xmlns:a16="http://schemas.microsoft.com/office/drawing/2014/main" id="{0DC445E0-8E2D-4153-9CD0-B67827648602}"/>
            </a:ext>
          </a:extLst>
        </xdr:cNvPr>
        <xdr:cNvSpPr/>
      </xdr:nvSpPr>
      <xdr:spPr>
        <a:xfrm>
          <a:off x="1952625" y="1181100"/>
          <a:ext cx="0" cy="25717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/>
            <a:t>CRYSTAL JADE</a:t>
          </a:r>
          <a:endParaRPr lang="ko-KR" altLang="en-US" sz="800"/>
        </a:p>
      </xdr:txBody>
    </xdr:sp>
    <xdr:clientData/>
  </xdr:twoCellAnchor>
  <xdr:twoCellAnchor>
    <xdr:from>
      <xdr:col>61</xdr:col>
      <xdr:colOff>162792</xdr:colOff>
      <xdr:row>14</xdr:row>
      <xdr:rowOff>152401</xdr:rowOff>
    </xdr:from>
    <xdr:to>
      <xdr:col>61</xdr:col>
      <xdr:colOff>666750</xdr:colOff>
      <xdr:row>15</xdr:row>
      <xdr:rowOff>180975</xdr:rowOff>
    </xdr:to>
    <xdr:sp macro="" textlink="">
      <xdr:nvSpPr>
        <xdr:cNvPr id="90" name="오른쪽 화살표 141">
          <a:extLst>
            <a:ext uri="{FF2B5EF4-FFF2-40B4-BE49-F238E27FC236}">
              <a16:creationId xmlns:a16="http://schemas.microsoft.com/office/drawing/2014/main" id="{42A98F72-C959-40CE-8BF2-F8FBE9CC7013}"/>
            </a:ext>
          </a:extLst>
        </xdr:cNvPr>
        <xdr:cNvSpPr/>
      </xdr:nvSpPr>
      <xdr:spPr>
        <a:xfrm>
          <a:off x="4458567" y="2867026"/>
          <a:ext cx="503958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현대오션킹</a:t>
          </a:r>
          <a:r>
            <a:rPr lang="en-US" altLang="ko-KR" sz="700"/>
            <a:t>15001</a:t>
          </a:r>
          <a:r>
            <a:rPr lang="ko-KR" altLang="en-US" sz="700"/>
            <a:t>호</a:t>
          </a:r>
          <a:endParaRPr lang="en-US" altLang="ko-KR" sz="700"/>
        </a:p>
      </xdr:txBody>
    </xdr:sp>
    <xdr:clientData/>
  </xdr:twoCellAnchor>
  <xdr:twoCellAnchor>
    <xdr:from>
      <xdr:col>58</xdr:col>
      <xdr:colOff>141185</xdr:colOff>
      <xdr:row>12</xdr:row>
      <xdr:rowOff>121921</xdr:rowOff>
    </xdr:from>
    <xdr:to>
      <xdr:col>60</xdr:col>
      <xdr:colOff>771524</xdr:colOff>
      <xdr:row>13</xdr:row>
      <xdr:rowOff>150495</xdr:rowOff>
    </xdr:to>
    <xdr:sp macro="" textlink="">
      <xdr:nvSpPr>
        <xdr:cNvPr id="91" name="오른쪽 화살표 163">
          <a:extLst>
            <a:ext uri="{FF2B5EF4-FFF2-40B4-BE49-F238E27FC236}">
              <a16:creationId xmlns:a16="http://schemas.microsoft.com/office/drawing/2014/main" id="{13A7656B-2916-46C2-B5AE-7F325ED43123}"/>
            </a:ext>
          </a:extLst>
        </xdr:cNvPr>
        <xdr:cNvSpPr/>
      </xdr:nvSpPr>
      <xdr:spPr>
        <a:xfrm>
          <a:off x="2093810" y="2626996"/>
          <a:ext cx="2192439" cy="238124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 baseline="0">
              <a:solidFill>
                <a:schemeClr val="bg1"/>
              </a:solidFill>
            </a:rPr>
            <a:t>MARINE STAR 1</a:t>
          </a:r>
        </a:p>
      </xdr:txBody>
    </xdr:sp>
    <xdr:clientData/>
  </xdr:twoCellAnchor>
  <xdr:twoCellAnchor editAs="oneCell">
    <xdr:from>
      <xdr:col>76</xdr:col>
      <xdr:colOff>0</xdr:colOff>
      <xdr:row>11</xdr:row>
      <xdr:rowOff>0</xdr:rowOff>
    </xdr:from>
    <xdr:to>
      <xdr:col>76</xdr:col>
      <xdr:colOff>304800</xdr:colOff>
      <xdr:row>12</xdr:row>
      <xdr:rowOff>95250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9054B006-0E67-4AB3-916C-D1B178CE9DC8}"/>
            </a:ext>
          </a:extLst>
        </xdr:cNvPr>
        <xdr:cNvSpPr>
          <a:spLocks noChangeAspect="1" noChangeArrowheads="1"/>
        </xdr:cNvSpPr>
      </xdr:nvSpPr>
      <xdr:spPr bwMode="auto">
        <a:xfrm>
          <a:off x="12125325" y="208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64</xdr:col>
      <xdr:colOff>619125</xdr:colOff>
      <xdr:row>12</xdr:row>
      <xdr:rowOff>28576</xdr:rowOff>
    </xdr:from>
    <xdr:to>
      <xdr:col>65</xdr:col>
      <xdr:colOff>333374</xdr:colOff>
      <xdr:row>13</xdr:row>
      <xdr:rowOff>57150</xdr:rowOff>
    </xdr:to>
    <xdr:sp macro="" textlink="">
      <xdr:nvSpPr>
        <xdr:cNvPr id="94" name="오른쪽 화살표 177">
          <a:extLst>
            <a:ext uri="{FF2B5EF4-FFF2-40B4-BE49-F238E27FC236}">
              <a16:creationId xmlns:a16="http://schemas.microsoft.com/office/drawing/2014/main" id="{C546B56D-7687-4C03-BE16-5C9087434440}"/>
            </a:ext>
          </a:extLst>
        </xdr:cNvPr>
        <xdr:cNvSpPr/>
      </xdr:nvSpPr>
      <xdr:spPr>
        <a:xfrm>
          <a:off x="7277100" y="2324101"/>
          <a:ext cx="495299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chemeClr val="bg1"/>
              </a:solidFill>
            </a:rPr>
            <a:t>한진그린</a:t>
          </a:r>
        </a:p>
      </xdr:txBody>
    </xdr:sp>
    <xdr:clientData/>
  </xdr:twoCellAnchor>
  <xdr:twoCellAnchor>
    <xdr:from>
      <xdr:col>67</xdr:col>
      <xdr:colOff>390526</xdr:colOff>
      <xdr:row>10</xdr:row>
      <xdr:rowOff>11149</xdr:rowOff>
    </xdr:from>
    <xdr:to>
      <xdr:col>67</xdr:col>
      <xdr:colOff>752476</xdr:colOff>
      <xdr:row>11</xdr:row>
      <xdr:rowOff>36478</xdr:rowOff>
    </xdr:to>
    <xdr:sp macro="" textlink="">
      <xdr:nvSpPr>
        <xdr:cNvPr id="96" name="오른쪽 화살표 176">
          <a:extLst>
            <a:ext uri="{FF2B5EF4-FFF2-40B4-BE49-F238E27FC236}">
              <a16:creationId xmlns:a16="http://schemas.microsoft.com/office/drawing/2014/main" id="{1888552D-FA79-437A-B2EF-BAC272B530D2}"/>
            </a:ext>
          </a:extLst>
        </xdr:cNvPr>
        <xdr:cNvSpPr/>
      </xdr:nvSpPr>
      <xdr:spPr>
        <a:xfrm>
          <a:off x="9391651" y="1887574"/>
          <a:ext cx="361950" cy="23487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>
              <a:solidFill>
                <a:schemeClr val="bg1"/>
              </a:solidFill>
            </a:rPr>
            <a:t>KOREX</a:t>
          </a:r>
          <a:endParaRPr lang="ko-KR" altLang="en-US" sz="700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174561</xdr:colOff>
      <xdr:row>12</xdr:row>
      <xdr:rowOff>133351</xdr:rowOff>
    </xdr:from>
    <xdr:to>
      <xdr:col>61</xdr:col>
      <xdr:colOff>752474</xdr:colOff>
      <xdr:row>13</xdr:row>
      <xdr:rowOff>161925</xdr:rowOff>
    </xdr:to>
    <xdr:sp macro="" textlink="">
      <xdr:nvSpPr>
        <xdr:cNvPr id="97" name="오른쪽 화살표 158">
          <a:extLst>
            <a:ext uri="{FF2B5EF4-FFF2-40B4-BE49-F238E27FC236}">
              <a16:creationId xmlns:a16="http://schemas.microsoft.com/office/drawing/2014/main" id="{057374BA-9684-4FFE-BBA1-14E063276577}"/>
            </a:ext>
          </a:extLst>
        </xdr:cNvPr>
        <xdr:cNvSpPr/>
      </xdr:nvSpPr>
      <xdr:spPr>
        <a:xfrm>
          <a:off x="4470336" y="2428876"/>
          <a:ext cx="577913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마린</a:t>
          </a:r>
          <a:r>
            <a:rPr lang="en-US" altLang="ko-KR" sz="700"/>
            <a:t>7</a:t>
          </a:r>
          <a:endParaRPr lang="ko-KR" altLang="en-US" sz="700"/>
        </a:p>
      </xdr:txBody>
    </xdr:sp>
    <xdr:clientData/>
  </xdr:twoCellAnchor>
  <xdr:twoCellAnchor>
    <xdr:from>
      <xdr:col>64</xdr:col>
      <xdr:colOff>333375</xdr:colOff>
      <xdr:row>9</xdr:row>
      <xdr:rowOff>201649</xdr:rowOff>
    </xdr:from>
    <xdr:to>
      <xdr:col>64</xdr:col>
      <xdr:colOff>742950</xdr:colOff>
      <xdr:row>11</xdr:row>
      <xdr:rowOff>17428</xdr:rowOff>
    </xdr:to>
    <xdr:sp macro="" textlink="">
      <xdr:nvSpPr>
        <xdr:cNvPr id="99" name="오른쪽 화살표 176">
          <a:extLst>
            <a:ext uri="{FF2B5EF4-FFF2-40B4-BE49-F238E27FC236}">
              <a16:creationId xmlns:a16="http://schemas.microsoft.com/office/drawing/2014/main" id="{F9CF87F0-E5B8-4385-B7B3-2AE79D77ACB1}"/>
            </a:ext>
          </a:extLst>
        </xdr:cNvPr>
        <xdr:cNvSpPr/>
      </xdr:nvSpPr>
      <xdr:spPr>
        <a:xfrm>
          <a:off x="6991350" y="1868524"/>
          <a:ext cx="409575" cy="234879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>
              <a:solidFill>
                <a:schemeClr val="bg1"/>
              </a:solidFill>
            </a:rPr>
            <a:t>KOREX</a:t>
          </a:r>
          <a:endParaRPr lang="ko-KR" altLang="en-US" sz="7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76</xdr:col>
      <xdr:colOff>0</xdr:colOff>
      <xdr:row>12</xdr:row>
      <xdr:rowOff>0</xdr:rowOff>
    </xdr:from>
    <xdr:to>
      <xdr:col>76</xdr:col>
      <xdr:colOff>304800</xdr:colOff>
      <xdr:row>13</xdr:row>
      <xdr:rowOff>95250</xdr:rowOff>
    </xdr:to>
    <xdr:sp macro="" textlink="">
      <xdr:nvSpPr>
        <xdr:cNvPr id="100" name="AutoShape 2">
          <a:extLst>
            <a:ext uri="{FF2B5EF4-FFF2-40B4-BE49-F238E27FC236}">
              <a16:creationId xmlns:a16="http://schemas.microsoft.com/office/drawing/2014/main" id="{894EB836-E431-4D7A-A5D9-A335AC3203D6}"/>
            </a:ext>
          </a:extLst>
        </xdr:cNvPr>
        <xdr:cNvSpPr>
          <a:spLocks noChangeAspect="1" noChangeArrowheads="1"/>
        </xdr:cNvSpPr>
      </xdr:nvSpPr>
      <xdr:spPr bwMode="auto">
        <a:xfrm>
          <a:off x="12125325" y="229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60</xdr:col>
      <xdr:colOff>150774</xdr:colOff>
      <xdr:row>4</xdr:row>
      <xdr:rowOff>38549</xdr:rowOff>
    </xdr:from>
    <xdr:to>
      <xdr:col>60</xdr:col>
      <xdr:colOff>457200</xdr:colOff>
      <xdr:row>4</xdr:row>
      <xdr:rowOff>275777</xdr:rowOff>
    </xdr:to>
    <xdr:sp macro="" textlink="">
      <xdr:nvSpPr>
        <xdr:cNvPr id="105" name="오른쪽 화살표 176">
          <a:extLst>
            <a:ext uri="{FF2B5EF4-FFF2-40B4-BE49-F238E27FC236}">
              <a16:creationId xmlns:a16="http://schemas.microsoft.com/office/drawing/2014/main" id="{493E99D5-15E7-4782-96A2-71EBA649F1D2}"/>
            </a:ext>
          </a:extLst>
        </xdr:cNvPr>
        <xdr:cNvSpPr/>
      </xdr:nvSpPr>
      <xdr:spPr>
        <a:xfrm>
          <a:off x="3665499" y="638624"/>
          <a:ext cx="306426" cy="237228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>
              <a:solidFill>
                <a:schemeClr val="bg1"/>
              </a:solidFill>
            </a:rPr>
            <a:t>KOREX</a:t>
          </a:r>
          <a:endParaRPr lang="ko-KR" altLang="en-US" sz="700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86591</xdr:colOff>
      <xdr:row>11</xdr:row>
      <xdr:rowOff>161926</xdr:rowOff>
    </xdr:from>
    <xdr:to>
      <xdr:col>62</xdr:col>
      <xdr:colOff>19050</xdr:colOff>
      <xdr:row>12</xdr:row>
      <xdr:rowOff>190500</xdr:rowOff>
    </xdr:to>
    <xdr:sp macro="" textlink="">
      <xdr:nvSpPr>
        <xdr:cNvPr id="111" name="오른쪽 화살표 164">
          <a:extLst>
            <a:ext uri="{FF2B5EF4-FFF2-40B4-BE49-F238E27FC236}">
              <a16:creationId xmlns:a16="http://schemas.microsoft.com/office/drawing/2014/main" id="{E1D9D977-8F9F-F62C-61D0-CD129B5CE303}"/>
            </a:ext>
          </a:extLst>
        </xdr:cNvPr>
        <xdr:cNvSpPr/>
      </xdr:nvSpPr>
      <xdr:spPr>
        <a:xfrm>
          <a:off x="4382366" y="2247901"/>
          <a:ext cx="713509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용성</a:t>
          </a:r>
          <a:r>
            <a:rPr lang="en-US" altLang="ko-KR" sz="700"/>
            <a:t>1</a:t>
          </a:r>
          <a:r>
            <a:rPr lang="ko-KR" altLang="en-US" sz="700"/>
            <a:t>호</a:t>
          </a:r>
        </a:p>
      </xdr:txBody>
    </xdr:sp>
    <xdr:clientData/>
  </xdr:twoCellAnchor>
  <xdr:twoCellAnchor editAs="oneCell">
    <xdr:from>
      <xdr:col>78</xdr:col>
      <xdr:colOff>0</xdr:colOff>
      <xdr:row>25</xdr:row>
      <xdr:rowOff>0</xdr:rowOff>
    </xdr:from>
    <xdr:to>
      <xdr:col>78</xdr:col>
      <xdr:colOff>304800</xdr:colOff>
      <xdr:row>26</xdr:row>
      <xdr:rowOff>95250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53B52F89-59D5-4033-88F3-74FC05B55B74}"/>
            </a:ext>
          </a:extLst>
        </xdr:cNvPr>
        <xdr:cNvSpPr>
          <a:spLocks noChangeAspect="1" noChangeArrowheads="1"/>
        </xdr:cNvSpPr>
      </xdr:nvSpPr>
      <xdr:spPr bwMode="auto">
        <a:xfrm>
          <a:off x="12877800" y="669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58</xdr:col>
      <xdr:colOff>141185</xdr:colOff>
      <xdr:row>11</xdr:row>
      <xdr:rowOff>19050</xdr:rowOff>
    </xdr:from>
    <xdr:to>
      <xdr:col>60</xdr:col>
      <xdr:colOff>771524</xdr:colOff>
      <xdr:row>12</xdr:row>
      <xdr:rowOff>55245</xdr:rowOff>
    </xdr:to>
    <xdr:sp macro="" textlink="">
      <xdr:nvSpPr>
        <xdr:cNvPr id="118" name="오른쪽 화살표 163">
          <a:extLst>
            <a:ext uri="{FF2B5EF4-FFF2-40B4-BE49-F238E27FC236}">
              <a16:creationId xmlns:a16="http://schemas.microsoft.com/office/drawing/2014/main" id="{7095B535-53B5-C092-FABB-AFE25713BF71}"/>
            </a:ext>
          </a:extLst>
        </xdr:cNvPr>
        <xdr:cNvSpPr/>
      </xdr:nvSpPr>
      <xdr:spPr>
        <a:xfrm>
          <a:off x="2093810" y="2314575"/>
          <a:ext cx="2192439" cy="245745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 baseline="0">
              <a:solidFill>
                <a:schemeClr val="bg1"/>
              </a:solidFill>
            </a:rPr>
            <a:t>PU SHENG 6</a:t>
          </a:r>
        </a:p>
      </xdr:txBody>
    </xdr:sp>
    <xdr:clientData/>
  </xdr:twoCellAnchor>
  <xdr:twoCellAnchor>
    <xdr:from>
      <xdr:col>68</xdr:col>
      <xdr:colOff>323851</xdr:colOff>
      <xdr:row>10</xdr:row>
      <xdr:rowOff>104775</xdr:rowOff>
    </xdr:from>
    <xdr:to>
      <xdr:col>71</xdr:col>
      <xdr:colOff>247651</xdr:colOff>
      <xdr:row>11</xdr:row>
      <xdr:rowOff>161925</xdr:rowOff>
    </xdr:to>
    <xdr:sp macro="" textlink="">
      <xdr:nvSpPr>
        <xdr:cNvPr id="116" name="모서리가 둥근 직사각형 5">
          <a:extLst>
            <a:ext uri="{FF2B5EF4-FFF2-40B4-BE49-F238E27FC236}">
              <a16:creationId xmlns:a16="http://schemas.microsoft.com/office/drawing/2014/main" id="{E192236C-61E5-4545-AB75-A83E4A6AF014}"/>
            </a:ext>
          </a:extLst>
        </xdr:cNvPr>
        <xdr:cNvSpPr/>
      </xdr:nvSpPr>
      <xdr:spPr>
        <a:xfrm>
          <a:off x="10106026" y="2190750"/>
          <a:ext cx="2266950" cy="2667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ko-KR" altLang="en-US" sz="900"/>
            <a:t>계획정비</a:t>
          </a:r>
        </a:p>
      </xdr:txBody>
    </xdr:sp>
    <xdr:clientData/>
  </xdr:twoCellAnchor>
  <xdr:twoCellAnchor>
    <xdr:from>
      <xdr:col>62</xdr:col>
      <xdr:colOff>148567</xdr:colOff>
      <xdr:row>4</xdr:row>
      <xdr:rowOff>38101</xdr:rowOff>
    </xdr:from>
    <xdr:to>
      <xdr:col>62</xdr:col>
      <xdr:colOff>457200</xdr:colOff>
      <xdr:row>4</xdr:row>
      <xdr:rowOff>276225</xdr:rowOff>
    </xdr:to>
    <xdr:sp macro="" textlink="">
      <xdr:nvSpPr>
        <xdr:cNvPr id="120" name="오른쪽 화살표 177">
          <a:extLst>
            <a:ext uri="{FF2B5EF4-FFF2-40B4-BE49-F238E27FC236}">
              <a16:creationId xmlns:a16="http://schemas.microsoft.com/office/drawing/2014/main" id="{4D0BF6DB-CA65-6CD2-DDB6-A5F56B133C5E}"/>
            </a:ext>
          </a:extLst>
        </xdr:cNvPr>
        <xdr:cNvSpPr/>
      </xdr:nvSpPr>
      <xdr:spPr>
        <a:xfrm>
          <a:off x="5225392" y="638176"/>
          <a:ext cx="308633" cy="238124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chemeClr val="bg1"/>
              </a:solidFill>
            </a:rPr>
            <a:t>한진그린</a:t>
          </a:r>
        </a:p>
      </xdr:txBody>
    </xdr:sp>
    <xdr:clientData/>
  </xdr:twoCellAnchor>
  <xdr:twoCellAnchor editAs="oneCell">
    <xdr:from>
      <xdr:col>1</xdr:col>
      <xdr:colOff>214359</xdr:colOff>
      <xdr:row>15</xdr:row>
      <xdr:rowOff>150516</xdr:rowOff>
    </xdr:from>
    <xdr:to>
      <xdr:col>66</xdr:col>
      <xdr:colOff>375249</xdr:colOff>
      <xdr:row>33</xdr:row>
      <xdr:rowOff>191950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31F7FC7F-7843-3204-633A-5E57083CD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134" y="3284241"/>
          <a:ext cx="8276190" cy="3813334"/>
        </a:xfrm>
        <a:prstGeom prst="rect">
          <a:avLst/>
        </a:prstGeom>
      </xdr:spPr>
    </xdr:pic>
    <xdr:clientData/>
  </xdr:twoCellAnchor>
  <xdr:twoCellAnchor>
    <xdr:from>
      <xdr:col>68</xdr:col>
      <xdr:colOff>409576</xdr:colOff>
      <xdr:row>8</xdr:row>
      <xdr:rowOff>57150</xdr:rowOff>
    </xdr:from>
    <xdr:to>
      <xdr:col>71</xdr:col>
      <xdr:colOff>152400</xdr:colOff>
      <xdr:row>9</xdr:row>
      <xdr:rowOff>114300</xdr:rowOff>
    </xdr:to>
    <xdr:sp macro="" textlink="">
      <xdr:nvSpPr>
        <xdr:cNvPr id="3143" name="모서리가 둥근 직사각형 5">
          <a:extLst>
            <a:ext uri="{FF2B5EF4-FFF2-40B4-BE49-F238E27FC236}">
              <a16:creationId xmlns:a16="http://schemas.microsoft.com/office/drawing/2014/main" id="{0621A3BD-09E2-8E05-9CDD-4B5A8F948710}"/>
            </a:ext>
          </a:extLst>
        </xdr:cNvPr>
        <xdr:cNvSpPr/>
      </xdr:nvSpPr>
      <xdr:spPr>
        <a:xfrm>
          <a:off x="10191751" y="1724025"/>
          <a:ext cx="2085974" cy="2667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ko-KR" altLang="en-US" sz="900"/>
            <a:t>계획정비</a:t>
          </a:r>
        </a:p>
      </xdr:txBody>
    </xdr:sp>
    <xdr:clientData/>
  </xdr:twoCellAnchor>
  <xdr:twoCellAnchor>
    <xdr:from>
      <xdr:col>66</xdr:col>
      <xdr:colOff>120989</xdr:colOff>
      <xdr:row>5</xdr:row>
      <xdr:rowOff>20732</xdr:rowOff>
    </xdr:from>
    <xdr:to>
      <xdr:col>66</xdr:col>
      <xdr:colOff>761990</xdr:colOff>
      <xdr:row>5</xdr:row>
      <xdr:rowOff>274544</xdr:rowOff>
    </xdr:to>
    <xdr:sp macro="" textlink="">
      <xdr:nvSpPr>
        <xdr:cNvPr id="3146" name="오른쪽 화살표 184">
          <a:extLst>
            <a:ext uri="{FF2B5EF4-FFF2-40B4-BE49-F238E27FC236}">
              <a16:creationId xmlns:a16="http://schemas.microsoft.com/office/drawing/2014/main" id="{4F715760-626B-D5F1-C609-9F1160243A72}"/>
            </a:ext>
          </a:extLst>
        </xdr:cNvPr>
        <xdr:cNvSpPr/>
      </xdr:nvSpPr>
      <xdr:spPr>
        <a:xfrm>
          <a:off x="8341064" y="906557"/>
          <a:ext cx="641001" cy="253812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JK</a:t>
          </a:r>
          <a:r>
            <a:rPr lang="ko-KR" altLang="en-US" sz="800">
              <a:solidFill>
                <a:schemeClr val="bg1"/>
              </a:solidFill>
            </a:rPr>
            <a:t>군장</a:t>
          </a:r>
        </a:p>
      </xdr:txBody>
    </xdr:sp>
    <xdr:clientData/>
  </xdr:twoCellAnchor>
  <xdr:twoCellAnchor>
    <xdr:from>
      <xdr:col>61</xdr:col>
      <xdr:colOff>313178</xdr:colOff>
      <xdr:row>5</xdr:row>
      <xdr:rowOff>19611</xdr:rowOff>
    </xdr:from>
    <xdr:to>
      <xdr:col>62</xdr:col>
      <xdr:colOff>142875</xdr:colOff>
      <xdr:row>5</xdr:row>
      <xdr:rowOff>259977</xdr:rowOff>
    </xdr:to>
    <xdr:sp macro="" textlink="">
      <xdr:nvSpPr>
        <xdr:cNvPr id="3140" name="오른쪽 화살표 184">
          <a:extLst>
            <a:ext uri="{FF2B5EF4-FFF2-40B4-BE49-F238E27FC236}">
              <a16:creationId xmlns:a16="http://schemas.microsoft.com/office/drawing/2014/main" id="{853EFCDC-43CC-4556-94D3-CDB115C009C3}"/>
            </a:ext>
          </a:extLst>
        </xdr:cNvPr>
        <xdr:cNvSpPr/>
      </xdr:nvSpPr>
      <xdr:spPr>
        <a:xfrm>
          <a:off x="4608953" y="905436"/>
          <a:ext cx="610747" cy="240366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>
              <a:solidFill>
                <a:schemeClr val="bg1"/>
              </a:solidFill>
            </a:rPr>
            <a:t>JK</a:t>
          </a:r>
          <a:r>
            <a:rPr lang="ko-KR" altLang="en-US" sz="800">
              <a:solidFill>
                <a:schemeClr val="bg1"/>
              </a:solidFill>
            </a:rPr>
            <a:t>군장</a:t>
          </a:r>
        </a:p>
      </xdr:txBody>
    </xdr:sp>
    <xdr:clientData/>
  </xdr:twoCellAnchor>
  <xdr:twoCellAnchor>
    <xdr:from>
      <xdr:col>58</xdr:col>
      <xdr:colOff>23506</xdr:colOff>
      <xdr:row>2</xdr:row>
      <xdr:rowOff>15688</xdr:rowOff>
    </xdr:from>
    <xdr:to>
      <xdr:col>60</xdr:col>
      <xdr:colOff>114300</xdr:colOff>
      <xdr:row>2</xdr:row>
      <xdr:rowOff>266140</xdr:rowOff>
    </xdr:to>
    <xdr:sp macro="" textlink="">
      <xdr:nvSpPr>
        <xdr:cNvPr id="3136" name="오른쪽 화살표 163">
          <a:extLst>
            <a:ext uri="{FF2B5EF4-FFF2-40B4-BE49-F238E27FC236}">
              <a16:creationId xmlns:a16="http://schemas.microsoft.com/office/drawing/2014/main" id="{E7F26C65-516B-438D-A41B-5C85A6C95EFC}"/>
            </a:ext>
          </a:extLst>
        </xdr:cNvPr>
        <xdr:cNvSpPr/>
      </xdr:nvSpPr>
      <xdr:spPr>
        <a:xfrm>
          <a:off x="1976131" y="330013"/>
          <a:ext cx="1652894" cy="250452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700" baseline="0">
              <a:solidFill>
                <a:schemeClr val="bg1"/>
              </a:solidFill>
            </a:rPr>
            <a:t>PU SHENG 6</a:t>
          </a:r>
        </a:p>
      </xdr:txBody>
    </xdr:sp>
    <xdr:clientData/>
  </xdr:twoCellAnchor>
  <xdr:twoCellAnchor>
    <xdr:from>
      <xdr:col>60</xdr:col>
      <xdr:colOff>114301</xdr:colOff>
      <xdr:row>2</xdr:row>
      <xdr:rowOff>9525</xdr:rowOff>
    </xdr:from>
    <xdr:to>
      <xdr:col>60</xdr:col>
      <xdr:colOff>600075</xdr:colOff>
      <xdr:row>2</xdr:row>
      <xdr:rowOff>276225</xdr:rowOff>
    </xdr:to>
    <xdr:sp macro="" textlink="">
      <xdr:nvSpPr>
        <xdr:cNvPr id="18" name="모서리가 둥근 직사각형 5">
          <a:extLst>
            <a:ext uri="{FF2B5EF4-FFF2-40B4-BE49-F238E27FC236}">
              <a16:creationId xmlns:a16="http://schemas.microsoft.com/office/drawing/2014/main" id="{D79AAB8F-B161-40F5-B8AB-EE10090F4F8F}"/>
            </a:ext>
          </a:extLst>
        </xdr:cNvPr>
        <xdr:cNvSpPr/>
      </xdr:nvSpPr>
      <xdr:spPr>
        <a:xfrm>
          <a:off x="3629026" y="323850"/>
          <a:ext cx="485774" cy="2667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ko-KR" altLang="en-US" sz="900"/>
            <a:t>정비</a:t>
          </a:r>
        </a:p>
      </xdr:txBody>
    </xdr:sp>
    <xdr:clientData/>
  </xdr:twoCellAnchor>
  <xdr:twoCellAnchor>
    <xdr:from>
      <xdr:col>61</xdr:col>
      <xdr:colOff>134217</xdr:colOff>
      <xdr:row>8</xdr:row>
      <xdr:rowOff>161925</xdr:rowOff>
    </xdr:from>
    <xdr:to>
      <xdr:col>61</xdr:col>
      <xdr:colOff>638175</xdr:colOff>
      <xdr:row>9</xdr:row>
      <xdr:rowOff>180975</xdr:rowOff>
    </xdr:to>
    <xdr:sp macro="" textlink="">
      <xdr:nvSpPr>
        <xdr:cNvPr id="15" name="오른쪽 화살표 141">
          <a:extLst>
            <a:ext uri="{FF2B5EF4-FFF2-40B4-BE49-F238E27FC236}">
              <a16:creationId xmlns:a16="http://schemas.microsoft.com/office/drawing/2014/main" id="{A80E3A65-57CE-587A-9C09-C92D5EBCE86D}"/>
            </a:ext>
          </a:extLst>
        </xdr:cNvPr>
        <xdr:cNvSpPr/>
      </xdr:nvSpPr>
      <xdr:spPr>
        <a:xfrm>
          <a:off x="4429992" y="1828800"/>
          <a:ext cx="503958" cy="228600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재원스텔라</a:t>
          </a:r>
          <a:endParaRPr lang="en-US" altLang="ko-KR" sz="700"/>
        </a:p>
      </xdr:txBody>
    </xdr:sp>
    <xdr:clientData/>
  </xdr:twoCellAnchor>
  <xdr:twoCellAnchor>
    <xdr:from>
      <xdr:col>62</xdr:col>
      <xdr:colOff>619992</xdr:colOff>
      <xdr:row>2</xdr:row>
      <xdr:rowOff>38100</xdr:rowOff>
    </xdr:from>
    <xdr:to>
      <xdr:col>63</xdr:col>
      <xdr:colOff>533400</xdr:colOff>
      <xdr:row>2</xdr:row>
      <xdr:rowOff>257175</xdr:rowOff>
    </xdr:to>
    <xdr:sp macro="" textlink="">
      <xdr:nvSpPr>
        <xdr:cNvPr id="17" name="오른쪽 화살표 141">
          <a:extLst>
            <a:ext uri="{FF2B5EF4-FFF2-40B4-BE49-F238E27FC236}">
              <a16:creationId xmlns:a16="http://schemas.microsoft.com/office/drawing/2014/main" id="{A973DFD9-1485-978B-D72D-15D97A3845F8}"/>
            </a:ext>
          </a:extLst>
        </xdr:cNvPr>
        <xdr:cNvSpPr/>
      </xdr:nvSpPr>
      <xdr:spPr>
        <a:xfrm>
          <a:off x="5696817" y="352425"/>
          <a:ext cx="713508" cy="219075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태화</a:t>
          </a:r>
          <a:r>
            <a:rPr lang="en-US" altLang="ko-KR" sz="700"/>
            <a:t>12</a:t>
          </a:r>
          <a:r>
            <a:rPr lang="ko-KR" altLang="en-US" sz="700"/>
            <a:t>호</a:t>
          </a:r>
          <a:endParaRPr lang="en-US" altLang="ko-KR" sz="700"/>
        </a:p>
      </xdr:txBody>
    </xdr:sp>
    <xdr:clientData/>
  </xdr:twoCellAnchor>
  <xdr:twoCellAnchor>
    <xdr:from>
      <xdr:col>63</xdr:col>
      <xdr:colOff>572367</xdr:colOff>
      <xdr:row>2</xdr:row>
      <xdr:rowOff>38100</xdr:rowOff>
    </xdr:from>
    <xdr:to>
      <xdr:col>64</xdr:col>
      <xdr:colOff>504825</xdr:colOff>
      <xdr:row>2</xdr:row>
      <xdr:rowOff>257175</xdr:rowOff>
    </xdr:to>
    <xdr:sp macro="" textlink="">
      <xdr:nvSpPr>
        <xdr:cNvPr id="3137" name="오른쪽 화살표 141">
          <a:extLst>
            <a:ext uri="{FF2B5EF4-FFF2-40B4-BE49-F238E27FC236}">
              <a16:creationId xmlns:a16="http://schemas.microsoft.com/office/drawing/2014/main" id="{662447B0-A771-75E5-3C60-2CA7A0038907}"/>
            </a:ext>
          </a:extLst>
        </xdr:cNvPr>
        <xdr:cNvSpPr/>
      </xdr:nvSpPr>
      <xdr:spPr>
        <a:xfrm>
          <a:off x="6449292" y="352425"/>
          <a:ext cx="713508" cy="219075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/>
            <a:t>용성</a:t>
          </a:r>
          <a:r>
            <a:rPr lang="en-US" altLang="ko-KR" sz="700"/>
            <a:t>1</a:t>
          </a:r>
          <a:r>
            <a:rPr lang="ko-KR" altLang="en-US" sz="700"/>
            <a:t>호</a:t>
          </a:r>
          <a:endParaRPr lang="en-US" altLang="ko-KR" sz="700"/>
        </a:p>
      </xdr:txBody>
    </xdr:sp>
    <xdr:clientData/>
  </xdr:twoCellAnchor>
  <xdr:twoCellAnchor>
    <xdr:from>
      <xdr:col>62</xdr:col>
      <xdr:colOff>104776</xdr:colOff>
      <xdr:row>2</xdr:row>
      <xdr:rowOff>19050</xdr:rowOff>
    </xdr:from>
    <xdr:to>
      <xdr:col>62</xdr:col>
      <xdr:colOff>590550</xdr:colOff>
      <xdr:row>3</xdr:row>
      <xdr:rowOff>0</xdr:rowOff>
    </xdr:to>
    <xdr:sp macro="" textlink="">
      <xdr:nvSpPr>
        <xdr:cNvPr id="3138" name="모서리가 둥근 직사각형 5">
          <a:extLst>
            <a:ext uri="{FF2B5EF4-FFF2-40B4-BE49-F238E27FC236}">
              <a16:creationId xmlns:a16="http://schemas.microsoft.com/office/drawing/2014/main" id="{F72D165D-1184-A666-882C-BD929F4F29C3}"/>
            </a:ext>
          </a:extLst>
        </xdr:cNvPr>
        <xdr:cNvSpPr/>
      </xdr:nvSpPr>
      <xdr:spPr>
        <a:xfrm>
          <a:off x="5181601" y="333375"/>
          <a:ext cx="485774" cy="2667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ko-KR" altLang="en-US" sz="900"/>
            <a:t>정비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BU25"/>
  <sheetViews>
    <sheetView showGridLines="0" zoomScaleNormal="100" workbookViewId="0">
      <selection activeCell="BK6" sqref="BK6"/>
    </sheetView>
  </sheetViews>
  <sheetFormatPr defaultRowHeight="16.5" x14ac:dyDescent="0.3"/>
  <cols>
    <col min="2" max="2" width="15.25" customWidth="1"/>
    <col min="3" max="3" width="0" hidden="1" customWidth="1"/>
    <col min="4" max="4" width="13.5" hidden="1" customWidth="1"/>
    <col min="5" max="5" width="15.625" hidden="1" customWidth="1"/>
    <col min="6" max="6" width="11.375" hidden="1" customWidth="1"/>
    <col min="7" max="7" width="11.5" hidden="1" customWidth="1"/>
    <col min="8" max="9" width="10.25" hidden="1" customWidth="1"/>
    <col min="10" max="10" width="13.875" hidden="1" customWidth="1"/>
    <col min="11" max="13" width="10.25" hidden="1" customWidth="1"/>
    <col min="14" max="14" width="10.5" hidden="1" customWidth="1"/>
    <col min="15" max="19" width="10.25" hidden="1" customWidth="1"/>
    <col min="20" max="21" width="11.375" hidden="1" customWidth="1"/>
    <col min="22" max="23" width="11.75" hidden="1" customWidth="1"/>
    <col min="24" max="30" width="10.25" hidden="1" customWidth="1"/>
    <col min="31" max="32" width="11.375" hidden="1" customWidth="1"/>
    <col min="33" max="42" width="10.25" hidden="1" customWidth="1"/>
    <col min="43" max="43" width="10.5" hidden="1" customWidth="1"/>
    <col min="44" max="50" width="10.25" hidden="1" customWidth="1"/>
    <col min="51" max="57" width="15" hidden="1" customWidth="1"/>
    <col min="58" max="59" width="10.25" hidden="1" customWidth="1"/>
    <col min="60" max="68" width="10.25" bestFit="1" customWidth="1"/>
    <col min="69" max="73" width="10.25" customWidth="1"/>
  </cols>
  <sheetData>
    <row r="1" spans="1:73" x14ac:dyDescent="0.3">
      <c r="G1" s="117"/>
      <c r="H1" s="117"/>
      <c r="I1" s="117"/>
      <c r="J1" s="117"/>
      <c r="K1" s="117"/>
      <c r="T1" s="168"/>
      <c r="U1" s="168"/>
      <c r="V1" s="170"/>
      <c r="W1" s="171"/>
      <c r="X1" s="171"/>
      <c r="Y1" s="171"/>
      <c r="Z1" s="171"/>
    </row>
    <row r="2" spans="1:73" s="226" customFormat="1" x14ac:dyDescent="0.3">
      <c r="A2" s="112" t="s">
        <v>461</v>
      </c>
      <c r="B2" s="114" t="s">
        <v>943</v>
      </c>
      <c r="C2" s="114" t="s">
        <v>474</v>
      </c>
      <c r="D2" s="114" t="s">
        <v>475</v>
      </c>
      <c r="E2" s="114" t="s">
        <v>425</v>
      </c>
      <c r="F2" s="114" t="s">
        <v>490</v>
      </c>
      <c r="G2" s="115" t="s">
        <v>530</v>
      </c>
      <c r="H2" s="116">
        <v>45623</v>
      </c>
      <c r="I2" s="116">
        <v>45624</v>
      </c>
      <c r="J2" s="116">
        <v>45625</v>
      </c>
      <c r="K2" s="116">
        <v>45626</v>
      </c>
      <c r="L2" s="116">
        <v>45627</v>
      </c>
      <c r="M2" s="116">
        <v>45628</v>
      </c>
      <c r="N2" s="116">
        <v>45629</v>
      </c>
      <c r="O2" s="116">
        <v>45630</v>
      </c>
      <c r="P2" s="116">
        <v>45631</v>
      </c>
      <c r="Q2" s="116">
        <v>45632</v>
      </c>
      <c r="R2" s="116">
        <v>45633</v>
      </c>
      <c r="S2" s="116">
        <v>45634</v>
      </c>
      <c r="T2" s="116">
        <v>45635</v>
      </c>
      <c r="U2" s="116">
        <v>45636</v>
      </c>
      <c r="V2" s="116">
        <v>45637</v>
      </c>
      <c r="W2" s="116">
        <v>45638</v>
      </c>
      <c r="X2" s="116">
        <v>45639</v>
      </c>
      <c r="Y2" s="116">
        <v>45640</v>
      </c>
      <c r="Z2" s="116">
        <v>45641</v>
      </c>
      <c r="AA2" s="116">
        <v>45642</v>
      </c>
      <c r="AB2" s="116">
        <v>45643</v>
      </c>
      <c r="AC2" s="116">
        <v>45644</v>
      </c>
      <c r="AD2" s="116">
        <v>45645</v>
      </c>
      <c r="AE2" s="116">
        <v>45646</v>
      </c>
      <c r="AF2" s="116">
        <v>45647</v>
      </c>
      <c r="AG2" s="116">
        <v>45648</v>
      </c>
      <c r="AH2" s="116">
        <v>45649</v>
      </c>
      <c r="AI2" s="116">
        <v>45650</v>
      </c>
      <c r="AJ2" s="116">
        <v>45651</v>
      </c>
      <c r="AK2" s="116">
        <v>45652</v>
      </c>
      <c r="AL2" s="116">
        <v>45653</v>
      </c>
      <c r="AM2" s="116">
        <v>45654</v>
      </c>
      <c r="AN2" s="116">
        <v>45655</v>
      </c>
      <c r="AO2" s="116">
        <v>45656</v>
      </c>
      <c r="AP2" s="116">
        <v>45657</v>
      </c>
      <c r="AQ2" s="116">
        <v>45658</v>
      </c>
      <c r="AR2" s="116">
        <v>45659</v>
      </c>
      <c r="AS2" s="116">
        <v>45660</v>
      </c>
      <c r="AT2" s="116">
        <v>45661</v>
      </c>
      <c r="AU2" s="116">
        <v>45662</v>
      </c>
      <c r="AV2" s="116">
        <v>45663</v>
      </c>
      <c r="AW2" s="116">
        <v>45664</v>
      </c>
      <c r="AX2" s="116">
        <v>45665</v>
      </c>
      <c r="AY2" s="116">
        <v>45701</v>
      </c>
      <c r="AZ2" s="116">
        <v>45702</v>
      </c>
      <c r="BA2" s="116">
        <v>45703</v>
      </c>
      <c r="BB2" s="116">
        <v>45704</v>
      </c>
      <c r="BC2" s="116">
        <v>45705</v>
      </c>
      <c r="BD2" s="116">
        <v>45771</v>
      </c>
      <c r="BE2" s="116">
        <v>45772</v>
      </c>
      <c r="BF2" s="116">
        <v>45773</v>
      </c>
      <c r="BG2" s="116">
        <v>45774</v>
      </c>
      <c r="BH2" s="116">
        <v>45828</v>
      </c>
      <c r="BI2" s="116">
        <v>45829</v>
      </c>
      <c r="BJ2" s="116">
        <v>45830</v>
      </c>
      <c r="BK2" s="116">
        <v>45831</v>
      </c>
      <c r="BL2" s="116">
        <v>45832</v>
      </c>
      <c r="BM2" s="116">
        <v>45833</v>
      </c>
      <c r="BN2" s="116">
        <v>45834</v>
      </c>
      <c r="BO2" s="116">
        <v>45835</v>
      </c>
      <c r="BP2" s="116">
        <v>45836</v>
      </c>
      <c r="BQ2" s="116">
        <v>45837</v>
      </c>
      <c r="BR2" s="116">
        <v>45838</v>
      </c>
      <c r="BS2" s="116">
        <v>45839</v>
      </c>
      <c r="BT2" s="116">
        <v>45840</v>
      </c>
      <c r="BU2"/>
    </row>
    <row r="3" spans="1:73" ht="22.5" customHeight="1" x14ac:dyDescent="0.3">
      <c r="A3" s="218" t="s">
        <v>885</v>
      </c>
      <c r="B3" s="132" t="s">
        <v>748</v>
      </c>
      <c r="C3" s="133"/>
      <c r="D3" s="134"/>
      <c r="E3" s="135"/>
      <c r="F3" s="136"/>
      <c r="G3" s="133"/>
      <c r="H3" s="133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65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216" t="s">
        <v>811</v>
      </c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</row>
    <row r="4" spans="1:73" ht="22.5" customHeight="1" x14ac:dyDescent="0.3">
      <c r="A4" s="394" t="s">
        <v>886</v>
      </c>
      <c r="B4" s="101" t="s">
        <v>13</v>
      </c>
      <c r="C4" s="127"/>
      <c r="D4" s="129"/>
      <c r="E4" s="128"/>
      <c r="F4" s="130"/>
      <c r="G4" s="131"/>
      <c r="H4" s="131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</row>
    <row r="5" spans="1:73" ht="22.5" customHeight="1" x14ac:dyDescent="0.3">
      <c r="A5" s="394"/>
      <c r="B5" s="223" t="s">
        <v>94</v>
      </c>
      <c r="C5" s="138"/>
      <c r="D5" s="139"/>
      <c r="E5" s="140"/>
      <c r="F5" s="141"/>
      <c r="G5" s="142"/>
      <c r="H5" s="142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27"/>
      <c r="T5" s="12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N5" s="107"/>
      <c r="BO5" s="107"/>
      <c r="BP5" s="107"/>
      <c r="BQ5" s="107"/>
      <c r="BR5" s="107"/>
      <c r="BS5" s="107"/>
      <c r="BT5" s="107"/>
    </row>
    <row r="6" spans="1:73" ht="22.5" customHeight="1" x14ac:dyDescent="0.3">
      <c r="A6" s="394"/>
      <c r="B6" s="101" t="s">
        <v>642</v>
      </c>
      <c r="C6" s="127"/>
      <c r="D6" s="127"/>
      <c r="E6" s="140"/>
      <c r="F6" s="131"/>
      <c r="G6" s="131"/>
      <c r="H6" s="131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/>
    </row>
    <row r="7" spans="1:73" x14ac:dyDescent="0.3">
      <c r="A7" s="224" t="s">
        <v>949</v>
      </c>
    </row>
    <row r="8" spans="1:73" x14ac:dyDescent="0.3">
      <c r="BU8" t="s">
        <v>996</v>
      </c>
    </row>
    <row r="9" spans="1:73" x14ac:dyDescent="0.3">
      <c r="BU9" t="s">
        <v>992</v>
      </c>
    </row>
    <row r="10" spans="1:73" x14ac:dyDescent="0.3">
      <c r="Q10" t="s">
        <v>757</v>
      </c>
      <c r="BU10" t="s">
        <v>993</v>
      </c>
    </row>
    <row r="11" spans="1:73" x14ac:dyDescent="0.3">
      <c r="BU11" t="s">
        <v>994</v>
      </c>
    </row>
    <row r="12" spans="1:73" x14ac:dyDescent="0.3">
      <c r="BU12" t="s">
        <v>995</v>
      </c>
    </row>
    <row r="15" spans="1:73" x14ac:dyDescent="0.3">
      <c r="B15" t="s">
        <v>970</v>
      </c>
      <c r="BH15" t="s">
        <v>971</v>
      </c>
      <c r="BI15" s="227" t="s">
        <v>972</v>
      </c>
    </row>
    <row r="16" spans="1:73" x14ac:dyDescent="0.3">
      <c r="B16">
        <v>5100</v>
      </c>
      <c r="BH16" s="225">
        <f>+B16/600</f>
        <v>8.5</v>
      </c>
      <c r="BI16" s="225">
        <f>+BH16+2</f>
        <v>10.5</v>
      </c>
    </row>
    <row r="17" spans="2:61" x14ac:dyDescent="0.3">
      <c r="B17">
        <v>5900</v>
      </c>
      <c r="BH17" s="225">
        <f>+B17/600</f>
        <v>9.8333333333333339</v>
      </c>
      <c r="BI17" s="225">
        <f>+BH17+2</f>
        <v>11.833333333333334</v>
      </c>
    </row>
    <row r="18" spans="2:61" x14ac:dyDescent="0.3">
      <c r="B18">
        <v>7500</v>
      </c>
      <c r="AD18" s="113"/>
      <c r="AE18" s="113" t="s">
        <v>798</v>
      </c>
      <c r="AF18" s="113" t="s">
        <v>799</v>
      </c>
      <c r="AG18" s="113" t="s">
        <v>800</v>
      </c>
      <c r="AH18" s="113" t="s">
        <v>799</v>
      </c>
      <c r="BH18" s="225">
        <f>+B18/600</f>
        <v>12.5</v>
      </c>
      <c r="BI18" s="225">
        <f>+BH18+2</f>
        <v>14.5</v>
      </c>
    </row>
    <row r="19" spans="2:61" x14ac:dyDescent="0.3">
      <c r="AD19" s="113" t="s">
        <v>797</v>
      </c>
      <c r="AE19" s="213">
        <v>45642.333333333336</v>
      </c>
      <c r="AF19" s="213">
        <v>45643.333333333336</v>
      </c>
      <c r="AG19" s="213" t="s">
        <v>796</v>
      </c>
      <c r="AH19" s="213"/>
    </row>
    <row r="25" spans="2:61" x14ac:dyDescent="0.3">
      <c r="BE25" t="s">
        <v>927</v>
      </c>
    </row>
  </sheetData>
  <mergeCells count="1">
    <mergeCell ref="A4:A6"/>
  </mergeCells>
  <phoneticPr fontId="4" type="noConversion"/>
  <conditionalFormatting sqref="BH2:BT2">
    <cfRule type="expression" dxfId="9" priority="1">
      <formula>WEEKDAY(BH2, 2) &gt; 5</formula>
    </cfRule>
  </conditionalFormatting>
  <pageMargins left="0.7" right="0.7" top="0.75" bottom="0.75" header="0.3" footer="0.3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272"/>
  <sheetViews>
    <sheetView showGridLines="0" tabSelected="1" zoomScale="85" zoomScaleNormal="85" zoomScaleSheetLayoutView="55" workbookViewId="0">
      <selection activeCell="A2" sqref="A2:Q2"/>
    </sheetView>
  </sheetViews>
  <sheetFormatPr defaultRowHeight="16.5" x14ac:dyDescent="0.3"/>
  <cols>
    <col min="1" max="1" width="1.125" style="153" customWidth="1"/>
    <col min="2" max="2" width="22.125" style="59" customWidth="1"/>
    <col min="3" max="3" width="13" style="56" customWidth="1"/>
    <col min="4" max="4" width="12.375" style="56" customWidth="1"/>
    <col min="5" max="5" width="6" style="56" customWidth="1"/>
    <col min="6" max="6" width="14.125" style="61" customWidth="1"/>
    <col min="7" max="7" width="15.25" style="60" customWidth="1"/>
    <col min="8" max="8" width="12.375" style="59" customWidth="1"/>
    <col min="9" max="9" width="5.625" style="56" customWidth="1"/>
    <col min="10" max="10" width="11.125" style="56" customWidth="1"/>
    <col min="11" max="11" width="3.625" style="56" customWidth="1"/>
    <col min="12" max="12" width="17.5" style="56" customWidth="1"/>
    <col min="13" max="13" width="8.25" style="56" customWidth="1"/>
    <col min="14" max="14" width="17.5" style="56" customWidth="1"/>
    <col min="15" max="15" width="17.375" style="56" customWidth="1"/>
    <col min="16" max="16" width="17.875" style="56" customWidth="1"/>
    <col min="17" max="17" width="40.625" style="56" bestFit="1" customWidth="1"/>
    <col min="18" max="18" width="2.5" customWidth="1"/>
    <col min="19" max="19" width="1.875" customWidth="1"/>
    <col min="20" max="20" width="10" bestFit="1" customWidth="1"/>
  </cols>
  <sheetData>
    <row r="1" spans="1:17" ht="6" customHeight="1" x14ac:dyDescent="0.3"/>
    <row r="2" spans="1:17" s="1" customFormat="1" ht="24.75" customHeight="1" x14ac:dyDescent="0.3">
      <c r="A2" s="630" t="s">
        <v>969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</row>
    <row r="3" spans="1:17" s="1" customFormat="1" ht="19.5" customHeight="1" x14ac:dyDescent="0.3">
      <c r="A3" s="632"/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  <c r="N3" s="633"/>
      <c r="O3" s="633"/>
      <c r="P3" s="633"/>
      <c r="Q3" s="633"/>
    </row>
    <row r="4" spans="1:17" s="1" customFormat="1" ht="4.5" customHeight="1" x14ac:dyDescent="0.3">
      <c r="A4" s="154"/>
      <c r="B4" s="5"/>
      <c r="C4" s="5" t="s">
        <v>27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1" customFormat="1" ht="24" customHeight="1" x14ac:dyDescent="0.3">
      <c r="A5" s="155"/>
      <c r="B5" s="6" t="s">
        <v>842</v>
      </c>
      <c r="C5" s="2"/>
      <c r="D5" s="2"/>
      <c r="E5" s="2"/>
      <c r="F5" s="2"/>
      <c r="G5" s="2"/>
      <c r="H5" s="2"/>
      <c r="I5" s="2"/>
      <c r="J5" s="2" t="s">
        <v>27</v>
      </c>
      <c r="K5" s="2"/>
      <c r="L5" s="2"/>
      <c r="M5" s="2"/>
      <c r="N5" s="2"/>
      <c r="O5" s="2"/>
      <c r="P5" s="2"/>
      <c r="Q5" s="2"/>
    </row>
    <row r="6" spans="1:17" s="1" customFormat="1" ht="19.5" customHeight="1" x14ac:dyDescent="0.3">
      <c r="A6" s="156"/>
      <c r="B6" s="9" t="s">
        <v>0</v>
      </c>
      <c r="C6" s="94" t="s">
        <v>4</v>
      </c>
      <c r="D6" s="94" t="s">
        <v>33</v>
      </c>
      <c r="E6" s="94" t="s">
        <v>164</v>
      </c>
      <c r="F6" s="94" t="s">
        <v>1</v>
      </c>
      <c r="G6" s="10" t="s">
        <v>3</v>
      </c>
      <c r="H6" s="9" t="s">
        <v>2</v>
      </c>
      <c r="I6" s="94" t="s">
        <v>6</v>
      </c>
      <c r="J6" s="94" t="s">
        <v>5</v>
      </c>
      <c r="K6" s="9" t="s">
        <v>52</v>
      </c>
      <c r="L6" s="9" t="s">
        <v>7</v>
      </c>
      <c r="M6" s="9" t="s">
        <v>8</v>
      </c>
      <c r="N6" s="94" t="s">
        <v>1389</v>
      </c>
      <c r="O6" s="94" t="s">
        <v>1390</v>
      </c>
      <c r="P6" s="94" t="s">
        <v>508</v>
      </c>
      <c r="Q6" s="94" t="s">
        <v>10</v>
      </c>
    </row>
    <row r="7" spans="1:17" s="1" customFormat="1" ht="14.25" hidden="1" customHeight="1" x14ac:dyDescent="0.3">
      <c r="A7" s="156"/>
      <c r="B7" s="86" t="s">
        <v>104</v>
      </c>
      <c r="C7" s="27">
        <v>44539.595833333333</v>
      </c>
      <c r="D7" s="14"/>
      <c r="E7" s="14"/>
      <c r="F7" s="95" t="s">
        <v>38</v>
      </c>
      <c r="G7" s="96">
        <v>88000</v>
      </c>
      <c r="H7" s="86" t="s">
        <v>94</v>
      </c>
      <c r="I7" s="86" t="s">
        <v>9</v>
      </c>
      <c r="J7" s="86" t="s">
        <v>114</v>
      </c>
      <c r="K7" s="95"/>
      <c r="L7" s="95"/>
      <c r="M7" s="69"/>
      <c r="N7" s="86"/>
      <c r="O7" s="86"/>
      <c r="P7" s="86"/>
      <c r="Q7" s="69" t="s">
        <v>100</v>
      </c>
    </row>
    <row r="8" spans="1:17" s="1" customFormat="1" ht="14.25" hidden="1" customHeight="1" x14ac:dyDescent="0.3">
      <c r="A8" s="156"/>
      <c r="B8" s="634" t="s">
        <v>99</v>
      </c>
      <c r="C8" s="635">
        <v>44542.211805555555</v>
      </c>
      <c r="D8" s="635" t="s">
        <v>110</v>
      </c>
      <c r="E8" s="84"/>
      <c r="F8" s="432" t="s">
        <v>38</v>
      </c>
      <c r="G8" s="97">
        <v>54307</v>
      </c>
      <c r="H8" s="634" t="s">
        <v>39</v>
      </c>
      <c r="I8" s="69" t="s">
        <v>19</v>
      </c>
      <c r="J8" s="69" t="s">
        <v>106</v>
      </c>
      <c r="K8" s="85"/>
      <c r="L8" s="432" t="s">
        <v>16</v>
      </c>
      <c r="M8" s="634" t="s">
        <v>53</v>
      </c>
      <c r="N8" s="69" t="s">
        <v>101</v>
      </c>
      <c r="O8" s="69"/>
      <c r="P8" s="69"/>
      <c r="Q8" s="636" t="s">
        <v>103</v>
      </c>
    </row>
    <row r="9" spans="1:17" s="1" customFormat="1" ht="14.25" hidden="1" customHeight="1" x14ac:dyDescent="0.3">
      <c r="A9" s="156"/>
      <c r="B9" s="634"/>
      <c r="C9" s="635"/>
      <c r="D9" s="635"/>
      <c r="E9" s="84"/>
      <c r="F9" s="432"/>
      <c r="G9" s="97">
        <v>38008</v>
      </c>
      <c r="H9" s="634"/>
      <c r="I9" s="69" t="s">
        <v>18</v>
      </c>
      <c r="J9" s="29" t="s">
        <v>115</v>
      </c>
      <c r="K9" s="85"/>
      <c r="L9" s="432"/>
      <c r="M9" s="634"/>
      <c r="N9" s="69" t="s">
        <v>102</v>
      </c>
      <c r="O9" s="69"/>
      <c r="P9" s="69"/>
      <c r="Q9" s="636"/>
    </row>
    <row r="10" spans="1:17" s="1" customFormat="1" ht="14.25" hidden="1" customHeight="1" x14ac:dyDescent="0.3">
      <c r="A10" s="156"/>
      <c r="B10" s="69" t="s">
        <v>108</v>
      </c>
      <c r="C10" s="84">
        <v>44545.333333333336</v>
      </c>
      <c r="D10" s="84" t="s">
        <v>112</v>
      </c>
      <c r="E10" s="84"/>
      <c r="F10" s="85" t="s">
        <v>26</v>
      </c>
      <c r="G10" s="97">
        <v>11249</v>
      </c>
      <c r="H10" s="69" t="s">
        <v>60</v>
      </c>
      <c r="I10" s="69" t="s">
        <v>17</v>
      </c>
      <c r="J10" s="69" t="s">
        <v>88</v>
      </c>
      <c r="K10" s="85"/>
      <c r="L10" s="85"/>
      <c r="M10" s="69" t="s">
        <v>16</v>
      </c>
      <c r="N10" s="69"/>
      <c r="O10" s="87" t="s">
        <v>109</v>
      </c>
      <c r="P10" s="87"/>
      <c r="Q10" s="69" t="s">
        <v>105</v>
      </c>
    </row>
    <row r="11" spans="1:17" s="1" customFormat="1" ht="14.25" hidden="1" customHeight="1" x14ac:dyDescent="0.3">
      <c r="A11" s="156"/>
      <c r="B11" s="634" t="s">
        <v>107</v>
      </c>
      <c r="C11" s="635">
        <v>44542.595833333333</v>
      </c>
      <c r="D11" s="635" t="s">
        <v>111</v>
      </c>
      <c r="E11" s="84"/>
      <c r="F11" s="432" t="s">
        <v>38</v>
      </c>
      <c r="G11" s="97">
        <v>36800</v>
      </c>
      <c r="H11" s="634" t="s">
        <v>94</v>
      </c>
      <c r="I11" s="69" t="s">
        <v>17</v>
      </c>
      <c r="J11" s="69" t="s">
        <v>96</v>
      </c>
      <c r="K11" s="85"/>
      <c r="L11" s="85"/>
      <c r="M11" s="634"/>
      <c r="N11" s="69"/>
      <c r="O11" s="69"/>
      <c r="P11" s="69"/>
      <c r="Q11" s="634" t="s">
        <v>105</v>
      </c>
    </row>
    <row r="12" spans="1:17" s="1" customFormat="1" ht="14.25" hidden="1" customHeight="1" x14ac:dyDescent="0.3">
      <c r="A12" s="156"/>
      <c r="B12" s="634"/>
      <c r="C12" s="635"/>
      <c r="D12" s="635"/>
      <c r="E12" s="84"/>
      <c r="F12" s="432"/>
      <c r="G12" s="97">
        <f>76800-G11</f>
        <v>40000</v>
      </c>
      <c r="H12" s="634"/>
      <c r="I12" s="69" t="s">
        <v>17</v>
      </c>
      <c r="J12" s="69" t="s">
        <v>113</v>
      </c>
      <c r="K12" s="85"/>
      <c r="L12" s="85"/>
      <c r="M12" s="634"/>
      <c r="N12" s="69"/>
      <c r="O12" s="69"/>
      <c r="P12" s="69"/>
      <c r="Q12" s="634"/>
    </row>
    <row r="13" spans="1:17" s="1" customFormat="1" ht="14.25" hidden="1" customHeight="1" x14ac:dyDescent="0.3">
      <c r="A13" s="156"/>
      <c r="B13" s="634" t="s">
        <v>116</v>
      </c>
      <c r="C13" s="635">
        <v>44568.958333333336</v>
      </c>
      <c r="D13" s="635" t="s">
        <v>111</v>
      </c>
      <c r="E13" s="84"/>
      <c r="F13" s="432" t="s">
        <v>14</v>
      </c>
      <c r="G13" s="97">
        <v>27000</v>
      </c>
      <c r="H13" s="634" t="s">
        <v>13</v>
      </c>
      <c r="I13" s="69" t="s">
        <v>11</v>
      </c>
      <c r="J13" s="69" t="s">
        <v>117</v>
      </c>
      <c r="K13" s="85"/>
      <c r="L13" s="432"/>
      <c r="M13" s="634"/>
      <c r="N13" s="69"/>
      <c r="O13" s="69"/>
      <c r="P13" s="69"/>
      <c r="Q13" s="634" t="s">
        <v>118</v>
      </c>
    </row>
    <row r="14" spans="1:17" s="1" customFormat="1" ht="14.25" hidden="1" customHeight="1" x14ac:dyDescent="0.3">
      <c r="A14" s="156"/>
      <c r="B14" s="634"/>
      <c r="C14" s="635"/>
      <c r="D14" s="635"/>
      <c r="E14" s="84"/>
      <c r="F14" s="432"/>
      <c r="G14" s="97">
        <v>28000</v>
      </c>
      <c r="H14" s="634"/>
      <c r="I14" s="69" t="s">
        <v>17</v>
      </c>
      <c r="J14" s="69" t="s">
        <v>25</v>
      </c>
      <c r="K14" s="85"/>
      <c r="L14" s="432"/>
      <c r="M14" s="634"/>
      <c r="N14" s="69"/>
      <c r="O14" s="69"/>
      <c r="P14" s="69"/>
      <c r="Q14" s="634"/>
    </row>
    <row r="15" spans="1:17" s="1" customFormat="1" ht="14.25" hidden="1" customHeight="1" x14ac:dyDescent="0.3">
      <c r="A15" s="156"/>
      <c r="B15" s="69" t="s">
        <v>119</v>
      </c>
      <c r="C15" s="84">
        <v>44587.583333333336</v>
      </c>
      <c r="D15" s="84"/>
      <c r="E15" s="84"/>
      <c r="F15" s="85" t="s">
        <v>38</v>
      </c>
      <c r="G15" s="97">
        <v>40000</v>
      </c>
      <c r="H15" s="69" t="s">
        <v>41</v>
      </c>
      <c r="I15" s="69" t="s">
        <v>9</v>
      </c>
      <c r="J15" s="69" t="s">
        <v>131</v>
      </c>
      <c r="K15" s="85"/>
      <c r="L15" s="85" t="s">
        <v>16</v>
      </c>
      <c r="M15" s="69" t="s">
        <v>16</v>
      </c>
      <c r="N15" s="69"/>
      <c r="O15" s="69"/>
      <c r="P15" s="69"/>
      <c r="Q15" s="69" t="s">
        <v>128</v>
      </c>
    </row>
    <row r="16" spans="1:17" s="1" customFormat="1" ht="14.25" hidden="1" customHeight="1" x14ac:dyDescent="0.3">
      <c r="A16" s="156"/>
      <c r="B16" s="634" t="s">
        <v>120</v>
      </c>
      <c r="C16" s="635">
        <v>44588.5</v>
      </c>
      <c r="D16" s="84"/>
      <c r="E16" s="84"/>
      <c r="F16" s="432" t="s">
        <v>38</v>
      </c>
      <c r="G16" s="97">
        <v>76000</v>
      </c>
      <c r="H16" s="637" t="s">
        <v>295</v>
      </c>
      <c r="I16" s="69" t="s">
        <v>9</v>
      </c>
      <c r="J16" s="69" t="s">
        <v>132</v>
      </c>
      <c r="K16" s="85"/>
      <c r="L16" s="85"/>
      <c r="M16" s="85"/>
      <c r="N16" s="69"/>
      <c r="O16" s="69"/>
      <c r="P16" s="69"/>
      <c r="Q16" s="634" t="s">
        <v>129</v>
      </c>
    </row>
    <row r="17" spans="1:20" s="1" customFormat="1" ht="14.25" hidden="1" customHeight="1" x14ac:dyDescent="0.3">
      <c r="A17" s="156"/>
      <c r="B17" s="634"/>
      <c r="C17" s="635"/>
      <c r="D17" s="84"/>
      <c r="E17" s="84"/>
      <c r="F17" s="432"/>
      <c r="G17" s="97">
        <v>78000</v>
      </c>
      <c r="H17" s="637"/>
      <c r="I17" s="69" t="s">
        <v>18</v>
      </c>
      <c r="J17" s="69" t="s">
        <v>124</v>
      </c>
      <c r="K17" s="85"/>
      <c r="L17" s="85"/>
      <c r="M17" s="85"/>
      <c r="N17" s="69"/>
      <c r="O17" s="69"/>
      <c r="P17" s="69"/>
      <c r="Q17" s="634"/>
    </row>
    <row r="18" spans="1:20" s="1" customFormat="1" ht="14.25" hidden="1" customHeight="1" x14ac:dyDescent="0.3">
      <c r="A18" s="156"/>
      <c r="B18" s="69" t="s">
        <v>121</v>
      </c>
      <c r="C18" s="27">
        <v>44594.454861111109</v>
      </c>
      <c r="D18" s="84"/>
      <c r="E18" s="84"/>
      <c r="F18" s="85" t="s">
        <v>21</v>
      </c>
      <c r="G18" s="97">
        <v>52800</v>
      </c>
      <c r="H18" s="69" t="s">
        <v>122</v>
      </c>
      <c r="I18" s="86" t="s">
        <v>17</v>
      </c>
      <c r="J18" s="86" t="s">
        <v>86</v>
      </c>
      <c r="K18" s="85"/>
      <c r="L18" s="85"/>
      <c r="M18" s="69" t="s">
        <v>16</v>
      </c>
      <c r="N18" s="69"/>
      <c r="O18" s="69" t="s">
        <v>123</v>
      </c>
      <c r="P18" s="69"/>
      <c r="Q18" s="69" t="s">
        <v>105</v>
      </c>
    </row>
    <row r="19" spans="1:20" s="1" customFormat="1" ht="14.25" hidden="1" customHeight="1" x14ac:dyDescent="0.3">
      <c r="A19" s="156"/>
      <c r="B19" s="634" t="s">
        <v>127</v>
      </c>
      <c r="C19" s="635">
        <v>44595.895833333336</v>
      </c>
      <c r="D19" s="84"/>
      <c r="E19" s="84"/>
      <c r="F19" s="432" t="s">
        <v>14</v>
      </c>
      <c r="G19" s="96">
        <v>35450</v>
      </c>
      <c r="H19" s="431" t="s">
        <v>94</v>
      </c>
      <c r="I19" s="86" t="s">
        <v>11</v>
      </c>
      <c r="J19" s="86" t="s">
        <v>136</v>
      </c>
      <c r="K19" s="85"/>
      <c r="L19" s="85"/>
      <c r="M19" s="69"/>
      <c r="N19" s="69"/>
      <c r="O19" s="69"/>
      <c r="P19" s="69"/>
      <c r="Q19" s="634" t="s">
        <v>105</v>
      </c>
    </row>
    <row r="20" spans="1:20" s="1" customFormat="1" ht="14.25" hidden="1" customHeight="1" x14ac:dyDescent="0.3">
      <c r="A20" s="156"/>
      <c r="B20" s="634"/>
      <c r="C20" s="635"/>
      <c r="D20" s="84"/>
      <c r="E20" s="84"/>
      <c r="F20" s="432"/>
      <c r="G20" s="96">
        <v>35000</v>
      </c>
      <c r="H20" s="431"/>
      <c r="I20" s="86" t="s">
        <v>17</v>
      </c>
      <c r="J20" s="86" t="s">
        <v>150</v>
      </c>
      <c r="K20" s="85"/>
      <c r="L20" s="85"/>
      <c r="M20" s="69"/>
      <c r="N20" s="69"/>
      <c r="O20" s="69"/>
      <c r="P20" s="69"/>
      <c r="Q20" s="634"/>
    </row>
    <row r="21" spans="1:20" s="1" customFormat="1" ht="14.25" hidden="1" customHeight="1" x14ac:dyDescent="0.3">
      <c r="A21" s="156"/>
      <c r="B21" s="69" t="s">
        <v>126</v>
      </c>
      <c r="C21" s="84">
        <v>44596.270833333336</v>
      </c>
      <c r="D21" s="84"/>
      <c r="E21" s="84"/>
      <c r="F21" s="85" t="s">
        <v>26</v>
      </c>
      <c r="G21" s="97">
        <v>17280</v>
      </c>
      <c r="H21" s="69" t="s">
        <v>60</v>
      </c>
      <c r="I21" s="86" t="s">
        <v>11</v>
      </c>
      <c r="J21" s="29" t="s">
        <v>145</v>
      </c>
      <c r="K21" s="85"/>
      <c r="L21" s="85" t="s">
        <v>16</v>
      </c>
      <c r="M21" s="69" t="s">
        <v>16</v>
      </c>
      <c r="N21" s="69" t="s">
        <v>144</v>
      </c>
      <c r="O21" s="69" t="s">
        <v>123</v>
      </c>
      <c r="P21" s="69"/>
      <c r="Q21" s="69" t="s">
        <v>105</v>
      </c>
    </row>
    <row r="22" spans="1:20" s="1" customFormat="1" ht="14.25" hidden="1" customHeight="1" x14ac:dyDescent="0.3">
      <c r="A22" s="156"/>
      <c r="B22" s="634" t="s">
        <v>130</v>
      </c>
      <c r="C22" s="635">
        <v>44599.770833333336</v>
      </c>
      <c r="D22" s="84"/>
      <c r="E22" s="84"/>
      <c r="F22" s="432" t="s">
        <v>46</v>
      </c>
      <c r="G22" s="97">
        <v>25500</v>
      </c>
      <c r="H22" s="634" t="s">
        <v>47</v>
      </c>
      <c r="I22" s="431" t="s">
        <v>49</v>
      </c>
      <c r="J22" s="86" t="s">
        <v>71</v>
      </c>
      <c r="K22" s="85"/>
      <c r="L22" s="85"/>
      <c r="M22" s="634"/>
      <c r="N22" s="69"/>
      <c r="O22" s="69"/>
      <c r="P22" s="69"/>
      <c r="Q22" s="634" t="s">
        <v>118</v>
      </c>
    </row>
    <row r="23" spans="1:20" s="1" customFormat="1" ht="14.25" hidden="1" customHeight="1" x14ac:dyDescent="0.3">
      <c r="A23" s="156"/>
      <c r="B23" s="634"/>
      <c r="C23" s="635"/>
      <c r="D23" s="84"/>
      <c r="E23" s="84"/>
      <c r="F23" s="432"/>
      <c r="G23" s="97">
        <v>5000</v>
      </c>
      <c r="H23" s="634"/>
      <c r="I23" s="431"/>
      <c r="J23" s="86" t="s">
        <v>138</v>
      </c>
      <c r="K23" s="85"/>
      <c r="L23" s="85"/>
      <c r="M23" s="634"/>
      <c r="N23" s="69"/>
      <c r="O23" s="69"/>
      <c r="P23" s="69"/>
      <c r="Q23" s="634"/>
    </row>
    <row r="24" spans="1:20" s="1" customFormat="1" ht="14.25" hidden="1" customHeight="1" x14ac:dyDescent="0.3">
      <c r="A24" s="156"/>
      <c r="B24" s="634" t="s">
        <v>99</v>
      </c>
      <c r="C24" s="635">
        <v>44600.243055555555</v>
      </c>
      <c r="D24" s="84"/>
      <c r="E24" s="84"/>
      <c r="F24" s="432" t="s">
        <v>38</v>
      </c>
      <c r="G24" s="97">
        <v>43601</v>
      </c>
      <c r="H24" s="69" t="s">
        <v>142</v>
      </c>
      <c r="I24" s="86" t="s">
        <v>19</v>
      </c>
      <c r="J24" s="86" t="s">
        <v>69</v>
      </c>
      <c r="K24" s="85"/>
      <c r="L24" s="432" t="s">
        <v>16</v>
      </c>
      <c r="M24" s="634" t="s">
        <v>16</v>
      </c>
      <c r="N24" s="87" t="s">
        <v>153</v>
      </c>
      <c r="O24" s="69"/>
      <c r="P24" s="69"/>
      <c r="Q24" s="636" t="s">
        <v>155</v>
      </c>
    </row>
    <row r="25" spans="1:20" s="1" customFormat="1" ht="14.25" hidden="1" customHeight="1" x14ac:dyDescent="0.3">
      <c r="A25" s="156"/>
      <c r="B25" s="634"/>
      <c r="C25" s="635"/>
      <c r="D25" s="84"/>
      <c r="E25" s="84"/>
      <c r="F25" s="432"/>
      <c r="G25" s="97">
        <v>56574</v>
      </c>
      <c r="H25" s="69" t="s">
        <v>39</v>
      </c>
      <c r="I25" s="86" t="s">
        <v>15</v>
      </c>
      <c r="J25" s="86" t="s">
        <v>143</v>
      </c>
      <c r="K25" s="85"/>
      <c r="L25" s="432"/>
      <c r="M25" s="634"/>
      <c r="N25" s="87" t="s">
        <v>154</v>
      </c>
      <c r="O25" s="69"/>
      <c r="P25" s="69"/>
      <c r="Q25" s="636"/>
    </row>
    <row r="26" spans="1:20" s="1" customFormat="1" ht="14.25" hidden="1" customHeight="1" x14ac:dyDescent="0.3">
      <c r="A26" s="156"/>
      <c r="B26" s="69" t="s">
        <v>139</v>
      </c>
      <c r="C26" s="84">
        <v>44600.51666666667</v>
      </c>
      <c r="D26" s="84"/>
      <c r="E26" s="84"/>
      <c r="F26" s="85" t="s">
        <v>38</v>
      </c>
      <c r="G26" s="97">
        <v>18000</v>
      </c>
      <c r="H26" s="69" t="s">
        <v>146</v>
      </c>
      <c r="I26" s="86" t="s">
        <v>19</v>
      </c>
      <c r="J26" s="86" t="s">
        <v>140</v>
      </c>
      <c r="K26" s="85"/>
      <c r="L26" s="85"/>
      <c r="M26" s="69"/>
      <c r="N26" s="69"/>
      <c r="O26" s="69"/>
      <c r="P26" s="69"/>
      <c r="Q26" s="69" t="s">
        <v>129</v>
      </c>
    </row>
    <row r="27" spans="1:20" s="1" customFormat="1" ht="14.25" hidden="1" customHeight="1" x14ac:dyDescent="0.3">
      <c r="A27" s="156"/>
      <c r="B27" s="634" t="s">
        <v>148</v>
      </c>
      <c r="C27" s="635">
        <v>44603.583333333336</v>
      </c>
      <c r="D27" s="84"/>
      <c r="E27" s="84"/>
      <c r="F27" s="432" t="s">
        <v>14</v>
      </c>
      <c r="G27" s="97">
        <v>42000</v>
      </c>
      <c r="H27" s="634" t="s">
        <v>13</v>
      </c>
      <c r="I27" s="86" t="s">
        <v>11</v>
      </c>
      <c r="J27" s="86" t="s">
        <v>28</v>
      </c>
      <c r="K27" s="85"/>
      <c r="L27" s="85"/>
      <c r="M27" s="69"/>
      <c r="N27" s="641" t="s">
        <v>152</v>
      </c>
      <c r="O27" s="69"/>
      <c r="P27" s="69"/>
      <c r="Q27" s="634" t="s">
        <v>105</v>
      </c>
    </row>
    <row r="28" spans="1:20" s="1" customFormat="1" ht="14.25" hidden="1" customHeight="1" x14ac:dyDescent="0.3">
      <c r="A28" s="156"/>
      <c r="B28" s="634"/>
      <c r="C28" s="635"/>
      <c r="D28" s="84"/>
      <c r="E28" s="84"/>
      <c r="F28" s="432"/>
      <c r="G28" s="97">
        <v>24000</v>
      </c>
      <c r="H28" s="634"/>
      <c r="I28" s="86" t="s">
        <v>17</v>
      </c>
      <c r="J28" s="30" t="s">
        <v>151</v>
      </c>
      <c r="K28" s="85"/>
      <c r="L28" s="85"/>
      <c r="M28" s="69"/>
      <c r="N28" s="641"/>
      <c r="O28" s="69"/>
      <c r="P28" s="69"/>
      <c r="Q28" s="634"/>
    </row>
    <row r="29" spans="1:20" s="1" customFormat="1" ht="16.5" hidden="1" customHeight="1" x14ac:dyDescent="0.3">
      <c r="A29" s="156"/>
      <c r="B29" s="634" t="s">
        <v>137</v>
      </c>
      <c r="C29" s="635">
        <v>44603.82916666667</v>
      </c>
      <c r="D29" s="84"/>
      <c r="E29" s="84"/>
      <c r="F29" s="432" t="s">
        <v>26</v>
      </c>
      <c r="G29" s="97">
        <v>24000</v>
      </c>
      <c r="H29" s="634" t="s">
        <v>94</v>
      </c>
      <c r="I29" s="86" t="s">
        <v>11</v>
      </c>
      <c r="J29" s="86" t="s">
        <v>141</v>
      </c>
      <c r="K29" s="85"/>
      <c r="L29" s="85"/>
      <c r="M29" s="69"/>
      <c r="N29" s="636" t="s">
        <v>160</v>
      </c>
      <c r="O29" s="636" t="s">
        <v>161</v>
      </c>
      <c r="P29" s="287"/>
      <c r="Q29" s="634" t="s">
        <v>105</v>
      </c>
      <c r="T29" s="8"/>
    </row>
    <row r="30" spans="1:20" s="1" customFormat="1" ht="16.5" hidden="1" customHeight="1" x14ac:dyDescent="0.3">
      <c r="A30" s="156"/>
      <c r="B30" s="634"/>
      <c r="C30" s="635"/>
      <c r="D30" s="84"/>
      <c r="E30" s="84"/>
      <c r="F30" s="432"/>
      <c r="G30" s="97">
        <v>18000</v>
      </c>
      <c r="H30" s="634"/>
      <c r="I30" s="86" t="s">
        <v>17</v>
      </c>
      <c r="J30" s="86" t="s">
        <v>151</v>
      </c>
      <c r="K30" s="85"/>
      <c r="L30" s="85"/>
      <c r="M30" s="69"/>
      <c r="N30" s="636"/>
      <c r="O30" s="636"/>
      <c r="P30" s="287"/>
      <c r="Q30" s="634"/>
      <c r="T30" s="8"/>
    </row>
    <row r="31" spans="1:20" s="1" customFormat="1" ht="14.25" hidden="1" customHeight="1" x14ac:dyDescent="0.3">
      <c r="A31" s="156"/>
      <c r="B31" s="634"/>
      <c r="C31" s="635"/>
      <c r="D31" s="84"/>
      <c r="E31" s="84"/>
      <c r="F31" s="432"/>
      <c r="G31" s="97">
        <v>9800</v>
      </c>
      <c r="H31" s="634"/>
      <c r="I31" s="86" t="s">
        <v>17</v>
      </c>
      <c r="J31" s="86" t="s">
        <v>156</v>
      </c>
      <c r="K31" s="85"/>
      <c r="L31" s="85"/>
      <c r="M31" s="69"/>
      <c r="N31" s="636"/>
      <c r="O31" s="636"/>
      <c r="P31" s="287"/>
      <c r="Q31" s="634"/>
    </row>
    <row r="32" spans="1:20" s="1" customFormat="1" ht="14.25" hidden="1" customHeight="1" x14ac:dyDescent="0.3">
      <c r="A32" s="156"/>
      <c r="B32" s="69" t="s">
        <v>149</v>
      </c>
      <c r="C32" s="84">
        <v>44605.333333333336</v>
      </c>
      <c r="D32" s="84"/>
      <c r="E32" s="84"/>
      <c r="F32" s="85" t="s">
        <v>14</v>
      </c>
      <c r="G32" s="97">
        <v>28350</v>
      </c>
      <c r="H32" s="69" t="s">
        <v>13</v>
      </c>
      <c r="I32" s="86" t="s">
        <v>17</v>
      </c>
      <c r="J32" s="86" t="s">
        <v>29</v>
      </c>
      <c r="K32" s="85"/>
      <c r="L32" s="85" t="s">
        <v>16</v>
      </c>
      <c r="M32" s="69" t="s">
        <v>16</v>
      </c>
      <c r="N32" s="69"/>
      <c r="O32" s="69"/>
      <c r="P32" s="69"/>
      <c r="Q32" s="69" t="s">
        <v>105</v>
      </c>
    </row>
    <row r="33" spans="1:18" s="1" customFormat="1" ht="16.5" hidden="1" customHeight="1" x14ac:dyDescent="0.3">
      <c r="A33" s="156"/>
      <c r="B33" s="638" t="s">
        <v>127</v>
      </c>
      <c r="C33" s="639">
        <v>44627.166666666664</v>
      </c>
      <c r="D33" s="639">
        <v>44633.716666666667</v>
      </c>
      <c r="E33" s="639" t="s">
        <v>166</v>
      </c>
      <c r="F33" s="640" t="s">
        <v>14</v>
      </c>
      <c r="G33" s="31">
        <v>36000</v>
      </c>
      <c r="H33" s="638" t="s">
        <v>13</v>
      </c>
      <c r="I33" s="70" t="s">
        <v>11</v>
      </c>
      <c r="J33" s="70" t="s">
        <v>59</v>
      </c>
      <c r="K33" s="89"/>
      <c r="L33" s="89"/>
      <c r="M33" s="70"/>
      <c r="N33" s="70"/>
      <c r="O33" s="70"/>
      <c r="P33" s="70"/>
      <c r="Q33" s="638" t="s">
        <v>105</v>
      </c>
    </row>
    <row r="34" spans="1:18" s="1" customFormat="1" ht="14.25" hidden="1" customHeight="1" x14ac:dyDescent="0.3">
      <c r="A34" s="156"/>
      <c r="B34" s="638"/>
      <c r="C34" s="639"/>
      <c r="D34" s="639"/>
      <c r="E34" s="639"/>
      <c r="F34" s="640"/>
      <c r="G34" s="31">
        <v>33130</v>
      </c>
      <c r="H34" s="638"/>
      <c r="I34" s="70" t="s">
        <v>17</v>
      </c>
      <c r="J34" s="70" t="s">
        <v>56</v>
      </c>
      <c r="K34" s="89"/>
      <c r="L34" s="89"/>
      <c r="M34" s="70"/>
      <c r="N34" s="70"/>
      <c r="O34" s="70"/>
      <c r="P34" s="70"/>
      <c r="Q34" s="638"/>
    </row>
    <row r="35" spans="1:18" s="1" customFormat="1" ht="16.5" hidden="1" customHeight="1" x14ac:dyDescent="0.3">
      <c r="A35" s="156"/>
      <c r="B35" s="638" t="s">
        <v>54</v>
      </c>
      <c r="C35" s="639">
        <v>44638.25</v>
      </c>
      <c r="D35" s="639">
        <v>44641.763888888891</v>
      </c>
      <c r="E35" s="639" t="s">
        <v>165</v>
      </c>
      <c r="F35" s="640" t="s">
        <v>14</v>
      </c>
      <c r="G35" s="31">
        <v>38000</v>
      </c>
      <c r="H35" s="638" t="s">
        <v>20</v>
      </c>
      <c r="I35" s="70" t="s">
        <v>18</v>
      </c>
      <c r="J35" s="70" t="s">
        <v>162</v>
      </c>
      <c r="K35" s="89"/>
      <c r="L35" s="89"/>
      <c r="M35" s="70"/>
      <c r="N35" s="70"/>
      <c r="O35" s="70"/>
      <c r="P35" s="70"/>
      <c r="Q35" s="638" t="s">
        <v>129</v>
      </c>
    </row>
    <row r="36" spans="1:18" s="1" customFormat="1" ht="14.25" hidden="1" customHeight="1" x14ac:dyDescent="0.3">
      <c r="A36" s="156"/>
      <c r="B36" s="638"/>
      <c r="C36" s="639"/>
      <c r="D36" s="639"/>
      <c r="E36" s="639"/>
      <c r="F36" s="640"/>
      <c r="G36" s="31">
        <v>29200</v>
      </c>
      <c r="H36" s="638"/>
      <c r="I36" s="70" t="s">
        <v>19</v>
      </c>
      <c r="J36" s="70" t="s">
        <v>84</v>
      </c>
      <c r="K36" s="89"/>
      <c r="L36" s="89"/>
      <c r="M36" s="70"/>
      <c r="N36" s="70"/>
      <c r="O36" s="70"/>
      <c r="P36" s="70"/>
      <c r="Q36" s="638"/>
    </row>
    <row r="37" spans="1:18" s="1" customFormat="1" ht="14.25" hidden="1" customHeight="1" x14ac:dyDescent="0.3">
      <c r="A37" s="156"/>
      <c r="B37" s="638" t="s">
        <v>163</v>
      </c>
      <c r="C37" s="639">
        <v>44639.48333333333</v>
      </c>
      <c r="D37" s="639">
        <v>44644.857638888891</v>
      </c>
      <c r="E37" s="639" t="s">
        <v>165</v>
      </c>
      <c r="F37" s="640" t="s">
        <v>38</v>
      </c>
      <c r="G37" s="31">
        <v>42000</v>
      </c>
      <c r="H37" s="638" t="s">
        <v>94</v>
      </c>
      <c r="I37" s="70" t="s">
        <v>17</v>
      </c>
      <c r="J37" s="70" t="s">
        <v>172</v>
      </c>
      <c r="K37" s="89">
        <v>2</v>
      </c>
      <c r="L37" s="89"/>
      <c r="M37" s="638" t="s">
        <v>16</v>
      </c>
      <c r="N37" s="653" t="s">
        <v>177</v>
      </c>
      <c r="O37" s="70"/>
      <c r="P37" s="70"/>
      <c r="Q37" s="70" t="s">
        <v>105</v>
      </c>
    </row>
    <row r="38" spans="1:18" s="1" customFormat="1" ht="30" hidden="1" customHeight="1" x14ac:dyDescent="0.3">
      <c r="A38" s="156"/>
      <c r="B38" s="638"/>
      <c r="C38" s="639"/>
      <c r="D38" s="639"/>
      <c r="E38" s="639"/>
      <c r="F38" s="640"/>
      <c r="G38" s="31">
        <v>37400</v>
      </c>
      <c r="H38" s="638"/>
      <c r="I38" s="70" t="s">
        <v>9</v>
      </c>
      <c r="J38" s="70" t="s">
        <v>168</v>
      </c>
      <c r="K38" s="89">
        <v>1</v>
      </c>
      <c r="L38" s="89"/>
      <c r="M38" s="638"/>
      <c r="N38" s="653"/>
      <c r="O38" s="70"/>
      <c r="P38" s="70"/>
      <c r="Q38" s="70" t="s">
        <v>129</v>
      </c>
    </row>
    <row r="39" spans="1:18" s="1" customFormat="1" ht="14.25" hidden="1" customHeight="1" x14ac:dyDescent="0.3">
      <c r="A39" s="156"/>
      <c r="B39" s="70" t="s">
        <v>169</v>
      </c>
      <c r="C39" s="88">
        <v>44644.006944444445</v>
      </c>
      <c r="D39" s="88">
        <v>44645.416666666664</v>
      </c>
      <c r="E39" s="88" t="s">
        <v>166</v>
      </c>
      <c r="F39" s="89" t="s">
        <v>14</v>
      </c>
      <c r="G39" s="31">
        <v>20000</v>
      </c>
      <c r="H39" s="70" t="s">
        <v>13</v>
      </c>
      <c r="I39" s="70" t="s">
        <v>17</v>
      </c>
      <c r="J39" s="70" t="s">
        <v>73</v>
      </c>
      <c r="K39" s="89"/>
      <c r="L39" s="89" t="s">
        <v>171</v>
      </c>
      <c r="M39" s="70" t="s">
        <v>16</v>
      </c>
      <c r="N39" s="70"/>
      <c r="O39" s="70"/>
      <c r="P39" s="70"/>
      <c r="Q39" s="70" t="s">
        <v>105</v>
      </c>
    </row>
    <row r="40" spans="1:18" s="1" customFormat="1" ht="40.5" hidden="1" customHeight="1" x14ac:dyDescent="0.3">
      <c r="A40" s="156"/>
      <c r="B40" s="70" t="s">
        <v>170</v>
      </c>
      <c r="C40" s="88">
        <v>44648.270833333336</v>
      </c>
      <c r="D40" s="88">
        <v>44661.833333333336</v>
      </c>
      <c r="E40" s="88" t="s">
        <v>166</v>
      </c>
      <c r="F40" s="89" t="s">
        <v>14</v>
      </c>
      <c r="G40" s="31">
        <v>55000</v>
      </c>
      <c r="H40" s="70" t="s">
        <v>94</v>
      </c>
      <c r="I40" s="70" t="s">
        <v>11</v>
      </c>
      <c r="J40" s="70" t="s">
        <v>43</v>
      </c>
      <c r="K40" s="89"/>
      <c r="L40" s="89"/>
      <c r="M40" s="70"/>
      <c r="N40" s="32" t="s">
        <v>179</v>
      </c>
      <c r="O40" s="70"/>
      <c r="P40" s="70"/>
      <c r="Q40" s="70" t="s">
        <v>105</v>
      </c>
    </row>
    <row r="41" spans="1:18" s="1" customFormat="1" ht="14.25" hidden="1" customHeight="1" x14ac:dyDescent="0.3">
      <c r="A41" s="156"/>
      <c r="B41" s="70" t="s">
        <v>174</v>
      </c>
      <c r="C41" s="88">
        <v>44657.658333333333</v>
      </c>
      <c r="D41" s="88">
        <v>44661.595833333333</v>
      </c>
      <c r="E41" s="88" t="s">
        <v>180</v>
      </c>
      <c r="F41" s="89" t="s">
        <v>14</v>
      </c>
      <c r="G41" s="31">
        <v>52500</v>
      </c>
      <c r="H41" s="70" t="s">
        <v>41</v>
      </c>
      <c r="I41" s="70" t="s">
        <v>18</v>
      </c>
      <c r="J41" s="70" t="s">
        <v>175</v>
      </c>
      <c r="K41" s="89"/>
      <c r="L41" s="89"/>
      <c r="M41" s="70"/>
      <c r="N41" s="70"/>
      <c r="O41" s="70"/>
      <c r="P41" s="70"/>
      <c r="Q41" s="70" t="s">
        <v>129</v>
      </c>
    </row>
    <row r="42" spans="1:18" s="1" customFormat="1" ht="14.25" hidden="1" customHeight="1" x14ac:dyDescent="0.3">
      <c r="A42" s="156"/>
      <c r="B42" s="70" t="s">
        <v>173</v>
      </c>
      <c r="C42" s="88">
        <v>44657.736111111109</v>
      </c>
      <c r="D42" s="88">
        <v>44671.465277777781</v>
      </c>
      <c r="E42" s="88" t="s">
        <v>166</v>
      </c>
      <c r="F42" s="89" t="s">
        <v>38</v>
      </c>
      <c r="G42" s="31">
        <v>55000</v>
      </c>
      <c r="H42" s="70" t="s">
        <v>39</v>
      </c>
      <c r="I42" s="70" t="s">
        <v>11</v>
      </c>
      <c r="J42" s="70" t="s">
        <v>182</v>
      </c>
      <c r="K42" s="89"/>
      <c r="L42" s="89"/>
      <c r="M42" s="70" t="s">
        <v>16</v>
      </c>
      <c r="N42" s="33" t="s">
        <v>183</v>
      </c>
      <c r="O42" s="70"/>
      <c r="P42" s="70"/>
      <c r="Q42" s="70" t="s">
        <v>105</v>
      </c>
    </row>
    <row r="43" spans="1:18" s="1" customFormat="1" ht="14.25" hidden="1" customHeight="1" x14ac:dyDescent="0.3">
      <c r="A43" s="156"/>
      <c r="B43" s="638" t="s">
        <v>176</v>
      </c>
      <c r="C43" s="639">
        <v>44667.166666666664</v>
      </c>
      <c r="D43" s="639">
        <v>44681.512499999997</v>
      </c>
      <c r="E43" s="639" t="s">
        <v>180</v>
      </c>
      <c r="F43" s="640" t="s">
        <v>14</v>
      </c>
      <c r="G43" s="31">
        <v>37800</v>
      </c>
      <c r="H43" s="638" t="s">
        <v>13</v>
      </c>
      <c r="I43" s="638" t="s">
        <v>17</v>
      </c>
      <c r="J43" s="70" t="s">
        <v>113</v>
      </c>
      <c r="K43" s="89"/>
      <c r="L43" s="89"/>
      <c r="M43" s="70"/>
      <c r="N43" s="70"/>
      <c r="O43" s="70"/>
      <c r="P43" s="70"/>
      <c r="Q43" s="649" t="s">
        <v>185</v>
      </c>
    </row>
    <row r="44" spans="1:18" s="1" customFormat="1" ht="14.25" hidden="1" customHeight="1" x14ac:dyDescent="0.3">
      <c r="A44" s="156"/>
      <c r="B44" s="638"/>
      <c r="C44" s="639"/>
      <c r="D44" s="639"/>
      <c r="E44" s="639"/>
      <c r="F44" s="640"/>
      <c r="G44" s="31">
        <v>29700</v>
      </c>
      <c r="H44" s="638"/>
      <c r="I44" s="638"/>
      <c r="J44" s="70" t="s">
        <v>74</v>
      </c>
      <c r="K44" s="89"/>
      <c r="L44" s="89"/>
      <c r="M44" s="70"/>
      <c r="N44" s="70"/>
      <c r="O44" s="70"/>
      <c r="P44" s="70"/>
      <c r="Q44" s="649"/>
    </row>
    <row r="45" spans="1:18" s="1" customFormat="1" ht="14.25" hidden="1" customHeight="1" x14ac:dyDescent="0.3">
      <c r="A45" s="156"/>
      <c r="B45" s="638"/>
      <c r="C45" s="639"/>
      <c r="D45" s="639"/>
      <c r="E45" s="639"/>
      <c r="F45" s="640"/>
      <c r="G45" s="31">
        <v>6450</v>
      </c>
      <c r="H45" s="638"/>
      <c r="I45" s="70" t="s">
        <v>11</v>
      </c>
      <c r="J45" s="70" t="s">
        <v>61</v>
      </c>
      <c r="K45" s="89"/>
      <c r="L45" s="89"/>
      <c r="M45" s="70"/>
      <c r="N45" s="70"/>
      <c r="O45" s="70"/>
      <c r="P45" s="70"/>
      <c r="Q45" s="649"/>
    </row>
    <row r="46" spans="1:18" s="1" customFormat="1" ht="14.25" hidden="1" customHeight="1" x14ac:dyDescent="0.3">
      <c r="A46" s="156"/>
      <c r="B46" s="70" t="s">
        <v>178</v>
      </c>
      <c r="C46" s="88">
        <v>44673.279166666667</v>
      </c>
      <c r="D46" s="88">
        <v>44685.375</v>
      </c>
      <c r="E46" s="88" t="s">
        <v>166</v>
      </c>
      <c r="F46" s="89" t="s">
        <v>14</v>
      </c>
      <c r="G46" s="31">
        <v>65000</v>
      </c>
      <c r="H46" s="70" t="s">
        <v>94</v>
      </c>
      <c r="I46" s="70" t="s">
        <v>11</v>
      </c>
      <c r="J46" s="70" t="s">
        <v>184</v>
      </c>
      <c r="K46" s="89"/>
      <c r="L46" s="89"/>
      <c r="M46" s="70"/>
      <c r="N46" s="70"/>
      <c r="O46" s="70"/>
      <c r="P46" s="70"/>
      <c r="Q46" s="70" t="s">
        <v>105</v>
      </c>
    </row>
    <row r="47" spans="1:18" s="3" customFormat="1" ht="16.5" hidden="1" customHeight="1" x14ac:dyDescent="0.3">
      <c r="A47" s="156"/>
      <c r="B47" s="638" t="s">
        <v>186</v>
      </c>
      <c r="C47" s="639">
        <v>44689.05</v>
      </c>
      <c r="D47" s="639">
        <v>44691.737500000003</v>
      </c>
      <c r="E47" s="639" t="s">
        <v>165</v>
      </c>
      <c r="F47" s="640" t="s">
        <v>26</v>
      </c>
      <c r="G47" s="31">
        <v>44000</v>
      </c>
      <c r="H47" s="638" t="s">
        <v>94</v>
      </c>
      <c r="I47" s="70" t="s">
        <v>9</v>
      </c>
      <c r="J47" s="70" t="s">
        <v>189</v>
      </c>
      <c r="K47" s="89"/>
      <c r="L47" s="89"/>
      <c r="M47" s="70"/>
      <c r="N47" s="70"/>
      <c r="O47" s="70"/>
      <c r="P47" s="70"/>
      <c r="Q47" s="638" t="s">
        <v>129</v>
      </c>
      <c r="R47" s="21"/>
    </row>
    <row r="48" spans="1:18" s="12" customFormat="1" ht="14.25" hidden="1" customHeight="1" x14ac:dyDescent="0.3">
      <c r="A48" s="156"/>
      <c r="B48" s="638"/>
      <c r="C48" s="639"/>
      <c r="D48" s="639"/>
      <c r="E48" s="639"/>
      <c r="F48" s="640"/>
      <c r="G48" s="31">
        <v>44000</v>
      </c>
      <c r="H48" s="638"/>
      <c r="I48" s="70" t="s">
        <v>18</v>
      </c>
      <c r="J48" s="70" t="s">
        <v>190</v>
      </c>
      <c r="K48" s="89"/>
      <c r="L48" s="89"/>
      <c r="M48" s="70"/>
      <c r="N48" s="70"/>
      <c r="O48" s="70"/>
      <c r="P48" s="70"/>
      <c r="Q48" s="638"/>
      <c r="R48" s="22"/>
    </row>
    <row r="49" spans="1:17" s="1" customFormat="1" ht="27" hidden="1" customHeight="1" x14ac:dyDescent="0.3">
      <c r="A49" s="156"/>
      <c r="B49" s="70" t="s">
        <v>187</v>
      </c>
      <c r="C49" s="88">
        <v>44697.25</v>
      </c>
      <c r="D49" s="88">
        <v>44708.379166666666</v>
      </c>
      <c r="E49" s="88" t="s">
        <v>165</v>
      </c>
      <c r="F49" s="89" t="s">
        <v>38</v>
      </c>
      <c r="G49" s="31">
        <v>55000</v>
      </c>
      <c r="H49" s="70" t="s">
        <v>39</v>
      </c>
      <c r="I49" s="70" t="s">
        <v>19</v>
      </c>
      <c r="J49" s="70" t="s">
        <v>106</v>
      </c>
      <c r="K49" s="89"/>
      <c r="L49" s="89"/>
      <c r="M49" s="70" t="s">
        <v>16</v>
      </c>
      <c r="N49" s="70"/>
      <c r="O49" s="70"/>
      <c r="P49" s="70"/>
      <c r="Q49" s="71" t="s">
        <v>198</v>
      </c>
    </row>
    <row r="50" spans="1:17" s="1" customFormat="1" ht="14.25" hidden="1" customHeight="1" x14ac:dyDescent="0.3">
      <c r="A50" s="156"/>
      <c r="B50" s="638" t="s">
        <v>188</v>
      </c>
      <c r="C50" s="639">
        <v>44701.791666666664</v>
      </c>
      <c r="D50" s="650">
        <v>44708.097222222219</v>
      </c>
      <c r="E50" s="639" t="s">
        <v>166</v>
      </c>
      <c r="F50" s="640" t="s">
        <v>14</v>
      </c>
      <c r="G50" s="31">
        <v>14700</v>
      </c>
      <c r="H50" s="638" t="s">
        <v>41</v>
      </c>
      <c r="I50" s="70" t="s">
        <v>17</v>
      </c>
      <c r="J50" s="70" t="s">
        <v>194</v>
      </c>
      <c r="K50" s="89"/>
      <c r="L50" s="89"/>
      <c r="M50" s="70"/>
      <c r="N50" s="70"/>
      <c r="O50" s="70"/>
      <c r="P50" s="70"/>
      <c r="Q50" s="638" t="s">
        <v>105</v>
      </c>
    </row>
    <row r="51" spans="1:17" s="1" customFormat="1" ht="14.25" hidden="1" customHeight="1" x14ac:dyDescent="0.3">
      <c r="A51" s="156"/>
      <c r="B51" s="638"/>
      <c r="C51" s="639"/>
      <c r="D51" s="650"/>
      <c r="E51" s="639"/>
      <c r="F51" s="640"/>
      <c r="G51" s="31">
        <v>29700</v>
      </c>
      <c r="H51" s="638"/>
      <c r="I51" s="70" t="s">
        <v>17</v>
      </c>
      <c r="J51" s="70" t="s">
        <v>196</v>
      </c>
      <c r="K51" s="89"/>
      <c r="L51" s="89"/>
      <c r="M51" s="70"/>
      <c r="N51" s="70"/>
      <c r="O51" s="70"/>
      <c r="P51" s="70"/>
      <c r="Q51" s="638"/>
    </row>
    <row r="52" spans="1:17" s="1" customFormat="1" ht="14.25" hidden="1" customHeight="1" x14ac:dyDescent="0.3">
      <c r="A52" s="156"/>
      <c r="B52" s="638"/>
      <c r="C52" s="639"/>
      <c r="D52" s="650"/>
      <c r="E52" s="639"/>
      <c r="F52" s="640"/>
      <c r="G52" s="31">
        <f>52500-G51-G50</f>
        <v>8100</v>
      </c>
      <c r="H52" s="638"/>
      <c r="I52" s="70" t="s">
        <v>11</v>
      </c>
      <c r="J52" s="70" t="s">
        <v>42</v>
      </c>
      <c r="K52" s="89"/>
      <c r="L52" s="89"/>
      <c r="M52" s="70"/>
      <c r="N52" s="70"/>
      <c r="O52" s="70"/>
      <c r="P52" s="70"/>
      <c r="Q52" s="638"/>
    </row>
    <row r="53" spans="1:17" s="1" customFormat="1" ht="14.25" hidden="1" customHeight="1" x14ac:dyDescent="0.3">
      <c r="A53" s="156"/>
      <c r="B53" s="70" t="s">
        <v>191</v>
      </c>
      <c r="C53" s="88">
        <v>44702.85833333333</v>
      </c>
      <c r="D53" s="88">
        <v>44712.469444444447</v>
      </c>
      <c r="E53" s="88"/>
      <c r="F53" s="89" t="s">
        <v>14</v>
      </c>
      <c r="G53" s="31">
        <v>35000</v>
      </c>
      <c r="H53" s="70" t="s">
        <v>20</v>
      </c>
      <c r="I53" s="70" t="s">
        <v>15</v>
      </c>
      <c r="J53" s="70" t="s">
        <v>195</v>
      </c>
      <c r="K53" s="89"/>
      <c r="L53" s="89" t="s">
        <v>200</v>
      </c>
      <c r="M53" s="70" t="s">
        <v>16</v>
      </c>
      <c r="N53" s="70"/>
      <c r="O53" s="70"/>
      <c r="P53" s="70"/>
      <c r="Q53" s="70" t="s">
        <v>129</v>
      </c>
    </row>
    <row r="54" spans="1:17" s="1" customFormat="1" ht="14.25" hidden="1" customHeight="1" x14ac:dyDescent="0.3">
      <c r="A54" s="156"/>
      <c r="B54" s="70" t="s">
        <v>193</v>
      </c>
      <c r="C54" s="88">
        <v>44704.5</v>
      </c>
      <c r="D54" s="90">
        <v>44707.666666666664</v>
      </c>
      <c r="E54" s="88" t="s">
        <v>165</v>
      </c>
      <c r="F54" s="89" t="s">
        <v>14</v>
      </c>
      <c r="G54" s="31">
        <v>18000</v>
      </c>
      <c r="H54" s="70" t="s">
        <v>13</v>
      </c>
      <c r="I54" s="70" t="s">
        <v>17</v>
      </c>
      <c r="J54" s="70" t="s">
        <v>40</v>
      </c>
      <c r="K54" s="89"/>
      <c r="L54" s="89" t="s">
        <v>197</v>
      </c>
      <c r="M54" s="70" t="s">
        <v>16</v>
      </c>
      <c r="N54" s="70"/>
      <c r="O54" s="70"/>
      <c r="P54" s="70"/>
      <c r="Q54" s="70" t="s">
        <v>105</v>
      </c>
    </row>
    <row r="55" spans="1:17" s="1" customFormat="1" ht="14.25" hidden="1" customHeight="1" x14ac:dyDescent="0.3">
      <c r="A55" s="156"/>
      <c r="B55" s="70" t="s">
        <v>199</v>
      </c>
      <c r="C55" s="88">
        <v>44717.75</v>
      </c>
      <c r="D55" s="88">
        <v>44717.916666666664</v>
      </c>
      <c r="E55" s="88" t="s">
        <v>180</v>
      </c>
      <c r="F55" s="89" t="s">
        <v>12</v>
      </c>
      <c r="G55" s="31">
        <v>11000</v>
      </c>
      <c r="H55" s="70" t="s">
        <v>39</v>
      </c>
      <c r="I55" s="70" t="s">
        <v>11</v>
      </c>
      <c r="J55" s="70" t="s">
        <v>25</v>
      </c>
      <c r="K55" s="89"/>
      <c r="L55" s="89" t="s">
        <v>203</v>
      </c>
      <c r="M55" s="70"/>
      <c r="N55" s="70"/>
      <c r="O55" s="70"/>
      <c r="P55" s="70"/>
      <c r="Q55" s="70" t="s">
        <v>129</v>
      </c>
    </row>
    <row r="56" spans="1:17" s="1" customFormat="1" ht="14.25" hidden="1" customHeight="1" x14ac:dyDescent="0.3">
      <c r="A56" s="156"/>
      <c r="B56" s="638" t="s">
        <v>201</v>
      </c>
      <c r="C56" s="639">
        <v>44723.291666666664</v>
      </c>
      <c r="D56" s="639"/>
      <c r="E56" s="639" t="s">
        <v>165</v>
      </c>
      <c r="F56" s="640" t="s">
        <v>38</v>
      </c>
      <c r="G56" s="31">
        <v>46000</v>
      </c>
      <c r="H56" s="638" t="s">
        <v>20</v>
      </c>
      <c r="I56" s="70" t="s">
        <v>18</v>
      </c>
      <c r="J56" s="70" t="s">
        <v>205</v>
      </c>
      <c r="K56" s="89"/>
      <c r="L56" s="640" t="s">
        <v>203</v>
      </c>
      <c r="M56" s="638"/>
      <c r="N56" s="70"/>
      <c r="O56" s="70"/>
      <c r="P56" s="70"/>
      <c r="Q56" s="638" t="s">
        <v>129</v>
      </c>
    </row>
    <row r="57" spans="1:17" s="1" customFormat="1" ht="14.25" hidden="1" customHeight="1" x14ac:dyDescent="0.3">
      <c r="A57" s="156"/>
      <c r="B57" s="638"/>
      <c r="C57" s="639"/>
      <c r="D57" s="639"/>
      <c r="E57" s="639"/>
      <c r="F57" s="640"/>
      <c r="G57" s="31">
        <v>24600</v>
      </c>
      <c r="H57" s="638"/>
      <c r="I57" s="70" t="s">
        <v>15</v>
      </c>
      <c r="J57" s="70" t="s">
        <v>204</v>
      </c>
      <c r="K57" s="89"/>
      <c r="L57" s="640"/>
      <c r="M57" s="638"/>
      <c r="N57" s="70"/>
      <c r="O57" s="70"/>
      <c r="P57" s="70"/>
      <c r="Q57" s="638"/>
    </row>
    <row r="58" spans="1:17" s="1" customFormat="1" ht="14.25" hidden="1" customHeight="1" x14ac:dyDescent="0.3">
      <c r="A58" s="156"/>
      <c r="B58" s="638"/>
      <c r="C58" s="639"/>
      <c r="D58" s="639"/>
      <c r="E58" s="639"/>
      <c r="F58" s="640"/>
      <c r="G58" s="31">
        <v>6400</v>
      </c>
      <c r="H58" s="638"/>
      <c r="I58" s="70" t="s">
        <v>18</v>
      </c>
      <c r="J58" s="70" t="s">
        <v>206</v>
      </c>
      <c r="K58" s="89"/>
      <c r="L58" s="640"/>
      <c r="M58" s="638"/>
      <c r="N58" s="70"/>
      <c r="O58" s="70"/>
      <c r="P58" s="70"/>
      <c r="Q58" s="638"/>
    </row>
    <row r="59" spans="1:17" s="1" customFormat="1" ht="14.25" hidden="1" customHeight="1" x14ac:dyDescent="0.3">
      <c r="A59" s="156"/>
      <c r="B59" s="70" t="s">
        <v>207</v>
      </c>
      <c r="C59" s="88">
        <v>44736.479166666664</v>
      </c>
      <c r="D59" s="88">
        <v>44736.583333333336</v>
      </c>
      <c r="E59" s="88" t="s">
        <v>165</v>
      </c>
      <c r="F59" s="89" t="s">
        <v>26</v>
      </c>
      <c r="G59" s="31">
        <v>23990</v>
      </c>
      <c r="H59" s="70" t="s">
        <v>60</v>
      </c>
      <c r="I59" s="70" t="s">
        <v>17</v>
      </c>
      <c r="J59" s="70" t="s">
        <v>209</v>
      </c>
      <c r="K59" s="89"/>
      <c r="L59" s="89" t="s">
        <v>203</v>
      </c>
      <c r="M59" s="70" t="s">
        <v>16</v>
      </c>
      <c r="N59" s="70"/>
      <c r="O59" s="70"/>
      <c r="P59" s="70"/>
      <c r="Q59" s="70" t="s">
        <v>105</v>
      </c>
    </row>
    <row r="60" spans="1:17" s="1" customFormat="1" ht="14.25" hidden="1" customHeight="1" x14ac:dyDescent="0.3">
      <c r="A60" s="156"/>
      <c r="B60" s="638" t="s">
        <v>78</v>
      </c>
      <c r="C60" s="639">
        <v>44743.458333333336</v>
      </c>
      <c r="D60" s="639">
        <v>44746.529166666667</v>
      </c>
      <c r="E60" s="639" t="s">
        <v>212</v>
      </c>
      <c r="F60" s="640" t="s">
        <v>14</v>
      </c>
      <c r="G60" s="31">
        <v>33055</v>
      </c>
      <c r="H60" s="638" t="s">
        <v>13</v>
      </c>
      <c r="I60" s="70" t="s">
        <v>17</v>
      </c>
      <c r="J60" s="70" t="s">
        <v>56</v>
      </c>
      <c r="K60" s="89"/>
      <c r="L60" s="640" t="s">
        <v>203</v>
      </c>
      <c r="M60" s="638" t="s">
        <v>16</v>
      </c>
      <c r="N60" s="70"/>
      <c r="O60" s="70"/>
      <c r="P60" s="70"/>
      <c r="Q60" s="649" t="s">
        <v>282</v>
      </c>
    </row>
    <row r="61" spans="1:17" s="1" customFormat="1" ht="27.75" hidden="1" customHeight="1" x14ac:dyDescent="0.3">
      <c r="A61" s="156"/>
      <c r="B61" s="638"/>
      <c r="C61" s="639"/>
      <c r="D61" s="639"/>
      <c r="E61" s="639"/>
      <c r="F61" s="640"/>
      <c r="G61" s="31">
        <f>79055-G60</f>
        <v>46000</v>
      </c>
      <c r="H61" s="638"/>
      <c r="I61" s="70" t="s">
        <v>17</v>
      </c>
      <c r="J61" s="70" t="s">
        <v>210</v>
      </c>
      <c r="K61" s="89"/>
      <c r="L61" s="640"/>
      <c r="M61" s="638"/>
      <c r="N61" s="70"/>
      <c r="O61" s="70"/>
      <c r="P61" s="70"/>
      <c r="Q61" s="649"/>
    </row>
    <row r="62" spans="1:17" s="1" customFormat="1" ht="14.25" hidden="1" customHeight="1" x14ac:dyDescent="0.3">
      <c r="A62" s="156"/>
      <c r="B62" s="638" t="s">
        <v>208</v>
      </c>
      <c r="C62" s="639">
        <v>44747.75</v>
      </c>
      <c r="D62" s="639">
        <v>44752.46875</v>
      </c>
      <c r="E62" s="639" t="s">
        <v>180</v>
      </c>
      <c r="F62" s="640" t="s">
        <v>21</v>
      </c>
      <c r="G62" s="31">
        <v>25000</v>
      </c>
      <c r="H62" s="638" t="s">
        <v>122</v>
      </c>
      <c r="I62" s="70" t="s">
        <v>19</v>
      </c>
      <c r="J62" s="70" t="s">
        <v>213</v>
      </c>
      <c r="K62" s="89"/>
      <c r="L62" s="640" t="s">
        <v>203</v>
      </c>
      <c r="M62" s="638"/>
      <c r="N62" s="70"/>
      <c r="O62" s="70"/>
      <c r="P62" s="70"/>
      <c r="Q62" s="638" t="s">
        <v>129</v>
      </c>
    </row>
    <row r="63" spans="1:17" s="1" customFormat="1" ht="14.25" hidden="1" customHeight="1" x14ac:dyDescent="0.3">
      <c r="A63" s="156"/>
      <c r="B63" s="638"/>
      <c r="C63" s="639"/>
      <c r="D63" s="639"/>
      <c r="E63" s="639"/>
      <c r="F63" s="640"/>
      <c r="G63" s="31">
        <v>7100</v>
      </c>
      <c r="H63" s="638"/>
      <c r="I63" s="70" t="s">
        <v>15</v>
      </c>
      <c r="J63" s="70" t="s">
        <v>214</v>
      </c>
      <c r="K63" s="89"/>
      <c r="L63" s="640"/>
      <c r="M63" s="638"/>
      <c r="N63" s="70"/>
      <c r="O63" s="70"/>
      <c r="P63" s="70"/>
      <c r="Q63" s="638"/>
    </row>
    <row r="64" spans="1:17" s="1" customFormat="1" ht="14.25" hidden="1" customHeight="1" x14ac:dyDescent="0.3">
      <c r="A64" s="156"/>
      <c r="B64" s="70" t="s">
        <v>215</v>
      </c>
      <c r="C64" s="88">
        <v>44752.791666666664</v>
      </c>
      <c r="D64" s="88">
        <v>44758.451388888891</v>
      </c>
      <c r="E64" s="88" t="s">
        <v>166</v>
      </c>
      <c r="F64" s="89" t="s">
        <v>26</v>
      </c>
      <c r="G64" s="31">
        <v>52100</v>
      </c>
      <c r="H64" s="70" t="s">
        <v>94</v>
      </c>
      <c r="I64" s="70" t="s">
        <v>11</v>
      </c>
      <c r="J64" s="70" t="s">
        <v>181</v>
      </c>
      <c r="K64" s="89"/>
      <c r="L64" s="89" t="s">
        <v>203</v>
      </c>
      <c r="M64" s="70"/>
      <c r="N64" s="70"/>
      <c r="O64" s="70"/>
      <c r="P64" s="70"/>
      <c r="Q64" s="71" t="s">
        <v>105</v>
      </c>
    </row>
    <row r="65" spans="1:17" s="1" customFormat="1" ht="27" hidden="1" customHeight="1" x14ac:dyDescent="0.3">
      <c r="A65" s="156"/>
      <c r="B65" s="73" t="s">
        <v>202</v>
      </c>
      <c r="C65" s="76">
        <v>44753.833333333336</v>
      </c>
      <c r="D65" s="76">
        <v>44753.762499999997</v>
      </c>
      <c r="E65" s="76" t="s">
        <v>218</v>
      </c>
      <c r="F65" s="75" t="s">
        <v>38</v>
      </c>
      <c r="G65" s="78">
        <v>44872</v>
      </c>
      <c r="H65" s="73" t="s">
        <v>39</v>
      </c>
      <c r="I65" s="73" t="s">
        <v>19</v>
      </c>
      <c r="J65" s="73" t="s">
        <v>216</v>
      </c>
      <c r="K65" s="75"/>
      <c r="L65" s="75" t="s">
        <v>203</v>
      </c>
      <c r="M65" s="73" t="s">
        <v>16</v>
      </c>
      <c r="N65" s="73"/>
      <c r="O65" s="73"/>
      <c r="P65" s="73"/>
      <c r="Q65" s="72" t="s">
        <v>217</v>
      </c>
    </row>
    <row r="66" spans="1:17" s="1" customFormat="1" ht="14.25" hidden="1" customHeight="1" x14ac:dyDescent="0.3">
      <c r="A66" s="156"/>
      <c r="B66" s="638" t="s">
        <v>219</v>
      </c>
      <c r="C66" s="639">
        <v>44759.451388888891</v>
      </c>
      <c r="D66" s="639">
        <v>44759.529166666667</v>
      </c>
      <c r="E66" s="639" t="s">
        <v>218</v>
      </c>
      <c r="F66" s="640" t="s">
        <v>14</v>
      </c>
      <c r="G66" s="31">
        <v>62100</v>
      </c>
      <c r="H66" s="638" t="s">
        <v>94</v>
      </c>
      <c r="I66" s="70" t="s">
        <v>18</v>
      </c>
      <c r="J66" s="70" t="s">
        <v>221</v>
      </c>
      <c r="K66" s="89"/>
      <c r="L66" s="640" t="s">
        <v>203</v>
      </c>
      <c r="M66" s="70"/>
      <c r="N66" s="70"/>
      <c r="O66" s="70"/>
      <c r="P66" s="70"/>
      <c r="Q66" s="649" t="s">
        <v>118</v>
      </c>
    </row>
    <row r="67" spans="1:17" s="1" customFormat="1" ht="14.25" hidden="1" customHeight="1" x14ac:dyDescent="0.3">
      <c r="A67" s="156"/>
      <c r="B67" s="638"/>
      <c r="C67" s="639"/>
      <c r="D67" s="639"/>
      <c r="E67" s="639"/>
      <c r="F67" s="640"/>
      <c r="G67" s="31">
        <v>14728</v>
      </c>
      <c r="H67" s="638"/>
      <c r="I67" s="70" t="s">
        <v>19</v>
      </c>
      <c r="J67" s="70" t="s">
        <v>220</v>
      </c>
      <c r="K67" s="89"/>
      <c r="L67" s="640"/>
      <c r="M67" s="70"/>
      <c r="N67" s="70"/>
      <c r="O67" s="70"/>
      <c r="P67" s="70"/>
      <c r="Q67" s="649"/>
    </row>
    <row r="68" spans="1:17" s="1" customFormat="1" ht="14.25" hidden="1" customHeight="1" x14ac:dyDescent="0.3">
      <c r="A68" s="156"/>
      <c r="B68" s="70" t="s">
        <v>85</v>
      </c>
      <c r="C68" s="88">
        <v>44769.345833333333</v>
      </c>
      <c r="D68" s="88">
        <v>44769.625</v>
      </c>
      <c r="E68" s="88" t="s">
        <v>166</v>
      </c>
      <c r="F68" s="89" t="s">
        <v>14</v>
      </c>
      <c r="G68" s="31">
        <v>79487</v>
      </c>
      <c r="H68" s="70" t="s">
        <v>13</v>
      </c>
      <c r="I68" s="70" t="s">
        <v>17</v>
      </c>
      <c r="J68" s="70" t="s">
        <v>222</v>
      </c>
      <c r="K68" s="89"/>
      <c r="L68" s="89" t="s">
        <v>203</v>
      </c>
      <c r="M68" s="70"/>
      <c r="N68" s="70"/>
      <c r="O68" s="70"/>
      <c r="P68" s="70"/>
      <c r="Q68" s="71" t="s">
        <v>105</v>
      </c>
    </row>
    <row r="69" spans="1:17" s="1" customFormat="1" ht="14.25" hidden="1" customHeight="1" x14ac:dyDescent="0.3">
      <c r="A69" s="156"/>
      <c r="B69" s="638" t="s">
        <v>191</v>
      </c>
      <c r="C69" s="639">
        <v>44769.666666666664</v>
      </c>
      <c r="D69" s="650"/>
      <c r="E69" s="639" t="s">
        <v>165</v>
      </c>
      <c r="F69" s="640" t="s">
        <v>14</v>
      </c>
      <c r="G69" s="31">
        <v>40000</v>
      </c>
      <c r="H69" s="638" t="s">
        <v>20</v>
      </c>
      <c r="I69" s="70" t="s">
        <v>9</v>
      </c>
      <c r="J69" s="70" t="s">
        <v>227</v>
      </c>
      <c r="K69" s="89"/>
      <c r="L69" s="640" t="s">
        <v>203</v>
      </c>
      <c r="M69" s="70"/>
      <c r="N69" s="70"/>
      <c r="O69" s="70"/>
      <c r="P69" s="70"/>
      <c r="Q69" s="649" t="s">
        <v>118</v>
      </c>
    </row>
    <row r="70" spans="1:17" s="1" customFormat="1" ht="14.25" hidden="1" customHeight="1" x14ac:dyDescent="0.3">
      <c r="A70" s="156"/>
      <c r="B70" s="638"/>
      <c r="C70" s="639"/>
      <c r="D70" s="650"/>
      <c r="E70" s="639"/>
      <c r="F70" s="640"/>
      <c r="G70" s="31">
        <v>31168</v>
      </c>
      <c r="H70" s="638"/>
      <c r="I70" s="70" t="s">
        <v>18</v>
      </c>
      <c r="J70" s="70" t="s">
        <v>228</v>
      </c>
      <c r="K70" s="89"/>
      <c r="L70" s="640"/>
      <c r="M70" s="70"/>
      <c r="N70" s="70"/>
      <c r="O70" s="70"/>
      <c r="P70" s="70"/>
      <c r="Q70" s="649"/>
    </row>
    <row r="71" spans="1:17" s="1" customFormat="1" ht="14.25" hidden="1" customHeight="1" x14ac:dyDescent="0.3">
      <c r="A71" s="156"/>
      <c r="B71" s="80" t="s">
        <v>229</v>
      </c>
      <c r="C71" s="82">
        <v>44774.375</v>
      </c>
      <c r="D71" s="82">
        <v>44774.458333333336</v>
      </c>
      <c r="E71" s="82" t="s">
        <v>165</v>
      </c>
      <c r="F71" s="79" t="s">
        <v>26</v>
      </c>
      <c r="G71" s="83">
        <v>14500</v>
      </c>
      <c r="H71" s="80" t="s">
        <v>64</v>
      </c>
      <c r="I71" s="80" t="s">
        <v>18</v>
      </c>
      <c r="J71" s="80" t="s">
        <v>231</v>
      </c>
      <c r="K71" s="79"/>
      <c r="L71" s="79" t="s">
        <v>230</v>
      </c>
      <c r="M71" s="80" t="s">
        <v>16</v>
      </c>
      <c r="N71" s="80"/>
      <c r="O71" s="80"/>
      <c r="P71" s="80"/>
      <c r="Q71" s="13" t="s">
        <v>118</v>
      </c>
    </row>
    <row r="72" spans="1:17" s="1" customFormat="1" ht="14.25" hidden="1" customHeight="1" x14ac:dyDescent="0.3">
      <c r="A72" s="156"/>
      <c r="B72" s="34" t="s">
        <v>225</v>
      </c>
      <c r="C72" s="35">
        <v>44777.083333333336</v>
      </c>
      <c r="D72" s="35">
        <v>44778.865277777775</v>
      </c>
      <c r="E72" s="35" t="s">
        <v>166</v>
      </c>
      <c r="F72" s="36" t="s">
        <v>26</v>
      </c>
      <c r="G72" s="37">
        <v>50000</v>
      </c>
      <c r="H72" s="34" t="s">
        <v>224</v>
      </c>
      <c r="I72" s="34" t="s">
        <v>11</v>
      </c>
      <c r="J72" s="34" t="s">
        <v>233</v>
      </c>
      <c r="K72" s="36"/>
      <c r="L72" s="36" t="s">
        <v>226</v>
      </c>
      <c r="M72" s="34" t="s">
        <v>16</v>
      </c>
      <c r="N72" s="34"/>
      <c r="O72" s="34"/>
      <c r="P72" s="34"/>
      <c r="Q72" s="16" t="s">
        <v>105</v>
      </c>
    </row>
    <row r="73" spans="1:17" s="1" customFormat="1" ht="16.5" hidden="1" customHeight="1" x14ac:dyDescent="0.3">
      <c r="A73" s="156"/>
      <c r="B73" s="645" t="s">
        <v>232</v>
      </c>
      <c r="C73" s="644">
        <v>44784.25</v>
      </c>
      <c r="D73" s="644">
        <v>44786.371527777781</v>
      </c>
      <c r="E73" s="644" t="s">
        <v>180</v>
      </c>
      <c r="F73" s="643" t="s">
        <v>14</v>
      </c>
      <c r="G73" s="83">
        <v>25000</v>
      </c>
      <c r="H73" s="645" t="s">
        <v>13</v>
      </c>
      <c r="I73" s="80" t="s">
        <v>11</v>
      </c>
      <c r="J73" s="80" t="s">
        <v>25</v>
      </c>
      <c r="K73" s="79"/>
      <c r="L73" s="643" t="s">
        <v>203</v>
      </c>
      <c r="M73" s="645" t="s">
        <v>16</v>
      </c>
      <c r="N73" s="80"/>
      <c r="O73" s="80"/>
      <c r="P73" s="80"/>
      <c r="Q73" s="15" t="s">
        <v>105</v>
      </c>
    </row>
    <row r="74" spans="1:17" s="1" customFormat="1" ht="16.5" hidden="1" customHeight="1" x14ac:dyDescent="0.3">
      <c r="A74" s="156"/>
      <c r="B74" s="645"/>
      <c r="C74" s="644"/>
      <c r="D74" s="644"/>
      <c r="E74" s="644"/>
      <c r="F74" s="643"/>
      <c r="G74" s="83">
        <v>51300</v>
      </c>
      <c r="H74" s="645"/>
      <c r="I74" s="80" t="s">
        <v>17</v>
      </c>
      <c r="J74" s="80" t="s">
        <v>235</v>
      </c>
      <c r="K74" s="79"/>
      <c r="L74" s="643"/>
      <c r="M74" s="645"/>
      <c r="N74" s="80"/>
      <c r="O74" s="80"/>
      <c r="P74" s="80"/>
      <c r="Q74" s="15" t="s">
        <v>105</v>
      </c>
    </row>
    <row r="75" spans="1:17" s="1" customFormat="1" ht="16.5" hidden="1" customHeight="1" x14ac:dyDescent="0.3">
      <c r="A75" s="156"/>
      <c r="B75" s="645"/>
      <c r="C75" s="644"/>
      <c r="D75" s="644"/>
      <c r="E75" s="644"/>
      <c r="F75" s="643"/>
      <c r="G75" s="83">
        <v>700</v>
      </c>
      <c r="H75" s="645"/>
      <c r="I75" s="80" t="s">
        <v>19</v>
      </c>
      <c r="J75" s="80" t="s">
        <v>238</v>
      </c>
      <c r="K75" s="79"/>
      <c r="L75" s="643"/>
      <c r="M75" s="645"/>
      <c r="N75" s="80"/>
      <c r="O75" s="80"/>
      <c r="P75" s="80"/>
      <c r="Q75" s="15" t="s">
        <v>118</v>
      </c>
    </row>
    <row r="76" spans="1:17" s="1" customFormat="1" ht="16.5" hidden="1" customHeight="1" x14ac:dyDescent="0.3">
      <c r="A76" s="156"/>
      <c r="B76" s="645" t="s">
        <v>236</v>
      </c>
      <c r="C76" s="644">
        <v>44799.625</v>
      </c>
      <c r="D76" s="644">
        <v>44803.486111111109</v>
      </c>
      <c r="E76" s="665" t="s">
        <v>247</v>
      </c>
      <c r="F76" s="643" t="s">
        <v>38</v>
      </c>
      <c r="G76" s="83">
        <v>18000</v>
      </c>
      <c r="H76" s="645" t="s">
        <v>39</v>
      </c>
      <c r="I76" s="80" t="s">
        <v>19</v>
      </c>
      <c r="J76" s="80" t="s">
        <v>246</v>
      </c>
      <c r="K76" s="79">
        <v>1</v>
      </c>
      <c r="L76" s="654" t="s">
        <v>248</v>
      </c>
      <c r="M76" s="645" t="s">
        <v>16</v>
      </c>
      <c r="N76" s="80"/>
      <c r="O76" s="80"/>
      <c r="P76" s="80"/>
      <c r="Q76" s="15" t="s">
        <v>250</v>
      </c>
    </row>
    <row r="77" spans="1:17" s="1" customFormat="1" ht="16.5" hidden="1" customHeight="1" x14ac:dyDescent="0.3">
      <c r="A77" s="156"/>
      <c r="B77" s="645"/>
      <c r="C77" s="644"/>
      <c r="D77" s="644"/>
      <c r="E77" s="665"/>
      <c r="F77" s="643"/>
      <c r="G77" s="83">
        <v>17577</v>
      </c>
      <c r="H77" s="645"/>
      <c r="I77" s="80" t="s">
        <v>15</v>
      </c>
      <c r="J77" s="80" t="s">
        <v>245</v>
      </c>
      <c r="K77" s="79">
        <v>2</v>
      </c>
      <c r="L77" s="654"/>
      <c r="M77" s="645"/>
      <c r="N77" s="80"/>
      <c r="O77" s="80"/>
      <c r="P77" s="80"/>
      <c r="Q77" s="15" t="s">
        <v>250</v>
      </c>
    </row>
    <row r="78" spans="1:17" s="1" customFormat="1" ht="27" hidden="1" customHeight="1" x14ac:dyDescent="0.3">
      <c r="A78" s="156"/>
      <c r="B78" s="80" t="s">
        <v>244</v>
      </c>
      <c r="C78" s="82">
        <v>44808.041666666664</v>
      </c>
      <c r="D78" s="82">
        <v>44811.413194444445</v>
      </c>
      <c r="E78" s="82" t="s">
        <v>218</v>
      </c>
      <c r="F78" s="79" t="s">
        <v>14</v>
      </c>
      <c r="G78" s="83">
        <v>22557</v>
      </c>
      <c r="H78" s="80" t="s">
        <v>41</v>
      </c>
      <c r="I78" s="80" t="s">
        <v>18</v>
      </c>
      <c r="J78" s="80" t="s">
        <v>257</v>
      </c>
      <c r="K78" s="79"/>
      <c r="L78" s="91" t="s">
        <v>252</v>
      </c>
      <c r="M78" s="80" t="s">
        <v>16</v>
      </c>
      <c r="N78" s="80"/>
      <c r="O78" s="80"/>
      <c r="P78" s="80"/>
      <c r="Q78" s="17" t="s">
        <v>253</v>
      </c>
    </row>
    <row r="79" spans="1:17" s="1" customFormat="1" ht="16.5" hidden="1" customHeight="1" x14ac:dyDescent="0.3">
      <c r="A79" s="156"/>
      <c r="B79" s="657" t="s">
        <v>240</v>
      </c>
      <c r="C79" s="655">
        <v>44806.583333333336</v>
      </c>
      <c r="D79" s="655">
        <v>44812.291666666664</v>
      </c>
      <c r="E79" s="655" t="s">
        <v>166</v>
      </c>
      <c r="F79" s="656" t="s">
        <v>38</v>
      </c>
      <c r="G79" s="38">
        <v>36000</v>
      </c>
      <c r="H79" s="657" t="s">
        <v>241</v>
      </c>
      <c r="I79" s="92" t="s">
        <v>11</v>
      </c>
      <c r="J79" s="92" t="s">
        <v>242</v>
      </c>
      <c r="K79" s="93"/>
      <c r="L79" s="656" t="s">
        <v>203</v>
      </c>
      <c r="M79" s="657" t="s">
        <v>16</v>
      </c>
      <c r="N79" s="92"/>
      <c r="O79" s="92"/>
      <c r="P79" s="92"/>
      <c r="Q79" s="19" t="s">
        <v>251</v>
      </c>
    </row>
    <row r="80" spans="1:17" s="1" customFormat="1" ht="16.5" hidden="1" customHeight="1" x14ac:dyDescent="0.3">
      <c r="A80" s="156"/>
      <c r="B80" s="657"/>
      <c r="C80" s="655"/>
      <c r="D80" s="655"/>
      <c r="E80" s="655"/>
      <c r="F80" s="656"/>
      <c r="G80" s="38">
        <v>14000</v>
      </c>
      <c r="H80" s="657"/>
      <c r="I80" s="92" t="s">
        <v>17</v>
      </c>
      <c r="J80" s="92" t="s">
        <v>243</v>
      </c>
      <c r="K80" s="93"/>
      <c r="L80" s="656"/>
      <c r="M80" s="657"/>
      <c r="N80" s="92"/>
      <c r="O80" s="92"/>
      <c r="P80" s="92"/>
      <c r="Q80" s="19" t="s">
        <v>251</v>
      </c>
    </row>
    <row r="81" spans="1:17" s="1" customFormat="1" ht="14.25" hidden="1" customHeight="1" x14ac:dyDescent="0.3">
      <c r="A81" s="156"/>
      <c r="B81" s="23" t="s">
        <v>258</v>
      </c>
      <c r="C81" s="39">
        <v>44820</v>
      </c>
      <c r="D81" s="39">
        <v>44823.729166666664</v>
      </c>
      <c r="E81" s="39" t="s">
        <v>165</v>
      </c>
      <c r="F81" s="40" t="s">
        <v>26</v>
      </c>
      <c r="G81" s="41">
        <v>19250</v>
      </c>
      <c r="H81" s="23" t="s">
        <v>44</v>
      </c>
      <c r="I81" s="23" t="s">
        <v>18</v>
      </c>
      <c r="J81" s="23" t="s">
        <v>259</v>
      </c>
      <c r="K81" s="40"/>
      <c r="L81" s="42" t="s">
        <v>260</v>
      </c>
      <c r="M81" s="23" t="s">
        <v>16</v>
      </c>
      <c r="N81" s="23"/>
      <c r="O81" s="23"/>
      <c r="P81" s="23"/>
      <c r="Q81" s="20" t="s">
        <v>253</v>
      </c>
    </row>
    <row r="82" spans="1:17" s="1" customFormat="1" ht="14.25" hidden="1" customHeight="1" x14ac:dyDescent="0.3">
      <c r="A82" s="156"/>
      <c r="B82" s="80" t="s">
        <v>255</v>
      </c>
      <c r="C82" s="82">
        <v>44811.833333333336</v>
      </c>
      <c r="D82" s="82">
        <v>44825.572916666664</v>
      </c>
      <c r="E82" s="82" t="s">
        <v>166</v>
      </c>
      <c r="F82" s="79" t="s">
        <v>26</v>
      </c>
      <c r="G82" s="83">
        <v>50900</v>
      </c>
      <c r="H82" s="80" t="s">
        <v>94</v>
      </c>
      <c r="I82" s="80" t="s">
        <v>17</v>
      </c>
      <c r="J82" s="80" t="s">
        <v>256</v>
      </c>
      <c r="K82" s="79"/>
      <c r="L82" s="91" t="s">
        <v>203</v>
      </c>
      <c r="M82" s="80"/>
      <c r="N82" s="80"/>
      <c r="O82" s="80"/>
      <c r="P82" s="80"/>
      <c r="Q82" s="13" t="s">
        <v>262</v>
      </c>
    </row>
    <row r="83" spans="1:17" ht="16.5" hidden="1" customHeight="1" x14ac:dyDescent="0.3">
      <c r="B83" s="643" t="s">
        <v>261</v>
      </c>
      <c r="C83" s="644">
        <v>44825.5</v>
      </c>
      <c r="D83" s="644">
        <v>44832.241666666669</v>
      </c>
      <c r="E83" s="645" t="s">
        <v>165</v>
      </c>
      <c r="F83" s="646" t="s">
        <v>26</v>
      </c>
      <c r="G83" s="647">
        <v>78682</v>
      </c>
      <c r="H83" s="643" t="s">
        <v>44</v>
      </c>
      <c r="I83" s="80" t="s">
        <v>18</v>
      </c>
      <c r="J83" s="80" t="s">
        <v>264</v>
      </c>
      <c r="K83" s="80">
        <v>1</v>
      </c>
      <c r="L83" s="645" t="s">
        <v>203</v>
      </c>
      <c r="M83" s="645"/>
      <c r="N83" s="651"/>
      <c r="O83" s="652"/>
      <c r="P83" s="288"/>
      <c r="Q83" s="645" t="s">
        <v>250</v>
      </c>
    </row>
    <row r="84" spans="1:17" ht="16.5" hidden="1" customHeight="1" x14ac:dyDescent="0.3">
      <c r="B84" s="643"/>
      <c r="C84" s="644"/>
      <c r="D84" s="644"/>
      <c r="E84" s="645"/>
      <c r="F84" s="646"/>
      <c r="G84" s="647"/>
      <c r="H84" s="643"/>
      <c r="I84" s="80" t="s">
        <v>19</v>
      </c>
      <c r="J84" s="80" t="s">
        <v>263</v>
      </c>
      <c r="K84" s="80">
        <v>2</v>
      </c>
      <c r="L84" s="645"/>
      <c r="M84" s="645"/>
      <c r="N84" s="651"/>
      <c r="O84" s="652"/>
      <c r="P84" s="288"/>
      <c r="Q84" s="645"/>
    </row>
    <row r="85" spans="1:17" ht="40.5" hidden="1" customHeight="1" x14ac:dyDescent="0.3">
      <c r="B85" s="75" t="s">
        <v>139</v>
      </c>
      <c r="C85" s="76">
        <v>44821</v>
      </c>
      <c r="D85" s="76">
        <v>44839.666666666664</v>
      </c>
      <c r="E85" s="73" t="s">
        <v>166</v>
      </c>
      <c r="F85" s="77" t="s">
        <v>57</v>
      </c>
      <c r="G85" s="78">
        <v>33000</v>
      </c>
      <c r="H85" s="75" t="s">
        <v>122</v>
      </c>
      <c r="I85" s="73" t="s">
        <v>17</v>
      </c>
      <c r="J85" s="73" t="s">
        <v>59</v>
      </c>
      <c r="K85" s="73"/>
      <c r="L85" s="72" t="s">
        <v>267</v>
      </c>
      <c r="M85" s="73" t="s">
        <v>16</v>
      </c>
      <c r="N85" s="74"/>
      <c r="O85" s="72" t="s">
        <v>266</v>
      </c>
      <c r="P85" s="72"/>
      <c r="Q85" s="73" t="s">
        <v>105</v>
      </c>
    </row>
    <row r="86" spans="1:17" ht="16.5" hidden="1" customHeight="1" x14ac:dyDescent="0.3">
      <c r="B86" s="642" t="s">
        <v>169</v>
      </c>
      <c r="C86" s="648">
        <v>44829.166666666664</v>
      </c>
      <c r="D86" s="648">
        <v>44842</v>
      </c>
      <c r="E86" s="659" t="s">
        <v>265</v>
      </c>
      <c r="F86" s="660" t="s">
        <v>14</v>
      </c>
      <c r="G86" s="661">
        <v>75688</v>
      </c>
      <c r="H86" s="642" t="s">
        <v>13</v>
      </c>
      <c r="I86" s="23" t="s">
        <v>11</v>
      </c>
      <c r="J86" s="24" t="s">
        <v>24</v>
      </c>
      <c r="K86" s="23">
        <v>1</v>
      </c>
      <c r="L86" s="658" t="s">
        <v>203</v>
      </c>
      <c r="M86" s="659" t="s">
        <v>16</v>
      </c>
      <c r="N86" s="25"/>
      <c r="O86" s="23"/>
      <c r="P86" s="23"/>
      <c r="Q86" s="23" t="s">
        <v>105</v>
      </c>
    </row>
    <row r="87" spans="1:17" ht="16.5" hidden="1" customHeight="1" x14ac:dyDescent="0.3">
      <c r="B87" s="642"/>
      <c r="C87" s="648"/>
      <c r="D87" s="648"/>
      <c r="E87" s="659"/>
      <c r="F87" s="660"/>
      <c r="G87" s="661"/>
      <c r="H87" s="642"/>
      <c r="I87" s="23" t="s">
        <v>11</v>
      </c>
      <c r="J87" s="23" t="s">
        <v>29</v>
      </c>
      <c r="K87" s="23">
        <v>2</v>
      </c>
      <c r="L87" s="658"/>
      <c r="M87" s="659"/>
      <c r="N87" s="25"/>
      <c r="O87" s="23"/>
      <c r="P87" s="23"/>
      <c r="Q87" s="23" t="s">
        <v>105</v>
      </c>
    </row>
    <row r="88" spans="1:17" ht="16.5" hidden="1" customHeight="1" x14ac:dyDescent="0.3">
      <c r="B88" s="643" t="s">
        <v>268</v>
      </c>
      <c r="C88" s="644">
        <v>44843.958333333336</v>
      </c>
      <c r="D88" s="644">
        <v>44844.462500000001</v>
      </c>
      <c r="E88" s="645" t="s">
        <v>165</v>
      </c>
      <c r="F88" s="646" t="s">
        <v>14</v>
      </c>
      <c r="G88" s="647">
        <v>59280</v>
      </c>
      <c r="H88" s="643" t="s">
        <v>20</v>
      </c>
      <c r="I88" s="80" t="s">
        <v>9</v>
      </c>
      <c r="J88" s="26" t="s">
        <v>63</v>
      </c>
      <c r="K88" s="80">
        <v>1</v>
      </c>
      <c r="L88" s="662" t="s">
        <v>203</v>
      </c>
      <c r="M88" s="645"/>
      <c r="N88" s="81"/>
      <c r="O88" s="80"/>
      <c r="P88" s="80"/>
      <c r="Q88" s="80" t="s">
        <v>250</v>
      </c>
    </row>
    <row r="89" spans="1:17" ht="16.5" hidden="1" customHeight="1" x14ac:dyDescent="0.3">
      <c r="B89" s="643"/>
      <c r="C89" s="644"/>
      <c r="D89" s="644"/>
      <c r="E89" s="645"/>
      <c r="F89" s="646"/>
      <c r="G89" s="647"/>
      <c r="H89" s="643"/>
      <c r="I89" s="80" t="s">
        <v>19</v>
      </c>
      <c r="J89" s="80" t="s">
        <v>269</v>
      </c>
      <c r="K89" s="80">
        <v>2</v>
      </c>
      <c r="L89" s="662"/>
      <c r="M89" s="645"/>
      <c r="N89" s="81"/>
      <c r="O89" s="80"/>
      <c r="P89" s="80"/>
      <c r="Q89" s="80" t="s">
        <v>250</v>
      </c>
    </row>
    <row r="90" spans="1:17" ht="16.5" hidden="1" customHeight="1" x14ac:dyDescent="0.3">
      <c r="B90" s="643"/>
      <c r="C90" s="644"/>
      <c r="D90" s="644"/>
      <c r="E90" s="645"/>
      <c r="F90" s="646"/>
      <c r="G90" s="647"/>
      <c r="H90" s="643"/>
      <c r="I90" s="80" t="s">
        <v>15</v>
      </c>
      <c r="J90" s="80" t="s">
        <v>270</v>
      </c>
      <c r="K90" s="80">
        <v>3</v>
      </c>
      <c r="L90" s="662"/>
      <c r="M90" s="645"/>
      <c r="N90" s="81"/>
      <c r="O90" s="80"/>
      <c r="P90" s="80"/>
      <c r="Q90" s="80" t="s">
        <v>250</v>
      </c>
    </row>
    <row r="91" spans="1:17" ht="16.5" hidden="1" customHeight="1" x14ac:dyDescent="0.3">
      <c r="B91" s="642" t="s">
        <v>271</v>
      </c>
      <c r="C91" s="648">
        <v>44852.5</v>
      </c>
      <c r="D91" s="648">
        <v>44855.666666666664</v>
      </c>
      <c r="E91" s="659" t="s">
        <v>273</v>
      </c>
      <c r="F91" s="660" t="s">
        <v>14</v>
      </c>
      <c r="G91" s="661">
        <v>88000</v>
      </c>
      <c r="H91" s="642" t="s">
        <v>13</v>
      </c>
      <c r="I91" s="23" t="s">
        <v>11</v>
      </c>
      <c r="J91" s="24" t="s">
        <v>29</v>
      </c>
      <c r="K91" s="23"/>
      <c r="L91" s="658" t="s">
        <v>203</v>
      </c>
      <c r="M91" s="659" t="s">
        <v>16</v>
      </c>
      <c r="N91" s="25"/>
      <c r="O91" s="23"/>
      <c r="P91" s="23"/>
      <c r="Q91" s="23" t="s">
        <v>105</v>
      </c>
    </row>
    <row r="92" spans="1:17" ht="16.5" hidden="1" customHeight="1" x14ac:dyDescent="0.3">
      <c r="B92" s="642"/>
      <c r="C92" s="648"/>
      <c r="D92" s="648"/>
      <c r="E92" s="659"/>
      <c r="F92" s="660"/>
      <c r="G92" s="661"/>
      <c r="H92" s="642"/>
      <c r="I92" s="23" t="s">
        <v>17</v>
      </c>
      <c r="J92" s="23" t="s">
        <v>48</v>
      </c>
      <c r="K92" s="23"/>
      <c r="L92" s="658"/>
      <c r="M92" s="659"/>
      <c r="N92" s="25"/>
      <c r="O92" s="23"/>
      <c r="P92" s="23"/>
      <c r="Q92" s="23" t="s">
        <v>105</v>
      </c>
    </row>
    <row r="93" spans="1:17" ht="16.5" hidden="1" customHeight="1" x14ac:dyDescent="0.3">
      <c r="B93" s="642"/>
      <c r="C93" s="648"/>
      <c r="D93" s="648"/>
      <c r="E93" s="659"/>
      <c r="F93" s="660"/>
      <c r="G93" s="661"/>
      <c r="H93" s="642"/>
      <c r="I93" s="23" t="s">
        <v>17</v>
      </c>
      <c r="J93" s="23" t="s">
        <v>151</v>
      </c>
      <c r="K93" s="23"/>
      <c r="L93" s="658"/>
      <c r="M93" s="659"/>
      <c r="N93" s="25"/>
      <c r="O93" s="23"/>
      <c r="P93" s="23"/>
      <c r="Q93" s="23" t="s">
        <v>105</v>
      </c>
    </row>
    <row r="94" spans="1:17" ht="16.5" hidden="1" customHeight="1" x14ac:dyDescent="0.3">
      <c r="B94" s="40" t="s">
        <v>275</v>
      </c>
      <c r="C94" s="39">
        <v>44860.041666666664</v>
      </c>
      <c r="D94" s="39" t="s">
        <v>277</v>
      </c>
      <c r="E94" s="23" t="s">
        <v>218</v>
      </c>
      <c r="F94" s="289" t="s">
        <v>12</v>
      </c>
      <c r="G94" s="41">
        <v>31000</v>
      </c>
      <c r="H94" s="40" t="s">
        <v>39</v>
      </c>
      <c r="I94" s="23" t="s">
        <v>9</v>
      </c>
      <c r="J94" s="23" t="s">
        <v>96</v>
      </c>
      <c r="K94" s="23"/>
      <c r="L94" s="290" t="s">
        <v>203</v>
      </c>
      <c r="M94" s="23"/>
      <c r="N94" s="25"/>
      <c r="O94" s="23"/>
      <c r="P94" s="23"/>
      <c r="Q94" s="23" t="s">
        <v>250</v>
      </c>
    </row>
    <row r="95" spans="1:17" ht="16.5" hidden="1" customHeight="1" x14ac:dyDescent="0.3">
      <c r="B95" s="429" t="s">
        <v>274</v>
      </c>
      <c r="C95" s="622">
        <v>44861.791666666664</v>
      </c>
      <c r="D95" s="622">
        <v>44865.625</v>
      </c>
      <c r="E95" s="533" t="s">
        <v>166</v>
      </c>
      <c r="F95" s="667" t="s">
        <v>26</v>
      </c>
      <c r="G95" s="78">
        <f>54785-20000</f>
        <v>34785</v>
      </c>
      <c r="H95" s="429" t="s">
        <v>94</v>
      </c>
      <c r="I95" s="73" t="s">
        <v>11</v>
      </c>
      <c r="J95" s="73" t="s">
        <v>70</v>
      </c>
      <c r="K95" s="73"/>
      <c r="L95" s="623" t="s">
        <v>203</v>
      </c>
      <c r="M95" s="73"/>
      <c r="N95" s="65"/>
      <c r="O95" s="73"/>
      <c r="P95" s="73"/>
      <c r="Q95" s="73" t="s">
        <v>105</v>
      </c>
    </row>
    <row r="96" spans="1:17" ht="16.5" hidden="1" customHeight="1" x14ac:dyDescent="0.3">
      <c r="B96" s="429"/>
      <c r="C96" s="622"/>
      <c r="D96" s="622"/>
      <c r="E96" s="533"/>
      <c r="F96" s="667"/>
      <c r="G96" s="78">
        <v>20000</v>
      </c>
      <c r="H96" s="429"/>
      <c r="I96" s="73" t="s">
        <v>17</v>
      </c>
      <c r="J96" s="73" t="s">
        <v>278</v>
      </c>
      <c r="K96" s="73"/>
      <c r="L96" s="623"/>
      <c r="M96" s="73"/>
      <c r="N96" s="65"/>
      <c r="O96" s="73"/>
      <c r="P96" s="73"/>
      <c r="Q96" s="73" t="s">
        <v>105</v>
      </c>
    </row>
    <row r="97" spans="2:17" ht="16.5" hidden="1" customHeight="1" x14ac:dyDescent="0.3">
      <c r="B97" s="569" t="s">
        <v>279</v>
      </c>
      <c r="C97" s="622">
        <v>44867.458333333336</v>
      </c>
      <c r="D97" s="622">
        <v>44867.583333333336</v>
      </c>
      <c r="E97" s="567" t="s">
        <v>218</v>
      </c>
      <c r="F97" s="616" t="s">
        <v>38</v>
      </c>
      <c r="G97" s="62">
        <v>32500</v>
      </c>
      <c r="H97" s="569" t="s">
        <v>224</v>
      </c>
      <c r="I97" s="63" t="s">
        <v>11</v>
      </c>
      <c r="J97" s="63" t="s">
        <v>280</v>
      </c>
      <c r="K97" s="63"/>
      <c r="L97" s="570" t="s">
        <v>284</v>
      </c>
      <c r="M97" s="567" t="s">
        <v>16</v>
      </c>
      <c r="N97" s="63"/>
      <c r="O97" s="63"/>
      <c r="P97" s="63"/>
      <c r="Q97" s="63" t="s">
        <v>281</v>
      </c>
    </row>
    <row r="98" spans="2:17" ht="16.5" hidden="1" customHeight="1" x14ac:dyDescent="0.3">
      <c r="B98" s="569"/>
      <c r="C98" s="622"/>
      <c r="D98" s="622"/>
      <c r="E98" s="567"/>
      <c r="F98" s="616"/>
      <c r="G98" s="62">
        <v>22035</v>
      </c>
      <c r="H98" s="569"/>
      <c r="I98" s="63" t="s">
        <v>18</v>
      </c>
      <c r="J98" s="63" t="s">
        <v>283</v>
      </c>
      <c r="K98" s="63"/>
      <c r="L98" s="570"/>
      <c r="M98" s="567"/>
      <c r="N98" s="63"/>
      <c r="O98" s="63"/>
      <c r="P98" s="63"/>
      <c r="Q98" s="63" t="s">
        <v>250</v>
      </c>
    </row>
    <row r="99" spans="2:17" ht="16.5" hidden="1" customHeight="1" x14ac:dyDescent="0.3">
      <c r="B99" s="664" t="s">
        <v>285</v>
      </c>
      <c r="C99" s="644">
        <v>44876.583333333336</v>
      </c>
      <c r="D99" s="644">
        <v>44877.25</v>
      </c>
      <c r="E99" s="668" t="s">
        <v>180</v>
      </c>
      <c r="F99" s="663" t="s">
        <v>14</v>
      </c>
      <c r="G99" s="66">
        <f>54310-25000</f>
        <v>29310</v>
      </c>
      <c r="H99" s="664" t="s">
        <v>94</v>
      </c>
      <c r="I99" s="67" t="s">
        <v>9</v>
      </c>
      <c r="J99" s="67" t="s">
        <v>288</v>
      </c>
      <c r="K99" s="67"/>
      <c r="L99" s="666" t="s">
        <v>203</v>
      </c>
      <c r="M99" s="668"/>
      <c r="N99" s="67"/>
      <c r="O99" s="67"/>
      <c r="P99" s="67"/>
      <c r="Q99" s="67" t="s">
        <v>287</v>
      </c>
    </row>
    <row r="100" spans="2:17" ht="16.5" hidden="1" customHeight="1" x14ac:dyDescent="0.3">
      <c r="B100" s="664"/>
      <c r="C100" s="644"/>
      <c r="D100" s="644"/>
      <c r="E100" s="668"/>
      <c r="F100" s="663"/>
      <c r="G100" s="66">
        <v>25000</v>
      </c>
      <c r="H100" s="664"/>
      <c r="I100" s="67" t="s">
        <v>18</v>
      </c>
      <c r="J100" s="67" t="s">
        <v>286</v>
      </c>
      <c r="K100" s="67"/>
      <c r="L100" s="666"/>
      <c r="M100" s="668"/>
      <c r="N100" s="67"/>
      <c r="O100" s="67"/>
      <c r="P100" s="67"/>
      <c r="Q100" s="67" t="s">
        <v>287</v>
      </c>
    </row>
    <row r="101" spans="2:17" ht="16.5" hidden="1" customHeight="1" x14ac:dyDescent="0.3">
      <c r="B101" s="98" t="s">
        <v>291</v>
      </c>
      <c r="C101" s="82">
        <v>44916.708333333336</v>
      </c>
      <c r="D101" s="82">
        <v>44886.854166666664</v>
      </c>
      <c r="E101" s="67" t="s">
        <v>165</v>
      </c>
      <c r="F101" s="99" t="s">
        <v>26</v>
      </c>
      <c r="G101" s="66">
        <v>20000</v>
      </c>
      <c r="H101" s="98" t="s">
        <v>292</v>
      </c>
      <c r="I101" s="67" t="s">
        <v>18</v>
      </c>
      <c r="J101" s="67" t="s">
        <v>35</v>
      </c>
      <c r="K101" s="67"/>
      <c r="L101" s="13" t="s">
        <v>296</v>
      </c>
      <c r="M101" s="67" t="s">
        <v>16</v>
      </c>
      <c r="N101" s="67"/>
      <c r="O101" s="67"/>
      <c r="P101" s="67"/>
      <c r="Q101" s="67"/>
    </row>
    <row r="102" spans="2:17" ht="16.5" hidden="1" customHeight="1" x14ac:dyDescent="0.3">
      <c r="B102" s="664" t="s">
        <v>290</v>
      </c>
      <c r="C102" s="644">
        <v>44886.166666666664</v>
      </c>
      <c r="D102" s="644">
        <v>44889.083333333336</v>
      </c>
      <c r="E102" s="668" t="s">
        <v>297</v>
      </c>
      <c r="F102" s="663" t="s">
        <v>26</v>
      </c>
      <c r="G102" s="669">
        <v>76707</v>
      </c>
      <c r="H102" s="664" t="s">
        <v>94</v>
      </c>
      <c r="I102" s="67" t="s">
        <v>11</v>
      </c>
      <c r="J102" s="67" t="s">
        <v>25</v>
      </c>
      <c r="K102" s="67"/>
      <c r="L102" s="666" t="s">
        <v>203</v>
      </c>
      <c r="M102" s="668" t="s">
        <v>16</v>
      </c>
      <c r="N102" s="67"/>
      <c r="O102" s="67"/>
      <c r="P102" s="67"/>
      <c r="Q102" s="67" t="s">
        <v>281</v>
      </c>
    </row>
    <row r="103" spans="2:17" ht="16.5" hidden="1" customHeight="1" x14ac:dyDescent="0.3">
      <c r="B103" s="664"/>
      <c r="C103" s="644"/>
      <c r="D103" s="644"/>
      <c r="E103" s="668"/>
      <c r="F103" s="663"/>
      <c r="G103" s="669"/>
      <c r="H103" s="664"/>
      <c r="I103" s="67" t="s">
        <v>17</v>
      </c>
      <c r="J103" s="67" t="s">
        <v>301</v>
      </c>
      <c r="K103" s="67"/>
      <c r="L103" s="666"/>
      <c r="M103" s="668"/>
      <c r="N103" s="67"/>
      <c r="O103" s="67"/>
      <c r="P103" s="67"/>
      <c r="Q103" s="67" t="s">
        <v>281</v>
      </c>
    </row>
    <row r="104" spans="2:17" ht="16.5" hidden="1" customHeight="1" x14ac:dyDescent="0.3">
      <c r="B104" s="664"/>
      <c r="C104" s="644"/>
      <c r="D104" s="644"/>
      <c r="E104" s="668"/>
      <c r="F104" s="663"/>
      <c r="G104" s="669"/>
      <c r="H104" s="664"/>
      <c r="I104" s="67" t="s">
        <v>18</v>
      </c>
      <c r="J104" s="67" t="s">
        <v>300</v>
      </c>
      <c r="K104" s="67"/>
      <c r="L104" s="666"/>
      <c r="M104" s="668"/>
      <c r="N104" s="67"/>
      <c r="O104" s="67"/>
      <c r="P104" s="67"/>
      <c r="Q104" s="67" t="s">
        <v>287</v>
      </c>
    </row>
    <row r="105" spans="2:17" ht="16.5" hidden="1" customHeight="1" x14ac:dyDescent="0.3">
      <c r="B105" s="569" t="s">
        <v>148</v>
      </c>
      <c r="C105" s="622">
        <v>44888.333333333336</v>
      </c>
      <c r="D105" s="622">
        <v>44895.625</v>
      </c>
      <c r="E105" s="567" t="s">
        <v>298</v>
      </c>
      <c r="F105" s="616" t="s">
        <v>14</v>
      </c>
      <c r="G105" s="62">
        <v>27703</v>
      </c>
      <c r="H105" s="569" t="s">
        <v>13</v>
      </c>
      <c r="I105" s="63" t="s">
        <v>18</v>
      </c>
      <c r="J105" s="63" t="s">
        <v>302</v>
      </c>
      <c r="K105" s="63"/>
      <c r="L105" s="570" t="s">
        <v>203</v>
      </c>
      <c r="M105" s="567" t="s">
        <v>16</v>
      </c>
      <c r="N105" s="63"/>
      <c r="O105" s="63"/>
      <c r="P105" s="63"/>
      <c r="Q105" s="63" t="s">
        <v>287</v>
      </c>
    </row>
    <row r="106" spans="2:17" ht="16.5" hidden="1" customHeight="1" x14ac:dyDescent="0.3">
      <c r="B106" s="569"/>
      <c r="C106" s="622"/>
      <c r="D106" s="622"/>
      <c r="E106" s="567"/>
      <c r="F106" s="616"/>
      <c r="G106" s="62">
        <v>20000</v>
      </c>
      <c r="H106" s="569"/>
      <c r="I106" s="63" t="s">
        <v>11</v>
      </c>
      <c r="J106" s="63" t="s">
        <v>136</v>
      </c>
      <c r="K106" s="63"/>
      <c r="L106" s="570"/>
      <c r="M106" s="567"/>
      <c r="N106" s="63"/>
      <c r="O106" s="63"/>
      <c r="P106" s="63"/>
      <c r="Q106" s="63" t="s">
        <v>281</v>
      </c>
    </row>
    <row r="107" spans="2:17" ht="16.5" hidden="1" customHeight="1" x14ac:dyDescent="0.3">
      <c r="B107" s="569"/>
      <c r="C107" s="622"/>
      <c r="D107" s="622"/>
      <c r="E107" s="567"/>
      <c r="F107" s="616"/>
      <c r="G107" s="62">
        <v>31297</v>
      </c>
      <c r="H107" s="569"/>
      <c r="I107" s="63" t="s">
        <v>17</v>
      </c>
      <c r="J107" s="63" t="s">
        <v>73</v>
      </c>
      <c r="K107" s="63"/>
      <c r="L107" s="570"/>
      <c r="M107" s="567"/>
      <c r="N107" s="63"/>
      <c r="O107" s="63"/>
      <c r="P107" s="63"/>
      <c r="Q107" s="63" t="s">
        <v>281</v>
      </c>
    </row>
    <row r="108" spans="2:17" ht="16.5" hidden="1" customHeight="1" x14ac:dyDescent="0.3">
      <c r="B108" s="664" t="s">
        <v>294</v>
      </c>
      <c r="C108" s="644">
        <v>44888.666666666664</v>
      </c>
      <c r="D108" s="644">
        <v>44891.083333333336</v>
      </c>
      <c r="E108" s="668" t="s">
        <v>72</v>
      </c>
      <c r="F108" s="663" t="s">
        <v>14</v>
      </c>
      <c r="G108" s="669">
        <v>35000</v>
      </c>
      <c r="H108" s="664" t="s">
        <v>41</v>
      </c>
      <c r="I108" s="67" t="s">
        <v>15</v>
      </c>
      <c r="J108" s="67" t="s">
        <v>299</v>
      </c>
      <c r="K108" s="67"/>
      <c r="L108" s="662" t="s">
        <v>296</v>
      </c>
      <c r="M108" s="668" t="s">
        <v>16</v>
      </c>
      <c r="N108" s="67"/>
      <c r="O108" s="67"/>
      <c r="P108" s="67"/>
      <c r="Q108" s="67" t="s">
        <v>287</v>
      </c>
    </row>
    <row r="109" spans="2:17" ht="16.5" hidden="1" customHeight="1" x14ac:dyDescent="0.3">
      <c r="B109" s="664"/>
      <c r="C109" s="644"/>
      <c r="D109" s="644"/>
      <c r="E109" s="668"/>
      <c r="F109" s="663"/>
      <c r="G109" s="669"/>
      <c r="H109" s="664"/>
      <c r="I109" s="67" t="s">
        <v>18</v>
      </c>
      <c r="J109" s="67" t="s">
        <v>151</v>
      </c>
      <c r="K109" s="67"/>
      <c r="L109" s="662"/>
      <c r="M109" s="668"/>
      <c r="N109" s="67"/>
      <c r="O109" s="67"/>
      <c r="P109" s="67"/>
      <c r="Q109" s="67" t="s">
        <v>287</v>
      </c>
    </row>
    <row r="110" spans="2:17" ht="16.5" hidden="1" customHeight="1" x14ac:dyDescent="0.3">
      <c r="B110" s="569" t="s">
        <v>303</v>
      </c>
      <c r="C110" s="622">
        <v>44895.208333333336</v>
      </c>
      <c r="D110" s="622">
        <v>44900.708333333336</v>
      </c>
      <c r="E110" s="570" t="s">
        <v>308</v>
      </c>
      <c r="F110" s="616" t="s">
        <v>38</v>
      </c>
      <c r="G110" s="62">
        <v>17500</v>
      </c>
      <c r="H110" s="569" t="s">
        <v>39</v>
      </c>
      <c r="I110" s="63" t="s">
        <v>18</v>
      </c>
      <c r="J110" s="63" t="s">
        <v>67</v>
      </c>
      <c r="K110" s="63"/>
      <c r="L110" s="623" t="s">
        <v>203</v>
      </c>
      <c r="M110" s="567"/>
      <c r="N110" s="63"/>
      <c r="O110" s="63"/>
      <c r="P110" s="63"/>
      <c r="Q110" s="63" t="s">
        <v>307</v>
      </c>
    </row>
    <row r="111" spans="2:17" ht="16.5" hidden="1" customHeight="1" x14ac:dyDescent="0.3">
      <c r="B111" s="569"/>
      <c r="C111" s="622"/>
      <c r="D111" s="622"/>
      <c r="E111" s="570"/>
      <c r="F111" s="616"/>
      <c r="G111" s="62">
        <v>37500</v>
      </c>
      <c r="H111" s="569"/>
      <c r="I111" s="63" t="s">
        <v>18</v>
      </c>
      <c r="J111" s="63" t="s">
        <v>306</v>
      </c>
      <c r="K111" s="63"/>
      <c r="L111" s="623"/>
      <c r="M111" s="567"/>
      <c r="N111" s="63"/>
      <c r="O111" s="63"/>
      <c r="P111" s="63"/>
      <c r="Q111" s="63" t="s">
        <v>307</v>
      </c>
    </row>
    <row r="112" spans="2:17" ht="16.5" hidden="1" customHeight="1" x14ac:dyDescent="0.3">
      <c r="B112" s="569" t="s">
        <v>309</v>
      </c>
      <c r="C112" s="622">
        <v>44905.333333333336</v>
      </c>
      <c r="D112" s="622">
        <v>44910.75</v>
      </c>
      <c r="E112" s="567" t="s">
        <v>166</v>
      </c>
      <c r="F112" s="616" t="s">
        <v>14</v>
      </c>
      <c r="G112" s="62">
        <v>50000</v>
      </c>
      <c r="H112" s="569" t="s">
        <v>13</v>
      </c>
      <c r="I112" s="63" t="s">
        <v>17</v>
      </c>
      <c r="J112" s="63" t="s">
        <v>317</v>
      </c>
      <c r="K112" s="63"/>
      <c r="L112" s="623" t="s">
        <v>203</v>
      </c>
      <c r="M112" s="567"/>
      <c r="N112" s="63"/>
      <c r="O112" s="63"/>
      <c r="P112" s="63"/>
      <c r="Q112" s="63" t="s">
        <v>90</v>
      </c>
    </row>
    <row r="113" spans="2:17" ht="16.5" hidden="1" customHeight="1" x14ac:dyDescent="0.3">
      <c r="B113" s="569"/>
      <c r="C113" s="622"/>
      <c r="D113" s="622"/>
      <c r="E113" s="567"/>
      <c r="F113" s="616"/>
      <c r="G113" s="62">
        <v>23000</v>
      </c>
      <c r="H113" s="569"/>
      <c r="I113" s="63" t="s">
        <v>11</v>
      </c>
      <c r="J113" s="63" t="s">
        <v>318</v>
      </c>
      <c r="K113" s="63"/>
      <c r="L113" s="623"/>
      <c r="M113" s="567"/>
      <c r="N113" s="63"/>
      <c r="O113" s="63"/>
      <c r="P113" s="63"/>
      <c r="Q113" s="63" t="s">
        <v>90</v>
      </c>
    </row>
    <row r="114" spans="2:17" ht="16.5" hidden="1" customHeight="1" x14ac:dyDescent="0.3">
      <c r="B114" s="569" t="s">
        <v>310</v>
      </c>
      <c r="C114" s="622">
        <v>44908.333333333336</v>
      </c>
      <c r="D114" s="622">
        <v>44913.75</v>
      </c>
      <c r="E114" s="567" t="s">
        <v>166</v>
      </c>
      <c r="F114" s="616" t="s">
        <v>38</v>
      </c>
      <c r="G114" s="62">
        <v>62100</v>
      </c>
      <c r="H114" s="569" t="s">
        <v>94</v>
      </c>
      <c r="I114" s="63" t="s">
        <v>11</v>
      </c>
      <c r="J114" s="63" t="s">
        <v>323</v>
      </c>
      <c r="K114" s="63"/>
      <c r="L114" s="623" t="s">
        <v>203</v>
      </c>
      <c r="M114" s="567"/>
      <c r="N114" s="63"/>
      <c r="O114" s="63"/>
      <c r="P114" s="63"/>
      <c r="Q114" s="63" t="s">
        <v>311</v>
      </c>
    </row>
    <row r="115" spans="2:17" ht="16.5" hidden="1" customHeight="1" x14ac:dyDescent="0.3">
      <c r="B115" s="569"/>
      <c r="C115" s="622"/>
      <c r="D115" s="622"/>
      <c r="E115" s="567"/>
      <c r="F115" s="616"/>
      <c r="G115" s="62">
        <v>16900</v>
      </c>
      <c r="H115" s="569"/>
      <c r="I115" s="63" t="s">
        <v>17</v>
      </c>
      <c r="J115" s="63" t="s">
        <v>318</v>
      </c>
      <c r="K115" s="63"/>
      <c r="L115" s="623"/>
      <c r="M115" s="567"/>
      <c r="N115" s="63"/>
      <c r="O115" s="63"/>
      <c r="P115" s="63"/>
      <c r="Q115" s="63" t="s">
        <v>311</v>
      </c>
    </row>
    <row r="116" spans="2:17" ht="18.75" hidden="1" customHeight="1" x14ac:dyDescent="0.3">
      <c r="B116" s="101" t="s">
        <v>312</v>
      </c>
      <c r="C116" s="27">
        <v>44914.208333333336</v>
      </c>
      <c r="D116" s="27">
        <v>44916.666666666664</v>
      </c>
      <c r="E116" s="100" t="s">
        <v>324</v>
      </c>
      <c r="F116" s="68" t="s">
        <v>26</v>
      </c>
      <c r="G116" s="43">
        <v>7700</v>
      </c>
      <c r="H116" s="101" t="s">
        <v>64</v>
      </c>
      <c r="I116" s="100" t="s">
        <v>9</v>
      </c>
      <c r="J116" s="100" t="s">
        <v>58</v>
      </c>
      <c r="K116" s="100"/>
      <c r="L116" s="28" t="s">
        <v>313</v>
      </c>
      <c r="M116" s="100" t="s">
        <v>16</v>
      </c>
      <c r="N116" s="100"/>
      <c r="O116" s="100"/>
      <c r="P116" s="100"/>
      <c r="Q116" s="100" t="s">
        <v>287</v>
      </c>
    </row>
    <row r="117" spans="2:17" ht="16.5" hidden="1" customHeight="1" x14ac:dyDescent="0.3">
      <c r="B117" s="569" t="s">
        <v>304</v>
      </c>
      <c r="C117" s="622">
        <v>44911.083333333336</v>
      </c>
      <c r="D117" s="629">
        <v>44917.125</v>
      </c>
      <c r="E117" s="567" t="s">
        <v>180</v>
      </c>
      <c r="F117" s="616" t="s">
        <v>26</v>
      </c>
      <c r="G117" s="62">
        <v>21331</v>
      </c>
      <c r="H117" s="569" t="s">
        <v>20</v>
      </c>
      <c r="I117" s="63" t="s">
        <v>9</v>
      </c>
      <c r="J117" s="63" t="s">
        <v>320</v>
      </c>
      <c r="K117" s="63"/>
      <c r="L117" s="623" t="s">
        <v>203</v>
      </c>
      <c r="M117" s="567"/>
      <c r="N117" s="63"/>
      <c r="O117" s="63"/>
      <c r="P117" s="63"/>
      <c r="Q117" s="63" t="s">
        <v>287</v>
      </c>
    </row>
    <row r="118" spans="2:17" ht="16.5" hidden="1" customHeight="1" x14ac:dyDescent="0.3">
      <c r="B118" s="569"/>
      <c r="C118" s="622"/>
      <c r="D118" s="629"/>
      <c r="E118" s="567"/>
      <c r="F118" s="616"/>
      <c r="G118" s="62">
        <v>23000</v>
      </c>
      <c r="H118" s="569"/>
      <c r="I118" s="63" t="s">
        <v>18</v>
      </c>
      <c r="J118" s="63" t="s">
        <v>321</v>
      </c>
      <c r="K118" s="63"/>
      <c r="L118" s="623"/>
      <c r="M118" s="567"/>
      <c r="N118" s="63"/>
      <c r="O118" s="63"/>
      <c r="P118" s="63"/>
      <c r="Q118" s="63" t="s">
        <v>287</v>
      </c>
    </row>
    <row r="119" spans="2:17" ht="16.5" hidden="1" customHeight="1" x14ac:dyDescent="0.3">
      <c r="B119" s="569"/>
      <c r="C119" s="622"/>
      <c r="D119" s="629"/>
      <c r="E119" s="567"/>
      <c r="F119" s="616"/>
      <c r="G119" s="62">
        <v>25000</v>
      </c>
      <c r="H119" s="569"/>
      <c r="I119" s="63" t="s">
        <v>19</v>
      </c>
      <c r="J119" s="63" t="s">
        <v>322</v>
      </c>
      <c r="K119" s="63"/>
      <c r="L119" s="623"/>
      <c r="M119" s="567"/>
      <c r="N119" s="63"/>
      <c r="O119" s="63"/>
      <c r="P119" s="63"/>
      <c r="Q119" s="63" t="s">
        <v>287</v>
      </c>
    </row>
    <row r="120" spans="2:17" ht="18.75" hidden="1" customHeight="1" x14ac:dyDescent="0.3">
      <c r="B120" s="101" t="s">
        <v>319</v>
      </c>
      <c r="C120" s="27">
        <v>44918.75</v>
      </c>
      <c r="D120" s="27">
        <v>44918.791666666664</v>
      </c>
      <c r="E120" s="100" t="s">
        <v>166</v>
      </c>
      <c r="F120" s="68" t="s">
        <v>26</v>
      </c>
      <c r="G120" s="43">
        <v>10000</v>
      </c>
      <c r="H120" s="101" t="s">
        <v>314</v>
      </c>
      <c r="I120" s="100" t="s">
        <v>11</v>
      </c>
      <c r="J120" s="100" t="s">
        <v>50</v>
      </c>
      <c r="K120" s="100"/>
      <c r="L120" s="28" t="s">
        <v>203</v>
      </c>
      <c r="M120" s="100"/>
      <c r="N120" s="100"/>
      <c r="O120" s="100" t="s">
        <v>315</v>
      </c>
      <c r="P120" s="100"/>
      <c r="Q120" s="100" t="s">
        <v>281</v>
      </c>
    </row>
    <row r="121" spans="2:17" ht="18.75" hidden="1" customHeight="1" x14ac:dyDescent="0.3">
      <c r="B121" s="101" t="s">
        <v>91</v>
      </c>
      <c r="C121" s="27">
        <v>44933.291666666664</v>
      </c>
      <c r="D121" s="27">
        <v>44933.333333333336</v>
      </c>
      <c r="E121" s="100" t="s">
        <v>166</v>
      </c>
      <c r="F121" s="68" t="s">
        <v>14</v>
      </c>
      <c r="G121" s="43">
        <v>30000</v>
      </c>
      <c r="H121" s="101" t="s">
        <v>13</v>
      </c>
      <c r="I121" s="100" t="s">
        <v>17</v>
      </c>
      <c r="J121" s="100" t="s">
        <v>272</v>
      </c>
      <c r="K121" s="100"/>
      <c r="L121" s="28" t="s">
        <v>329</v>
      </c>
      <c r="M121" s="100" t="s">
        <v>16</v>
      </c>
      <c r="N121" s="100"/>
      <c r="O121" s="100"/>
      <c r="P121" s="100"/>
      <c r="Q121" s="100" t="s">
        <v>325</v>
      </c>
    </row>
    <row r="122" spans="2:17" ht="18.75" hidden="1" customHeight="1" x14ac:dyDescent="0.3">
      <c r="B122" s="569" t="s">
        <v>331</v>
      </c>
      <c r="C122" s="622">
        <v>44942.5</v>
      </c>
      <c r="D122" s="622">
        <v>44943.333333333336</v>
      </c>
      <c r="E122" s="567" t="s">
        <v>218</v>
      </c>
      <c r="F122" s="616" t="s">
        <v>332</v>
      </c>
      <c r="G122" s="621">
        <v>33000</v>
      </c>
      <c r="H122" s="569" t="s">
        <v>47</v>
      </c>
      <c r="I122" s="63" t="s">
        <v>49</v>
      </c>
      <c r="J122" s="63" t="s">
        <v>333</v>
      </c>
      <c r="K122" s="63">
        <v>1</v>
      </c>
      <c r="L122" s="623" t="s">
        <v>203</v>
      </c>
      <c r="M122" s="63"/>
      <c r="N122" s="567" t="s">
        <v>336</v>
      </c>
      <c r="O122" s="567" t="s">
        <v>335</v>
      </c>
      <c r="P122" s="63"/>
      <c r="Q122" s="63" t="s">
        <v>287</v>
      </c>
    </row>
    <row r="123" spans="2:17" ht="16.5" hidden="1" customHeight="1" x14ac:dyDescent="0.3">
      <c r="B123" s="569"/>
      <c r="C123" s="622"/>
      <c r="D123" s="622"/>
      <c r="E123" s="567"/>
      <c r="F123" s="616"/>
      <c r="G123" s="621"/>
      <c r="H123" s="569"/>
      <c r="I123" s="63" t="s">
        <v>18</v>
      </c>
      <c r="J123" s="63" t="s">
        <v>334</v>
      </c>
      <c r="K123" s="63">
        <v>2</v>
      </c>
      <c r="L123" s="623"/>
      <c r="M123" s="63"/>
      <c r="N123" s="567"/>
      <c r="O123" s="567"/>
      <c r="P123" s="63"/>
      <c r="Q123" s="63" t="s">
        <v>287</v>
      </c>
    </row>
    <row r="124" spans="2:17" ht="18.75" hidden="1" customHeight="1" x14ac:dyDescent="0.3">
      <c r="B124" s="569" t="s">
        <v>326</v>
      </c>
      <c r="C124" s="622">
        <v>44941.333333333336</v>
      </c>
      <c r="D124" s="622">
        <v>44944.616666666669</v>
      </c>
      <c r="E124" s="567" t="s">
        <v>166</v>
      </c>
      <c r="F124" s="616" t="s">
        <v>14</v>
      </c>
      <c r="G124" s="62">
        <v>37000</v>
      </c>
      <c r="H124" s="569" t="s">
        <v>13</v>
      </c>
      <c r="I124" s="63" t="s">
        <v>17</v>
      </c>
      <c r="J124" s="63" t="s">
        <v>113</v>
      </c>
      <c r="K124" s="63">
        <v>1</v>
      </c>
      <c r="L124" s="623" t="s">
        <v>203</v>
      </c>
      <c r="M124" s="63"/>
      <c r="N124" s="63"/>
      <c r="O124" s="63"/>
      <c r="P124" s="63"/>
      <c r="Q124" s="63" t="s">
        <v>325</v>
      </c>
    </row>
    <row r="125" spans="2:17" ht="18.75" hidden="1" customHeight="1" x14ac:dyDescent="0.3">
      <c r="B125" s="569"/>
      <c r="C125" s="622"/>
      <c r="D125" s="622"/>
      <c r="E125" s="567"/>
      <c r="F125" s="616"/>
      <c r="G125" s="62">
        <v>18000</v>
      </c>
      <c r="H125" s="569"/>
      <c r="I125" s="63" t="s">
        <v>11</v>
      </c>
      <c r="J125" s="63" t="s">
        <v>330</v>
      </c>
      <c r="K125" s="63">
        <v>2</v>
      </c>
      <c r="L125" s="623"/>
      <c r="M125" s="63"/>
      <c r="N125" s="63"/>
      <c r="O125" s="63"/>
      <c r="P125" s="63"/>
      <c r="Q125" s="63" t="s">
        <v>325</v>
      </c>
    </row>
    <row r="126" spans="2:17" ht="18.75" hidden="1" customHeight="1" x14ac:dyDescent="0.3">
      <c r="B126" s="569"/>
      <c r="C126" s="622"/>
      <c r="D126" s="622"/>
      <c r="E126" s="567"/>
      <c r="F126" s="616"/>
      <c r="G126" s="62">
        <v>16800</v>
      </c>
      <c r="H126" s="569"/>
      <c r="I126" s="63" t="s">
        <v>11</v>
      </c>
      <c r="J126" s="63" t="s">
        <v>40</v>
      </c>
      <c r="K126" s="63">
        <v>3</v>
      </c>
      <c r="L126" s="623"/>
      <c r="M126" s="63"/>
      <c r="N126" s="63"/>
      <c r="O126" s="63"/>
      <c r="P126" s="63"/>
      <c r="Q126" s="63" t="s">
        <v>325</v>
      </c>
    </row>
    <row r="127" spans="2:17" ht="18.75" hidden="1" customHeight="1" x14ac:dyDescent="0.3">
      <c r="B127" s="569" t="s">
        <v>327</v>
      </c>
      <c r="C127" s="622">
        <v>44935</v>
      </c>
      <c r="D127" s="622">
        <v>44944.324999999997</v>
      </c>
      <c r="E127" s="567" t="s">
        <v>165</v>
      </c>
      <c r="F127" s="616" t="s">
        <v>14</v>
      </c>
      <c r="G127" s="62">
        <v>18000</v>
      </c>
      <c r="H127" s="569" t="s">
        <v>20</v>
      </c>
      <c r="I127" s="63" t="s">
        <v>9</v>
      </c>
      <c r="J127" s="63" t="s">
        <v>337</v>
      </c>
      <c r="K127" s="63"/>
      <c r="L127" s="623" t="s">
        <v>203</v>
      </c>
      <c r="M127" s="63"/>
      <c r="N127" s="63"/>
      <c r="O127" s="63"/>
      <c r="P127" s="63"/>
      <c r="Q127" s="63" t="s">
        <v>287</v>
      </c>
    </row>
    <row r="128" spans="2:17" ht="16.5" hidden="1" customHeight="1" x14ac:dyDescent="0.3">
      <c r="B128" s="569"/>
      <c r="C128" s="622"/>
      <c r="D128" s="622"/>
      <c r="E128" s="567"/>
      <c r="F128" s="616"/>
      <c r="G128" s="62">
        <v>55643</v>
      </c>
      <c r="H128" s="569"/>
      <c r="I128" s="63" t="s">
        <v>9</v>
      </c>
      <c r="J128" s="63" t="s">
        <v>338</v>
      </c>
      <c r="K128" s="63"/>
      <c r="L128" s="623"/>
      <c r="M128" s="63"/>
      <c r="N128" s="63"/>
      <c r="O128" s="63"/>
      <c r="P128" s="63"/>
      <c r="Q128" s="63" t="s">
        <v>287</v>
      </c>
    </row>
    <row r="129" spans="2:17" ht="18.75" hidden="1" customHeight="1" x14ac:dyDescent="0.3">
      <c r="B129" s="569" t="s">
        <v>328</v>
      </c>
      <c r="C129" s="622">
        <v>44938.083333333336</v>
      </c>
      <c r="D129" s="622">
        <v>44949.625</v>
      </c>
      <c r="E129" s="567" t="s">
        <v>218</v>
      </c>
      <c r="F129" s="616" t="s">
        <v>38</v>
      </c>
      <c r="G129" s="102">
        <v>52000</v>
      </c>
      <c r="H129" s="569" t="s">
        <v>94</v>
      </c>
      <c r="I129" s="63" t="s">
        <v>18</v>
      </c>
      <c r="J129" s="63" t="s">
        <v>339</v>
      </c>
      <c r="K129" s="63"/>
      <c r="L129" s="623" t="s">
        <v>203</v>
      </c>
      <c r="M129" s="63"/>
      <c r="N129" s="63"/>
      <c r="O129" s="63"/>
      <c r="P129" s="63"/>
      <c r="Q129" s="63" t="s">
        <v>287</v>
      </c>
    </row>
    <row r="130" spans="2:17" ht="18.75" hidden="1" customHeight="1" x14ac:dyDescent="0.3">
      <c r="B130" s="569"/>
      <c r="C130" s="622"/>
      <c r="D130" s="622"/>
      <c r="E130" s="567"/>
      <c r="F130" s="616"/>
      <c r="G130" s="102">
        <f>76949-52000</f>
        <v>24949</v>
      </c>
      <c r="H130" s="569"/>
      <c r="I130" s="63" t="s">
        <v>18</v>
      </c>
      <c r="J130" s="63" t="s">
        <v>340</v>
      </c>
      <c r="K130" s="63"/>
      <c r="L130" s="623"/>
      <c r="M130" s="63"/>
      <c r="N130" s="63"/>
      <c r="O130" s="63"/>
      <c r="P130" s="63"/>
      <c r="Q130" s="63" t="s">
        <v>287</v>
      </c>
    </row>
    <row r="131" spans="2:17" ht="18.75" hidden="1" customHeight="1" x14ac:dyDescent="0.3">
      <c r="B131" s="569" t="s">
        <v>341</v>
      </c>
      <c r="C131" s="622">
        <v>44949.6875</v>
      </c>
      <c r="D131" s="622">
        <v>44960.75</v>
      </c>
      <c r="E131" s="567" t="s">
        <v>347</v>
      </c>
      <c r="F131" s="616" t="s">
        <v>14</v>
      </c>
      <c r="G131" s="102">
        <v>35000</v>
      </c>
      <c r="H131" s="569" t="s">
        <v>13</v>
      </c>
      <c r="I131" s="63" t="s">
        <v>9</v>
      </c>
      <c r="J131" s="63" t="s">
        <v>345</v>
      </c>
      <c r="K131" s="63"/>
      <c r="L131" s="623" t="s">
        <v>203</v>
      </c>
      <c r="M131" s="670" t="s">
        <v>16</v>
      </c>
      <c r="N131" s="63"/>
      <c r="O131" s="63"/>
      <c r="P131" s="63"/>
      <c r="Q131" s="63" t="s">
        <v>287</v>
      </c>
    </row>
    <row r="132" spans="2:17" ht="18.75" hidden="1" customHeight="1" x14ac:dyDescent="0.3">
      <c r="B132" s="569"/>
      <c r="C132" s="622"/>
      <c r="D132" s="622"/>
      <c r="E132" s="567"/>
      <c r="F132" s="616"/>
      <c r="G132" s="102">
        <v>53000</v>
      </c>
      <c r="H132" s="569"/>
      <c r="I132" s="63" t="s">
        <v>17</v>
      </c>
      <c r="J132" s="63" t="s">
        <v>43</v>
      </c>
      <c r="K132" s="63"/>
      <c r="L132" s="623"/>
      <c r="M132" s="670"/>
      <c r="N132" s="63"/>
      <c r="O132" s="63"/>
      <c r="P132" s="63"/>
      <c r="Q132" s="63" t="s">
        <v>325</v>
      </c>
    </row>
    <row r="133" spans="2:17" ht="18.75" hidden="1" customHeight="1" x14ac:dyDescent="0.3">
      <c r="B133" s="569" t="s">
        <v>342</v>
      </c>
      <c r="C133" s="622">
        <v>44956.658333333333</v>
      </c>
      <c r="D133" s="622">
        <v>44964.416666666664</v>
      </c>
      <c r="E133" s="567" t="s">
        <v>218</v>
      </c>
      <c r="F133" s="616" t="s">
        <v>38</v>
      </c>
      <c r="G133" s="102">
        <v>32000</v>
      </c>
      <c r="H133" s="569" t="s">
        <v>39</v>
      </c>
      <c r="I133" s="63" t="s">
        <v>15</v>
      </c>
      <c r="J133" s="63" t="s">
        <v>195</v>
      </c>
      <c r="K133" s="63"/>
      <c r="L133" s="623" t="s">
        <v>248</v>
      </c>
      <c r="M133" s="670" t="s">
        <v>16</v>
      </c>
      <c r="N133" s="63"/>
      <c r="O133" s="63"/>
      <c r="P133" s="63"/>
      <c r="Q133" s="63" t="s">
        <v>287</v>
      </c>
    </row>
    <row r="134" spans="2:17" ht="18.75" hidden="1" customHeight="1" x14ac:dyDescent="0.3">
      <c r="B134" s="569"/>
      <c r="C134" s="622"/>
      <c r="D134" s="622"/>
      <c r="E134" s="567"/>
      <c r="F134" s="616"/>
      <c r="G134" s="102">
        <v>22976</v>
      </c>
      <c r="H134" s="569"/>
      <c r="I134" s="63" t="s">
        <v>18</v>
      </c>
      <c r="J134" s="63" t="s">
        <v>346</v>
      </c>
      <c r="K134" s="63"/>
      <c r="L134" s="623"/>
      <c r="M134" s="670"/>
      <c r="N134" s="63"/>
      <c r="O134" s="63"/>
      <c r="P134" s="63"/>
      <c r="Q134" s="63" t="s">
        <v>287</v>
      </c>
    </row>
    <row r="135" spans="2:17" ht="18.75" hidden="1" customHeight="1" x14ac:dyDescent="0.3">
      <c r="B135" s="569" t="s">
        <v>274</v>
      </c>
      <c r="C135" s="622">
        <v>44961.229166666664</v>
      </c>
      <c r="D135" s="622">
        <v>44965.833333333336</v>
      </c>
      <c r="E135" s="567" t="s">
        <v>166</v>
      </c>
      <c r="F135" s="616" t="s">
        <v>14</v>
      </c>
      <c r="G135" s="102">
        <v>18000</v>
      </c>
      <c r="H135" s="569" t="s">
        <v>94</v>
      </c>
      <c r="I135" s="63" t="s">
        <v>11</v>
      </c>
      <c r="J135" s="63" t="s">
        <v>151</v>
      </c>
      <c r="K135" s="63"/>
      <c r="L135" s="623" t="s">
        <v>203</v>
      </c>
      <c r="M135" s="63"/>
      <c r="N135" s="63"/>
      <c r="O135" s="63"/>
      <c r="P135" s="63"/>
      <c r="Q135" s="63" t="s">
        <v>325</v>
      </c>
    </row>
    <row r="136" spans="2:17" ht="18.75" hidden="1" customHeight="1" x14ac:dyDescent="0.3">
      <c r="B136" s="569"/>
      <c r="C136" s="622"/>
      <c r="D136" s="622"/>
      <c r="E136" s="567"/>
      <c r="F136" s="616"/>
      <c r="G136" s="102">
        <v>37000</v>
      </c>
      <c r="H136" s="569"/>
      <c r="I136" s="63" t="s">
        <v>17</v>
      </c>
      <c r="J136" s="63" t="s">
        <v>70</v>
      </c>
      <c r="K136" s="63"/>
      <c r="L136" s="623"/>
      <c r="M136" s="63"/>
      <c r="N136" s="63"/>
      <c r="O136" s="63"/>
      <c r="P136" s="63"/>
      <c r="Q136" s="63" t="s">
        <v>325</v>
      </c>
    </row>
    <row r="137" spans="2:17" ht="18.75" hidden="1" customHeight="1" x14ac:dyDescent="0.3">
      <c r="B137" s="569" t="s">
        <v>343</v>
      </c>
      <c r="C137" s="622">
        <v>44963.083333333336</v>
      </c>
      <c r="D137" s="673"/>
      <c r="E137" s="567" t="s">
        <v>166</v>
      </c>
      <c r="F137" s="616" t="s">
        <v>344</v>
      </c>
      <c r="G137" s="102">
        <v>32000</v>
      </c>
      <c r="H137" s="569" t="s">
        <v>122</v>
      </c>
      <c r="I137" s="63" t="s">
        <v>11</v>
      </c>
      <c r="J137" s="63" t="s">
        <v>349</v>
      </c>
      <c r="K137" s="63"/>
      <c r="L137" s="623" t="s">
        <v>203</v>
      </c>
      <c r="M137" s="63"/>
      <c r="N137" s="63"/>
      <c r="O137" s="63" t="s">
        <v>315</v>
      </c>
      <c r="P137" s="63"/>
      <c r="Q137" s="63" t="s">
        <v>325</v>
      </c>
    </row>
    <row r="138" spans="2:17" ht="18.75" hidden="1" customHeight="1" x14ac:dyDescent="0.3">
      <c r="B138" s="569"/>
      <c r="C138" s="622"/>
      <c r="D138" s="673"/>
      <c r="E138" s="567"/>
      <c r="F138" s="616"/>
      <c r="G138" s="102">
        <v>21000</v>
      </c>
      <c r="H138" s="569"/>
      <c r="I138" s="63" t="s">
        <v>17</v>
      </c>
      <c r="J138" s="63" t="s">
        <v>350</v>
      </c>
      <c r="K138" s="63"/>
      <c r="L138" s="623"/>
      <c r="M138" s="63"/>
      <c r="N138" s="63"/>
      <c r="O138" s="63" t="s">
        <v>315</v>
      </c>
      <c r="P138" s="63"/>
      <c r="Q138" s="63" t="s">
        <v>325</v>
      </c>
    </row>
    <row r="139" spans="2:17" ht="18.75" hidden="1" customHeight="1" x14ac:dyDescent="0.3">
      <c r="B139" s="569" t="s">
        <v>348</v>
      </c>
      <c r="C139" s="622">
        <v>44969.625</v>
      </c>
      <c r="D139" s="622">
        <v>44971.75</v>
      </c>
      <c r="E139" s="567" t="s">
        <v>165</v>
      </c>
      <c r="F139" s="616" t="s">
        <v>14</v>
      </c>
      <c r="G139" s="102">
        <v>15000</v>
      </c>
      <c r="H139" s="569" t="s">
        <v>20</v>
      </c>
      <c r="I139" s="63" t="s">
        <v>15</v>
      </c>
      <c r="J139" s="63" t="s">
        <v>206</v>
      </c>
      <c r="K139" s="63"/>
      <c r="L139" s="623" t="s">
        <v>203</v>
      </c>
      <c r="M139" s="63"/>
      <c r="N139" s="63"/>
      <c r="O139" s="63"/>
      <c r="P139" s="63"/>
      <c r="Q139" s="63" t="s">
        <v>287</v>
      </c>
    </row>
    <row r="140" spans="2:17" ht="18.75" hidden="1" customHeight="1" x14ac:dyDescent="0.3">
      <c r="B140" s="569"/>
      <c r="C140" s="622"/>
      <c r="D140" s="622"/>
      <c r="E140" s="567"/>
      <c r="F140" s="616"/>
      <c r="G140" s="102">
        <v>15000</v>
      </c>
      <c r="H140" s="569"/>
      <c r="I140" s="63" t="s">
        <v>15</v>
      </c>
      <c r="J140" s="63" t="s">
        <v>353</v>
      </c>
      <c r="K140" s="63"/>
      <c r="L140" s="623"/>
      <c r="M140" s="63"/>
      <c r="N140" s="63"/>
      <c r="O140" s="63"/>
      <c r="P140" s="63"/>
      <c r="Q140" s="63" t="s">
        <v>287</v>
      </c>
    </row>
    <row r="141" spans="2:17" ht="18.75" hidden="1" customHeight="1" x14ac:dyDescent="0.3">
      <c r="B141" s="569"/>
      <c r="C141" s="622"/>
      <c r="D141" s="622"/>
      <c r="E141" s="567"/>
      <c r="F141" s="616"/>
      <c r="G141" s="102">
        <v>20000</v>
      </c>
      <c r="H141" s="569"/>
      <c r="I141" s="63" t="s">
        <v>19</v>
      </c>
      <c r="J141" s="63" t="s">
        <v>354</v>
      </c>
      <c r="K141" s="63"/>
      <c r="L141" s="623"/>
      <c r="M141" s="63"/>
      <c r="N141" s="63"/>
      <c r="O141" s="63"/>
      <c r="P141" s="63"/>
      <c r="Q141" s="63" t="s">
        <v>287</v>
      </c>
    </row>
    <row r="142" spans="2:17" ht="18.75" hidden="1" customHeight="1" x14ac:dyDescent="0.3">
      <c r="B142" s="569" t="s">
        <v>351</v>
      </c>
      <c r="C142" s="622">
        <v>44971.958333333336</v>
      </c>
      <c r="D142" s="622">
        <v>44973.859027777777</v>
      </c>
      <c r="E142" s="567" t="s">
        <v>180</v>
      </c>
      <c r="F142" s="616" t="s">
        <v>38</v>
      </c>
      <c r="G142" s="102">
        <v>31000</v>
      </c>
      <c r="H142" s="569" t="s">
        <v>94</v>
      </c>
      <c r="I142" s="63" t="s">
        <v>18</v>
      </c>
      <c r="J142" s="63" t="s">
        <v>357</v>
      </c>
      <c r="K142" s="63"/>
      <c r="L142" s="623" t="s">
        <v>203</v>
      </c>
      <c r="M142" s="63"/>
      <c r="N142" s="63"/>
      <c r="O142" s="63"/>
      <c r="P142" s="63"/>
      <c r="Q142" s="63" t="s">
        <v>287</v>
      </c>
    </row>
    <row r="143" spans="2:17" ht="18.75" hidden="1" customHeight="1" x14ac:dyDescent="0.3">
      <c r="B143" s="569"/>
      <c r="C143" s="622"/>
      <c r="D143" s="622"/>
      <c r="E143" s="567"/>
      <c r="F143" s="616"/>
      <c r="G143" s="102">
        <v>35000</v>
      </c>
      <c r="H143" s="569"/>
      <c r="I143" s="63" t="s">
        <v>9</v>
      </c>
      <c r="J143" s="63" t="s">
        <v>355</v>
      </c>
      <c r="K143" s="63"/>
      <c r="L143" s="623"/>
      <c r="M143" s="63"/>
      <c r="N143" s="63"/>
      <c r="O143" s="63"/>
      <c r="P143" s="63"/>
      <c r="Q143" s="63" t="s">
        <v>287</v>
      </c>
    </row>
    <row r="144" spans="2:17" ht="18.75" hidden="1" customHeight="1" x14ac:dyDescent="0.3">
      <c r="B144" s="569"/>
      <c r="C144" s="622"/>
      <c r="D144" s="622"/>
      <c r="E144" s="567"/>
      <c r="F144" s="616"/>
      <c r="G144" s="102">
        <v>8460</v>
      </c>
      <c r="H144" s="569"/>
      <c r="I144" s="63" t="s">
        <v>9</v>
      </c>
      <c r="J144" s="63" t="s">
        <v>356</v>
      </c>
      <c r="K144" s="63"/>
      <c r="L144" s="623"/>
      <c r="M144" s="63"/>
      <c r="N144" s="63"/>
      <c r="O144" s="63"/>
      <c r="P144" s="63"/>
      <c r="Q144" s="63" t="s">
        <v>287</v>
      </c>
    </row>
    <row r="145" spans="2:17" ht="18.75" hidden="1" customHeight="1" x14ac:dyDescent="0.3">
      <c r="B145" s="569" t="s">
        <v>352</v>
      </c>
      <c r="C145" s="622">
        <v>44976.75</v>
      </c>
      <c r="D145" s="622">
        <v>44977.408333333333</v>
      </c>
      <c r="E145" s="567" t="s">
        <v>180</v>
      </c>
      <c r="F145" s="616" t="s">
        <v>14</v>
      </c>
      <c r="G145" s="102">
        <v>36100</v>
      </c>
      <c r="H145" s="569" t="s">
        <v>94</v>
      </c>
      <c r="I145" s="63" t="s">
        <v>18</v>
      </c>
      <c r="J145" s="63" t="s">
        <v>358</v>
      </c>
      <c r="K145" s="63"/>
      <c r="L145" s="623" t="s">
        <v>203</v>
      </c>
      <c r="M145" s="567" t="s">
        <v>16</v>
      </c>
      <c r="N145" s="63"/>
      <c r="O145" s="63"/>
      <c r="P145" s="63"/>
      <c r="Q145" s="63" t="s">
        <v>287</v>
      </c>
    </row>
    <row r="146" spans="2:17" ht="18.75" hidden="1" customHeight="1" x14ac:dyDescent="0.3">
      <c r="B146" s="569"/>
      <c r="C146" s="622"/>
      <c r="D146" s="622"/>
      <c r="E146" s="567"/>
      <c r="F146" s="616"/>
      <c r="G146" s="102">
        <v>20000</v>
      </c>
      <c r="H146" s="569"/>
      <c r="I146" s="63" t="s">
        <v>11</v>
      </c>
      <c r="J146" s="63" t="s">
        <v>359</v>
      </c>
      <c r="K146" s="63"/>
      <c r="L146" s="623"/>
      <c r="M146" s="567"/>
      <c r="N146" s="63"/>
      <c r="O146" s="63"/>
      <c r="P146" s="63"/>
      <c r="Q146" s="63" t="s">
        <v>281</v>
      </c>
    </row>
    <row r="147" spans="2:17" ht="18.75" hidden="1" customHeight="1" x14ac:dyDescent="0.3">
      <c r="B147" s="569"/>
      <c r="C147" s="622"/>
      <c r="D147" s="622"/>
      <c r="E147" s="567"/>
      <c r="F147" s="616"/>
      <c r="G147" s="102">
        <v>22587</v>
      </c>
      <c r="H147" s="569"/>
      <c r="I147" s="63" t="s">
        <v>17</v>
      </c>
      <c r="J147" s="63" t="s">
        <v>360</v>
      </c>
      <c r="K147" s="63"/>
      <c r="L147" s="623"/>
      <c r="M147" s="567"/>
      <c r="N147" s="63"/>
      <c r="O147" s="63"/>
      <c r="P147" s="63"/>
      <c r="Q147" s="63" t="s">
        <v>281</v>
      </c>
    </row>
    <row r="148" spans="2:17" ht="18.75" hidden="1" customHeight="1" x14ac:dyDescent="0.3">
      <c r="B148" s="101" t="s">
        <v>361</v>
      </c>
      <c r="C148" s="27">
        <v>44990</v>
      </c>
      <c r="D148" s="27"/>
      <c r="E148" s="100" t="s">
        <v>166</v>
      </c>
      <c r="F148" s="68" t="s">
        <v>366</v>
      </c>
      <c r="G148" s="103">
        <v>15050</v>
      </c>
      <c r="H148" s="101" t="s">
        <v>362</v>
      </c>
      <c r="I148" s="100" t="s">
        <v>11</v>
      </c>
      <c r="J148" s="100" t="s">
        <v>363</v>
      </c>
      <c r="K148" s="100"/>
      <c r="L148" s="28" t="s">
        <v>364</v>
      </c>
      <c r="M148" s="100" t="s">
        <v>16</v>
      </c>
      <c r="N148" s="100"/>
      <c r="O148" s="100"/>
      <c r="P148" s="100"/>
      <c r="Q148" s="100"/>
    </row>
    <row r="149" spans="2:17" ht="18.75" hidden="1" customHeight="1" x14ac:dyDescent="0.3">
      <c r="B149" s="569" t="s">
        <v>365</v>
      </c>
      <c r="C149" s="622">
        <v>44995.333333333336</v>
      </c>
      <c r="D149" s="622">
        <v>44997.989583333336</v>
      </c>
      <c r="E149" s="567" t="s">
        <v>165</v>
      </c>
      <c r="F149" s="616" t="s">
        <v>14</v>
      </c>
      <c r="G149" s="102">
        <v>25000</v>
      </c>
      <c r="H149" s="569" t="s">
        <v>41</v>
      </c>
      <c r="I149" s="63" t="s">
        <v>17</v>
      </c>
      <c r="J149" s="63" t="s">
        <v>369</v>
      </c>
      <c r="K149" s="63"/>
      <c r="L149" s="623" t="s">
        <v>200</v>
      </c>
      <c r="M149" s="567" t="s">
        <v>16</v>
      </c>
      <c r="N149" s="104" t="s">
        <v>371</v>
      </c>
      <c r="O149" s="63"/>
      <c r="P149" s="63"/>
      <c r="Q149" s="63" t="s">
        <v>281</v>
      </c>
    </row>
    <row r="150" spans="2:17" ht="18.75" hidden="1" customHeight="1" x14ac:dyDescent="0.3">
      <c r="B150" s="569"/>
      <c r="C150" s="622"/>
      <c r="D150" s="622"/>
      <c r="E150" s="567"/>
      <c r="F150" s="616"/>
      <c r="G150" s="102"/>
      <c r="H150" s="569"/>
      <c r="I150" s="63" t="s">
        <v>11</v>
      </c>
      <c r="J150" s="63" t="s">
        <v>370</v>
      </c>
      <c r="K150" s="63"/>
      <c r="L150" s="623"/>
      <c r="M150" s="567"/>
      <c r="N150" s="104"/>
      <c r="O150" s="63"/>
      <c r="P150" s="63"/>
      <c r="Q150" s="63"/>
    </row>
    <row r="151" spans="2:17" ht="18.75" hidden="1" customHeight="1" x14ac:dyDescent="0.3">
      <c r="B151" s="104" t="s">
        <v>372</v>
      </c>
      <c r="C151" s="76">
        <v>45007.916666666664</v>
      </c>
      <c r="D151" s="76">
        <v>45010.75</v>
      </c>
      <c r="E151" s="63" t="s">
        <v>218</v>
      </c>
      <c r="F151" s="106" t="s">
        <v>14</v>
      </c>
      <c r="G151" s="102">
        <v>30000</v>
      </c>
      <c r="H151" s="104" t="s">
        <v>13</v>
      </c>
      <c r="I151" s="63" t="s">
        <v>18</v>
      </c>
      <c r="J151" s="63" t="s">
        <v>373</v>
      </c>
      <c r="K151" s="63"/>
      <c r="L151" s="72" t="s">
        <v>197</v>
      </c>
      <c r="M151" s="63" t="s">
        <v>16</v>
      </c>
      <c r="N151" s="104"/>
      <c r="O151" s="63"/>
      <c r="P151" s="63"/>
      <c r="Q151" s="63" t="s">
        <v>293</v>
      </c>
    </row>
    <row r="152" spans="2:17" ht="18.75" hidden="1" customHeight="1" x14ac:dyDescent="0.3">
      <c r="B152" s="569" t="s">
        <v>368</v>
      </c>
      <c r="C152" s="622">
        <v>45010.833333333336</v>
      </c>
      <c r="D152" s="622">
        <v>45011.75</v>
      </c>
      <c r="E152" s="567" t="s">
        <v>324</v>
      </c>
      <c r="F152" s="616" t="s">
        <v>14</v>
      </c>
      <c r="G152" s="102">
        <v>23000</v>
      </c>
      <c r="H152" s="569" t="s">
        <v>20</v>
      </c>
      <c r="I152" s="63" t="s">
        <v>18</v>
      </c>
      <c r="J152" s="63" t="s">
        <v>374</v>
      </c>
      <c r="K152" s="63"/>
      <c r="L152" s="623" t="s">
        <v>200</v>
      </c>
      <c r="M152" s="567" t="s">
        <v>16</v>
      </c>
      <c r="N152" s="63"/>
      <c r="O152" s="63"/>
      <c r="P152" s="63"/>
      <c r="Q152" s="567" t="s">
        <v>293</v>
      </c>
    </row>
    <row r="153" spans="2:17" ht="18.75" hidden="1" customHeight="1" x14ac:dyDescent="0.3">
      <c r="B153" s="569"/>
      <c r="C153" s="622"/>
      <c r="D153" s="622"/>
      <c r="E153" s="567"/>
      <c r="F153" s="616"/>
      <c r="G153" s="102">
        <v>24000</v>
      </c>
      <c r="H153" s="569"/>
      <c r="I153" s="63" t="s">
        <v>19</v>
      </c>
      <c r="J153" s="63" t="s">
        <v>375</v>
      </c>
      <c r="K153" s="63"/>
      <c r="L153" s="623"/>
      <c r="M153" s="567"/>
      <c r="N153" s="63"/>
      <c r="O153" s="63"/>
      <c r="P153" s="63"/>
      <c r="Q153" s="567"/>
    </row>
    <row r="154" spans="2:17" ht="18.75" hidden="1" customHeight="1" x14ac:dyDescent="0.3">
      <c r="B154" s="569" t="s">
        <v>376</v>
      </c>
      <c r="C154" s="622">
        <v>45021.333333333336</v>
      </c>
      <c r="D154" s="622">
        <v>45031.208333333336</v>
      </c>
      <c r="E154" s="567" t="s">
        <v>165</v>
      </c>
      <c r="F154" s="616" t="s">
        <v>377</v>
      </c>
      <c r="G154" s="621">
        <v>63000</v>
      </c>
      <c r="H154" s="569" t="s">
        <v>20</v>
      </c>
      <c r="I154" s="63" t="s">
        <v>15</v>
      </c>
      <c r="J154" s="63" t="s">
        <v>378</v>
      </c>
      <c r="K154" s="63"/>
      <c r="L154" s="623" t="s">
        <v>203</v>
      </c>
      <c r="M154" s="63"/>
      <c r="N154" s="63"/>
      <c r="O154" s="63"/>
      <c r="P154" s="63"/>
      <c r="Q154" s="567" t="s">
        <v>293</v>
      </c>
    </row>
    <row r="155" spans="2:17" ht="18.75" hidden="1" customHeight="1" x14ac:dyDescent="0.3">
      <c r="B155" s="569"/>
      <c r="C155" s="622"/>
      <c r="D155" s="622"/>
      <c r="E155" s="567"/>
      <c r="F155" s="616"/>
      <c r="G155" s="621"/>
      <c r="H155" s="569"/>
      <c r="I155" s="63" t="s">
        <v>18</v>
      </c>
      <c r="J155" s="63" t="s">
        <v>379</v>
      </c>
      <c r="K155" s="63"/>
      <c r="L155" s="623"/>
      <c r="M155" s="63"/>
      <c r="N155" s="63"/>
      <c r="O155" s="63"/>
      <c r="P155" s="63"/>
      <c r="Q155" s="567"/>
    </row>
    <row r="156" spans="2:17" ht="18.75" hidden="1" customHeight="1" x14ac:dyDescent="0.3">
      <c r="B156" s="569" t="s">
        <v>380</v>
      </c>
      <c r="C156" s="622">
        <v>45036.708333333336</v>
      </c>
      <c r="D156" s="622">
        <v>45038.958333333336</v>
      </c>
      <c r="E156" s="567" t="s">
        <v>165</v>
      </c>
      <c r="F156" s="616" t="s">
        <v>377</v>
      </c>
      <c r="G156" s="62">
        <v>32000</v>
      </c>
      <c r="H156" s="626" t="s">
        <v>241</v>
      </c>
      <c r="I156" s="63" t="s">
        <v>11</v>
      </c>
      <c r="J156" s="63" t="s">
        <v>59</v>
      </c>
      <c r="K156" s="63"/>
      <c r="L156" s="623" t="s">
        <v>203</v>
      </c>
      <c r="M156" s="567" t="s">
        <v>16</v>
      </c>
      <c r="N156" s="63"/>
      <c r="O156" s="63"/>
      <c r="P156" s="63"/>
      <c r="Q156" s="63" t="s">
        <v>383</v>
      </c>
    </row>
    <row r="157" spans="2:17" ht="18.75" hidden="1" customHeight="1" x14ac:dyDescent="0.3">
      <c r="B157" s="569"/>
      <c r="C157" s="622"/>
      <c r="D157" s="622"/>
      <c r="E157" s="567"/>
      <c r="F157" s="616"/>
      <c r="G157" s="62">
        <v>22744</v>
      </c>
      <c r="H157" s="626"/>
      <c r="I157" s="63" t="s">
        <v>9</v>
      </c>
      <c r="J157" s="63" t="s">
        <v>388</v>
      </c>
      <c r="K157" s="63"/>
      <c r="L157" s="623"/>
      <c r="M157" s="567"/>
      <c r="N157" s="63"/>
      <c r="O157" s="63"/>
      <c r="P157" s="63"/>
      <c r="Q157" s="63" t="s">
        <v>293</v>
      </c>
    </row>
    <row r="158" spans="2:17" ht="18.75" hidden="1" customHeight="1" x14ac:dyDescent="0.3">
      <c r="B158" s="569"/>
      <c r="C158" s="622"/>
      <c r="D158" s="622"/>
      <c r="E158" s="567"/>
      <c r="F158" s="106" t="s">
        <v>377</v>
      </c>
      <c r="G158" s="62">
        <v>29521</v>
      </c>
      <c r="H158" s="292" t="s">
        <v>39</v>
      </c>
      <c r="I158" s="63" t="s">
        <v>18</v>
      </c>
      <c r="J158" s="63" t="s">
        <v>387</v>
      </c>
      <c r="K158" s="63"/>
      <c r="L158" s="623"/>
      <c r="M158" s="567"/>
      <c r="N158" s="63"/>
      <c r="O158" s="63"/>
      <c r="P158" s="63"/>
      <c r="Q158" s="63" t="s">
        <v>293</v>
      </c>
    </row>
    <row r="159" spans="2:17" ht="18.75" hidden="1" customHeight="1" x14ac:dyDescent="0.3">
      <c r="B159" s="569" t="s">
        <v>384</v>
      </c>
      <c r="C159" s="622">
        <v>45040.75</v>
      </c>
      <c r="D159" s="622">
        <v>45041.375</v>
      </c>
      <c r="E159" s="567" t="s">
        <v>166</v>
      </c>
      <c r="F159" s="616" t="s">
        <v>385</v>
      </c>
      <c r="G159" s="62">
        <v>37500</v>
      </c>
      <c r="H159" s="569" t="s">
        <v>94</v>
      </c>
      <c r="I159" s="63" t="s">
        <v>11</v>
      </c>
      <c r="J159" s="63" t="s">
        <v>389</v>
      </c>
      <c r="K159" s="63"/>
      <c r="L159" s="623" t="s">
        <v>203</v>
      </c>
      <c r="M159" s="63"/>
      <c r="N159" s="63"/>
      <c r="O159" s="63"/>
      <c r="P159" s="63"/>
      <c r="Q159" s="63" t="s">
        <v>383</v>
      </c>
    </row>
    <row r="160" spans="2:17" ht="18.75" hidden="1" customHeight="1" x14ac:dyDescent="0.3">
      <c r="B160" s="569"/>
      <c r="C160" s="622"/>
      <c r="D160" s="622"/>
      <c r="E160" s="567"/>
      <c r="F160" s="616"/>
      <c r="G160" s="62">
        <v>17500</v>
      </c>
      <c r="H160" s="569"/>
      <c r="I160" s="63" t="s">
        <v>17</v>
      </c>
      <c r="J160" s="63" t="s">
        <v>316</v>
      </c>
      <c r="K160" s="63"/>
      <c r="L160" s="623"/>
      <c r="M160" s="63"/>
      <c r="N160" s="63"/>
      <c r="O160" s="63"/>
      <c r="P160" s="63"/>
      <c r="Q160" s="63" t="s">
        <v>383</v>
      </c>
    </row>
    <row r="161" spans="2:17" ht="18.75" hidden="1" customHeight="1" x14ac:dyDescent="0.3">
      <c r="B161" s="104" t="s">
        <v>386</v>
      </c>
      <c r="C161" s="76">
        <v>45043</v>
      </c>
      <c r="D161" s="76">
        <v>45044.25</v>
      </c>
      <c r="E161" s="63" t="s">
        <v>166</v>
      </c>
      <c r="F161" s="106" t="s">
        <v>382</v>
      </c>
      <c r="G161" s="62">
        <v>10000</v>
      </c>
      <c r="H161" s="104" t="s">
        <v>314</v>
      </c>
      <c r="I161" s="63" t="s">
        <v>17</v>
      </c>
      <c r="J161" s="63" t="s">
        <v>391</v>
      </c>
      <c r="K161" s="63"/>
      <c r="L161" s="72" t="s">
        <v>203</v>
      </c>
      <c r="M161" s="63"/>
      <c r="N161" s="63"/>
      <c r="O161" s="63" t="s">
        <v>390</v>
      </c>
      <c r="P161" s="63"/>
      <c r="Q161" s="63" t="s">
        <v>383</v>
      </c>
    </row>
    <row r="162" spans="2:17" ht="18.75" hidden="1" customHeight="1" x14ac:dyDescent="0.3">
      <c r="B162" s="566" t="s">
        <v>381</v>
      </c>
      <c r="C162" s="625">
        <v>45034.4375</v>
      </c>
      <c r="D162" s="625">
        <v>45044.333333333336</v>
      </c>
      <c r="E162" s="565" t="s">
        <v>165</v>
      </c>
      <c r="F162" s="618" t="s">
        <v>382</v>
      </c>
      <c r="G162" s="43">
        <v>63000</v>
      </c>
      <c r="H162" s="566" t="s">
        <v>94</v>
      </c>
      <c r="I162" s="100" t="s">
        <v>18</v>
      </c>
      <c r="J162" s="100" t="s">
        <v>392</v>
      </c>
      <c r="K162" s="100"/>
      <c r="L162" s="628" t="s">
        <v>203</v>
      </c>
      <c r="M162" s="565" t="s">
        <v>16</v>
      </c>
      <c r="N162" s="100"/>
      <c r="O162" s="100"/>
      <c r="P162" s="100"/>
      <c r="Q162" s="100" t="s">
        <v>293</v>
      </c>
    </row>
    <row r="163" spans="2:17" ht="18.75" hidden="1" customHeight="1" x14ac:dyDescent="0.3">
      <c r="B163" s="566"/>
      <c r="C163" s="625"/>
      <c r="D163" s="625"/>
      <c r="E163" s="565"/>
      <c r="F163" s="618"/>
      <c r="G163" s="43">
        <v>22500</v>
      </c>
      <c r="H163" s="566"/>
      <c r="I163" s="100" t="s">
        <v>17</v>
      </c>
      <c r="J163" s="100" t="s">
        <v>318</v>
      </c>
      <c r="K163" s="100"/>
      <c r="L163" s="628"/>
      <c r="M163" s="565"/>
      <c r="N163" s="100"/>
      <c r="O163" s="100"/>
      <c r="P163" s="100"/>
      <c r="Q163" s="100" t="s">
        <v>383</v>
      </c>
    </row>
    <row r="164" spans="2:17" ht="18.75" hidden="1" customHeight="1" x14ac:dyDescent="0.3">
      <c r="B164" s="101" t="s">
        <v>396</v>
      </c>
      <c r="C164" s="27">
        <v>45051.5</v>
      </c>
      <c r="D164" s="27">
        <v>45056.375</v>
      </c>
      <c r="E164" s="100" t="s">
        <v>166</v>
      </c>
      <c r="F164" s="68" t="s">
        <v>385</v>
      </c>
      <c r="G164" s="43">
        <v>25000</v>
      </c>
      <c r="H164" s="101" t="s">
        <v>41</v>
      </c>
      <c r="I164" s="100" t="s">
        <v>11</v>
      </c>
      <c r="J164" s="100" t="s">
        <v>398</v>
      </c>
      <c r="K164" s="100"/>
      <c r="L164" s="28" t="s">
        <v>296</v>
      </c>
      <c r="M164" s="100" t="s">
        <v>16</v>
      </c>
      <c r="N164" s="565" t="s">
        <v>397</v>
      </c>
      <c r="O164" s="565"/>
      <c r="P164" s="100"/>
      <c r="Q164" s="100" t="s">
        <v>383</v>
      </c>
    </row>
    <row r="165" spans="2:17" ht="18.75" hidden="1" customHeight="1" x14ac:dyDescent="0.3">
      <c r="B165" s="104" t="s">
        <v>402</v>
      </c>
      <c r="C165" s="76">
        <v>45050.208333333336</v>
      </c>
      <c r="D165" s="76">
        <v>45057.708333333336</v>
      </c>
      <c r="E165" s="63" t="s">
        <v>166</v>
      </c>
      <c r="F165" s="106" t="s">
        <v>385</v>
      </c>
      <c r="G165" s="62">
        <v>33000</v>
      </c>
      <c r="H165" s="104" t="s">
        <v>39</v>
      </c>
      <c r="I165" s="63" t="s">
        <v>17</v>
      </c>
      <c r="J165" s="63" t="s">
        <v>403</v>
      </c>
      <c r="K165" s="63"/>
      <c r="L165" s="72"/>
      <c r="M165" s="63"/>
      <c r="N165" s="63"/>
      <c r="O165" s="63"/>
      <c r="P165" s="63"/>
      <c r="Q165" s="63" t="s">
        <v>383</v>
      </c>
    </row>
    <row r="166" spans="2:17" ht="18.75" hidden="1" customHeight="1" x14ac:dyDescent="0.3">
      <c r="B166" s="566" t="s">
        <v>393</v>
      </c>
      <c r="C166" s="625">
        <v>45048.05</v>
      </c>
      <c r="D166" s="625">
        <v>45059.583333333336</v>
      </c>
      <c r="E166" s="565" t="s">
        <v>165</v>
      </c>
      <c r="F166" s="618" t="s">
        <v>377</v>
      </c>
      <c r="G166" s="43">
        <v>32500</v>
      </c>
      <c r="H166" s="566" t="s">
        <v>20</v>
      </c>
      <c r="I166" s="100" t="s">
        <v>9</v>
      </c>
      <c r="J166" s="100" t="s">
        <v>399</v>
      </c>
      <c r="K166" s="100"/>
      <c r="L166" s="628" t="s">
        <v>296</v>
      </c>
      <c r="M166" s="565" t="s">
        <v>16</v>
      </c>
      <c r="N166" s="100"/>
      <c r="O166" s="100"/>
      <c r="P166" s="100"/>
      <c r="Q166" s="100" t="s">
        <v>293</v>
      </c>
    </row>
    <row r="167" spans="2:17" ht="18.75" hidden="1" customHeight="1" x14ac:dyDescent="0.3">
      <c r="B167" s="566"/>
      <c r="C167" s="625"/>
      <c r="D167" s="625"/>
      <c r="E167" s="565"/>
      <c r="F167" s="618"/>
      <c r="G167" s="43">
        <v>10500</v>
      </c>
      <c r="H167" s="566"/>
      <c r="I167" s="100" t="s">
        <v>15</v>
      </c>
      <c r="J167" s="100" t="s">
        <v>400</v>
      </c>
      <c r="K167" s="100"/>
      <c r="L167" s="628"/>
      <c r="M167" s="565"/>
      <c r="N167" s="100"/>
      <c r="O167" s="100"/>
      <c r="P167" s="100"/>
      <c r="Q167" s="100" t="s">
        <v>293</v>
      </c>
    </row>
    <row r="168" spans="2:17" ht="18.75" hidden="1" customHeight="1" x14ac:dyDescent="0.3">
      <c r="B168" s="569" t="s">
        <v>394</v>
      </c>
      <c r="C168" s="622">
        <v>45050.366666666669</v>
      </c>
      <c r="D168" s="622">
        <v>45061.333333333336</v>
      </c>
      <c r="E168" s="567" t="s">
        <v>165</v>
      </c>
      <c r="F168" s="616" t="s">
        <v>395</v>
      </c>
      <c r="G168" s="62">
        <v>27500</v>
      </c>
      <c r="H168" s="569" t="s">
        <v>20</v>
      </c>
      <c r="I168" s="63" t="s">
        <v>19</v>
      </c>
      <c r="J168" s="63" t="s">
        <v>401</v>
      </c>
      <c r="K168" s="63"/>
      <c r="L168" s="623" t="s">
        <v>296</v>
      </c>
      <c r="M168" s="567" t="s">
        <v>16</v>
      </c>
      <c r="N168" s="63"/>
      <c r="O168" s="63"/>
      <c r="P168" s="63"/>
      <c r="Q168" s="63" t="s">
        <v>293</v>
      </c>
    </row>
    <row r="169" spans="2:17" ht="18.75" hidden="1" customHeight="1" x14ac:dyDescent="0.3">
      <c r="B169" s="569"/>
      <c r="C169" s="622"/>
      <c r="D169" s="622"/>
      <c r="E169" s="567"/>
      <c r="F169" s="616"/>
      <c r="G169" s="62">
        <v>9500</v>
      </c>
      <c r="H169" s="569"/>
      <c r="I169" s="63" t="s">
        <v>18</v>
      </c>
      <c r="J169" s="63" t="s">
        <v>62</v>
      </c>
      <c r="K169" s="63"/>
      <c r="L169" s="623"/>
      <c r="M169" s="567"/>
      <c r="N169" s="63"/>
      <c r="O169" s="63"/>
      <c r="P169" s="63"/>
      <c r="Q169" s="63" t="s">
        <v>293</v>
      </c>
    </row>
    <row r="170" spans="2:17" ht="18.75" hidden="1" customHeight="1" x14ac:dyDescent="0.3">
      <c r="B170" s="104" t="s">
        <v>91</v>
      </c>
      <c r="C170" s="76">
        <v>45070.208333333336</v>
      </c>
      <c r="D170" s="76">
        <v>45070.291666666664</v>
      </c>
      <c r="E170" s="63" t="s">
        <v>166</v>
      </c>
      <c r="F170" s="106" t="s">
        <v>385</v>
      </c>
      <c r="G170" s="62">
        <v>77000</v>
      </c>
      <c r="H170" s="104" t="s">
        <v>13</v>
      </c>
      <c r="I170" s="63" t="s">
        <v>17</v>
      </c>
      <c r="J170" s="63" t="s">
        <v>404</v>
      </c>
      <c r="K170" s="63"/>
      <c r="L170" s="72" t="s">
        <v>203</v>
      </c>
      <c r="M170" s="63"/>
      <c r="N170" s="63"/>
      <c r="O170" s="63"/>
      <c r="P170" s="63"/>
      <c r="Q170" s="63" t="s">
        <v>90</v>
      </c>
    </row>
    <row r="171" spans="2:17" ht="18.75" hidden="1" customHeight="1" x14ac:dyDescent="0.3">
      <c r="B171" s="104" t="s">
        <v>405</v>
      </c>
      <c r="C171" s="76">
        <v>45085.125</v>
      </c>
      <c r="D171" s="76">
        <v>45086.958333333336</v>
      </c>
      <c r="E171" s="63" t="s">
        <v>218</v>
      </c>
      <c r="F171" s="106" t="s">
        <v>377</v>
      </c>
      <c r="G171" s="62">
        <v>43998</v>
      </c>
      <c r="H171" s="104" t="s">
        <v>39</v>
      </c>
      <c r="I171" s="63" t="s">
        <v>15</v>
      </c>
      <c r="J171" s="63" t="s">
        <v>406</v>
      </c>
      <c r="K171" s="63"/>
      <c r="L171" s="72"/>
      <c r="M171" s="63" t="s">
        <v>16</v>
      </c>
      <c r="N171" s="63"/>
      <c r="O171" s="63"/>
      <c r="P171" s="63"/>
      <c r="Q171" s="63" t="s">
        <v>293</v>
      </c>
    </row>
    <row r="172" spans="2:17" ht="18.75" hidden="1" customHeight="1" x14ac:dyDescent="0.3">
      <c r="B172" s="104" t="s">
        <v>407</v>
      </c>
      <c r="C172" s="76">
        <v>45092.375</v>
      </c>
      <c r="D172" s="76">
        <v>45092.416666666664</v>
      </c>
      <c r="E172" s="63" t="s">
        <v>166</v>
      </c>
      <c r="F172" s="106" t="s">
        <v>385</v>
      </c>
      <c r="G172" s="62">
        <v>15000</v>
      </c>
      <c r="H172" s="104" t="s">
        <v>41</v>
      </c>
      <c r="I172" s="63" t="s">
        <v>11</v>
      </c>
      <c r="J172" s="63" t="s">
        <v>330</v>
      </c>
      <c r="K172" s="63"/>
      <c r="L172" s="72" t="s">
        <v>200</v>
      </c>
      <c r="M172" s="63" t="s">
        <v>16</v>
      </c>
      <c r="N172" s="63"/>
      <c r="O172" s="63"/>
      <c r="P172" s="63"/>
      <c r="Q172" s="63" t="s">
        <v>293</v>
      </c>
    </row>
    <row r="173" spans="2:17" ht="18.75" hidden="1" customHeight="1" x14ac:dyDescent="0.3">
      <c r="B173" s="569" t="s">
        <v>91</v>
      </c>
      <c r="C173" s="622">
        <v>45095.375</v>
      </c>
      <c r="D173" s="622">
        <v>45101.833333333336</v>
      </c>
      <c r="E173" s="567" t="s">
        <v>166</v>
      </c>
      <c r="F173" s="616" t="s">
        <v>385</v>
      </c>
      <c r="G173" s="62">
        <v>44000</v>
      </c>
      <c r="H173" s="569" t="s">
        <v>13</v>
      </c>
      <c r="I173" s="63" t="s">
        <v>17</v>
      </c>
      <c r="J173" s="63" t="s">
        <v>408</v>
      </c>
      <c r="K173" s="63"/>
      <c r="L173" s="623" t="s">
        <v>203</v>
      </c>
      <c r="M173" s="63"/>
      <c r="N173" s="63"/>
      <c r="O173" s="63"/>
      <c r="P173" s="63"/>
      <c r="Q173" s="63" t="s">
        <v>383</v>
      </c>
    </row>
    <row r="174" spans="2:17" ht="18.75" hidden="1" customHeight="1" x14ac:dyDescent="0.3">
      <c r="B174" s="569"/>
      <c r="C174" s="622"/>
      <c r="D174" s="622"/>
      <c r="E174" s="567"/>
      <c r="F174" s="616"/>
      <c r="G174" s="62">
        <v>31000</v>
      </c>
      <c r="H174" s="569"/>
      <c r="I174" s="63" t="s">
        <v>11</v>
      </c>
      <c r="J174" s="63" t="s">
        <v>410</v>
      </c>
      <c r="K174" s="63"/>
      <c r="L174" s="623"/>
      <c r="M174" s="63"/>
      <c r="N174" s="63"/>
      <c r="O174" s="63"/>
      <c r="P174" s="63"/>
      <c r="Q174" s="63" t="s">
        <v>383</v>
      </c>
    </row>
    <row r="175" spans="2:17" ht="18.75" hidden="1" customHeight="1" x14ac:dyDescent="0.3">
      <c r="B175" s="104" t="s">
        <v>409</v>
      </c>
      <c r="C175" s="76">
        <v>45102</v>
      </c>
      <c r="D175" s="76">
        <v>45117.722222222219</v>
      </c>
      <c r="E175" s="63" t="s">
        <v>166</v>
      </c>
      <c r="F175" s="106" t="s">
        <v>385</v>
      </c>
      <c r="G175" s="62">
        <v>33000</v>
      </c>
      <c r="H175" s="104" t="s">
        <v>39</v>
      </c>
      <c r="I175" s="63" t="s">
        <v>11</v>
      </c>
      <c r="J175" s="63" t="s">
        <v>113</v>
      </c>
      <c r="K175" s="63"/>
      <c r="L175" s="72" t="s">
        <v>203</v>
      </c>
      <c r="M175" s="63"/>
      <c r="N175" s="63"/>
      <c r="O175" s="63"/>
      <c r="P175" s="63"/>
      <c r="Q175" s="63" t="s">
        <v>293</v>
      </c>
    </row>
    <row r="176" spans="2:17" ht="18.75" hidden="1" customHeight="1" x14ac:dyDescent="0.3">
      <c r="B176" s="101" t="s">
        <v>411</v>
      </c>
      <c r="C176" s="27">
        <v>45110.25</v>
      </c>
      <c r="D176" s="27">
        <v>45120</v>
      </c>
      <c r="E176" s="100" t="s">
        <v>166</v>
      </c>
      <c r="F176" s="68" t="s">
        <v>385</v>
      </c>
      <c r="G176" s="43">
        <v>22000</v>
      </c>
      <c r="H176" s="101" t="s">
        <v>41</v>
      </c>
      <c r="I176" s="100" t="s">
        <v>17</v>
      </c>
      <c r="J176" s="100" t="s">
        <v>413</v>
      </c>
      <c r="K176" s="100"/>
      <c r="L176" s="28" t="s">
        <v>200</v>
      </c>
      <c r="M176" s="100" t="s">
        <v>16</v>
      </c>
      <c r="N176" s="100"/>
      <c r="O176" s="100"/>
      <c r="P176" s="100"/>
      <c r="Q176" s="100" t="s">
        <v>293</v>
      </c>
    </row>
    <row r="177" spans="2:17" ht="18.75" hidden="1" customHeight="1" x14ac:dyDescent="0.3">
      <c r="B177" s="101"/>
      <c r="C177" s="27"/>
      <c r="D177" s="27"/>
      <c r="E177" s="100"/>
      <c r="F177" s="68"/>
      <c r="G177" s="43"/>
      <c r="H177" s="101"/>
      <c r="I177" s="100"/>
      <c r="J177" s="100"/>
      <c r="K177" s="100"/>
      <c r="L177" s="28"/>
      <c r="M177" s="100"/>
      <c r="N177" s="100"/>
      <c r="O177" s="100"/>
      <c r="P177" s="100"/>
      <c r="Q177" s="100"/>
    </row>
    <row r="178" spans="2:17" ht="18.75" hidden="1" customHeight="1" x14ac:dyDescent="0.3">
      <c r="B178" s="566" t="s">
        <v>65</v>
      </c>
      <c r="C178" s="625">
        <v>45110.75</v>
      </c>
      <c r="D178" s="625">
        <v>45120.708333333336</v>
      </c>
      <c r="E178" s="565" t="s">
        <v>166</v>
      </c>
      <c r="F178" s="618" t="s">
        <v>385</v>
      </c>
      <c r="G178" s="43">
        <v>12000</v>
      </c>
      <c r="H178" s="566" t="s">
        <v>13</v>
      </c>
      <c r="I178" s="100" t="s">
        <v>11</v>
      </c>
      <c r="J178" s="100" t="s">
        <v>414</v>
      </c>
      <c r="K178" s="100"/>
      <c r="L178" s="628" t="s">
        <v>203</v>
      </c>
      <c r="M178" s="100"/>
      <c r="N178" s="100"/>
      <c r="O178" s="100"/>
      <c r="P178" s="100"/>
      <c r="Q178" s="565" t="s">
        <v>293</v>
      </c>
    </row>
    <row r="179" spans="2:17" ht="18.75" hidden="1" customHeight="1" x14ac:dyDescent="0.3">
      <c r="B179" s="566"/>
      <c r="C179" s="625"/>
      <c r="D179" s="625"/>
      <c r="E179" s="565"/>
      <c r="F179" s="618"/>
      <c r="G179" s="43">
        <v>30000</v>
      </c>
      <c r="H179" s="566"/>
      <c r="I179" s="100" t="s">
        <v>11</v>
      </c>
      <c r="J179" s="100" t="s">
        <v>82</v>
      </c>
      <c r="K179" s="100"/>
      <c r="L179" s="628"/>
      <c r="M179" s="100"/>
      <c r="N179" s="100"/>
      <c r="O179" s="100"/>
      <c r="P179" s="100"/>
      <c r="Q179" s="565"/>
    </row>
    <row r="180" spans="2:17" ht="18.75" hidden="1" customHeight="1" x14ac:dyDescent="0.3">
      <c r="B180" s="566"/>
      <c r="C180" s="625"/>
      <c r="D180" s="625"/>
      <c r="E180" s="565"/>
      <c r="F180" s="618"/>
      <c r="G180" s="43">
        <v>34200</v>
      </c>
      <c r="H180" s="566"/>
      <c r="I180" s="100" t="s">
        <v>17</v>
      </c>
      <c r="J180" s="100" t="s">
        <v>32</v>
      </c>
      <c r="K180" s="100"/>
      <c r="L180" s="628"/>
      <c r="M180" s="100"/>
      <c r="N180" s="100"/>
      <c r="O180" s="100"/>
      <c r="P180" s="100"/>
      <c r="Q180" s="565"/>
    </row>
    <row r="181" spans="2:17" ht="18.75" hidden="1" customHeight="1" x14ac:dyDescent="0.3">
      <c r="B181" s="569" t="s">
        <v>412</v>
      </c>
      <c r="C181" s="622">
        <v>45110.9375</v>
      </c>
      <c r="D181" s="622">
        <v>45123.5</v>
      </c>
      <c r="E181" s="567" t="s">
        <v>166</v>
      </c>
      <c r="F181" s="616" t="s">
        <v>385</v>
      </c>
      <c r="G181" s="62">
        <v>14000</v>
      </c>
      <c r="H181" s="569" t="s">
        <v>94</v>
      </c>
      <c r="I181" s="63" t="s">
        <v>11</v>
      </c>
      <c r="J181" s="63" t="s">
        <v>415</v>
      </c>
      <c r="K181" s="63"/>
      <c r="L181" s="623" t="s">
        <v>203</v>
      </c>
      <c r="M181" s="63"/>
      <c r="N181" s="63"/>
      <c r="O181" s="63"/>
      <c r="P181" s="63"/>
      <c r="Q181" s="567" t="s">
        <v>293</v>
      </c>
    </row>
    <row r="182" spans="2:17" ht="18.75" hidden="1" customHeight="1" x14ac:dyDescent="0.3">
      <c r="B182" s="569"/>
      <c r="C182" s="622"/>
      <c r="D182" s="622"/>
      <c r="E182" s="567"/>
      <c r="F182" s="616"/>
      <c r="G182" s="62">
        <v>43000</v>
      </c>
      <c r="H182" s="569"/>
      <c r="I182" s="63" t="s">
        <v>17</v>
      </c>
      <c r="J182" s="63" t="s">
        <v>79</v>
      </c>
      <c r="K182" s="63"/>
      <c r="L182" s="623"/>
      <c r="M182" s="63"/>
      <c r="N182" s="63"/>
      <c r="O182" s="63"/>
      <c r="P182" s="63"/>
      <c r="Q182" s="567"/>
    </row>
    <row r="183" spans="2:17" ht="18.75" hidden="1" customHeight="1" x14ac:dyDescent="0.3">
      <c r="B183" s="569"/>
      <c r="C183" s="622"/>
      <c r="D183" s="622"/>
      <c r="E183" s="567"/>
      <c r="F183" s="616"/>
      <c r="G183" s="62">
        <v>20000</v>
      </c>
      <c r="H183" s="569"/>
      <c r="I183" s="63" t="s">
        <v>11</v>
      </c>
      <c r="J183" s="63" t="s">
        <v>369</v>
      </c>
      <c r="K183" s="63"/>
      <c r="L183" s="623"/>
      <c r="M183" s="63"/>
      <c r="N183" s="63"/>
      <c r="O183" s="63"/>
      <c r="P183" s="63"/>
      <c r="Q183" s="567"/>
    </row>
    <row r="184" spans="2:17" ht="18.75" hidden="1" customHeight="1" x14ac:dyDescent="0.3">
      <c r="B184" s="569" t="s">
        <v>416</v>
      </c>
      <c r="C184" s="622">
        <v>45116.083333333336</v>
      </c>
      <c r="D184" s="622">
        <v>45131.625</v>
      </c>
      <c r="E184" s="567" t="s">
        <v>166</v>
      </c>
      <c r="F184" s="616" t="s">
        <v>382</v>
      </c>
      <c r="G184" s="62">
        <v>30000</v>
      </c>
      <c r="H184" s="569" t="s">
        <v>94</v>
      </c>
      <c r="I184" s="63" t="s">
        <v>11</v>
      </c>
      <c r="J184" s="63" t="s">
        <v>289</v>
      </c>
      <c r="K184" s="63"/>
      <c r="L184" s="72"/>
      <c r="M184" s="63"/>
      <c r="N184" s="63"/>
      <c r="O184" s="63"/>
      <c r="P184" s="63"/>
      <c r="Q184" s="63" t="s">
        <v>383</v>
      </c>
    </row>
    <row r="185" spans="2:17" ht="18.75" hidden="1" customHeight="1" x14ac:dyDescent="0.3">
      <c r="B185" s="569"/>
      <c r="C185" s="622"/>
      <c r="D185" s="622"/>
      <c r="E185" s="567"/>
      <c r="F185" s="616"/>
      <c r="G185" s="62">
        <v>11240</v>
      </c>
      <c r="H185" s="569"/>
      <c r="I185" s="63" t="s">
        <v>17</v>
      </c>
      <c r="J185" s="63" t="s">
        <v>66</v>
      </c>
      <c r="K185" s="63"/>
      <c r="L185" s="72"/>
      <c r="M185" s="63"/>
      <c r="N185" s="63"/>
      <c r="O185" s="63"/>
      <c r="P185" s="63"/>
      <c r="Q185" s="63" t="s">
        <v>383</v>
      </c>
    </row>
    <row r="186" spans="2:17" ht="18.75" hidden="1" customHeight="1" x14ac:dyDescent="0.3">
      <c r="B186" s="104" t="s">
        <v>108</v>
      </c>
      <c r="C186" s="76">
        <v>45118.458333333336</v>
      </c>
      <c r="D186" s="76">
        <v>45134.208333333336</v>
      </c>
      <c r="E186" s="63" t="s">
        <v>166</v>
      </c>
      <c r="F186" s="106" t="s">
        <v>382</v>
      </c>
      <c r="G186" s="62">
        <v>14294</v>
      </c>
      <c r="H186" s="104" t="s">
        <v>94</v>
      </c>
      <c r="I186" s="63" t="s">
        <v>17</v>
      </c>
      <c r="J186" s="63" t="s">
        <v>76</v>
      </c>
      <c r="K186" s="63"/>
      <c r="L186" s="72"/>
      <c r="M186" s="63"/>
      <c r="N186" s="63"/>
      <c r="O186" s="63"/>
      <c r="P186" s="63"/>
      <c r="Q186" s="63" t="s">
        <v>383</v>
      </c>
    </row>
    <row r="187" spans="2:17" ht="18.75" hidden="1" customHeight="1" x14ac:dyDescent="0.3">
      <c r="B187" s="101" t="s">
        <v>417</v>
      </c>
      <c r="C187" s="27">
        <v>45121.29583333333</v>
      </c>
      <c r="D187" s="27">
        <v>45135.791666666664</v>
      </c>
      <c r="E187" s="100" t="s">
        <v>166</v>
      </c>
      <c r="F187" s="68" t="s">
        <v>377</v>
      </c>
      <c r="G187" s="43">
        <v>29892</v>
      </c>
      <c r="H187" s="101" t="s">
        <v>224</v>
      </c>
      <c r="I187" s="100" t="s">
        <v>17</v>
      </c>
      <c r="J187" s="100" t="s">
        <v>420</v>
      </c>
      <c r="K187" s="100"/>
      <c r="L187" s="28" t="s">
        <v>419</v>
      </c>
      <c r="M187" s="100" t="s">
        <v>16</v>
      </c>
      <c r="N187" s="100"/>
      <c r="O187" s="100"/>
      <c r="P187" s="100"/>
      <c r="Q187" s="100" t="s">
        <v>383</v>
      </c>
    </row>
    <row r="188" spans="2:17" ht="18.75" hidden="1" customHeight="1" x14ac:dyDescent="0.3">
      <c r="B188" s="569" t="s">
        <v>418</v>
      </c>
      <c r="C188" s="622">
        <v>45128.958333333336</v>
      </c>
      <c r="D188" s="622">
        <v>45136.708333333336</v>
      </c>
      <c r="E188" s="567" t="s">
        <v>165</v>
      </c>
      <c r="F188" s="616" t="s">
        <v>377</v>
      </c>
      <c r="G188" s="62">
        <v>20000</v>
      </c>
      <c r="H188" s="569" t="s">
        <v>224</v>
      </c>
      <c r="I188" s="63" t="s">
        <v>17</v>
      </c>
      <c r="J188" s="63" t="s">
        <v>30</v>
      </c>
      <c r="K188" s="63"/>
      <c r="L188" s="72"/>
      <c r="M188" s="567" t="s">
        <v>16</v>
      </c>
      <c r="N188" s="63"/>
      <c r="O188" s="63"/>
      <c r="P188" s="63"/>
      <c r="Q188" s="63" t="s">
        <v>90</v>
      </c>
    </row>
    <row r="189" spans="2:17" ht="18.75" hidden="1" customHeight="1" x14ac:dyDescent="0.3">
      <c r="B189" s="569"/>
      <c r="C189" s="622"/>
      <c r="D189" s="622"/>
      <c r="E189" s="567"/>
      <c r="F189" s="616"/>
      <c r="G189" s="62">
        <v>33500</v>
      </c>
      <c r="H189" s="569"/>
      <c r="I189" s="63" t="s">
        <v>18</v>
      </c>
      <c r="J189" s="63" t="s">
        <v>424</v>
      </c>
      <c r="K189" s="63"/>
      <c r="L189" s="72"/>
      <c r="M189" s="567"/>
      <c r="N189" s="63"/>
      <c r="O189" s="63"/>
      <c r="P189" s="63"/>
      <c r="Q189" s="63" t="s">
        <v>293</v>
      </c>
    </row>
    <row r="190" spans="2:17" ht="18.75" hidden="1" customHeight="1" x14ac:dyDescent="0.3">
      <c r="B190" s="104" t="s">
        <v>423</v>
      </c>
      <c r="C190" s="76">
        <v>45143.416666666664</v>
      </c>
      <c r="D190" s="76">
        <v>45144.833333333336</v>
      </c>
      <c r="E190" s="63" t="s">
        <v>165</v>
      </c>
      <c r="F190" s="106" t="s">
        <v>377</v>
      </c>
      <c r="G190" s="62">
        <v>40575</v>
      </c>
      <c r="H190" s="104" t="s">
        <v>39</v>
      </c>
      <c r="I190" s="63" t="s">
        <v>18</v>
      </c>
      <c r="J190" s="63" t="s">
        <v>430</v>
      </c>
      <c r="K190" s="63"/>
      <c r="L190" s="72"/>
      <c r="M190" s="63" t="s">
        <v>16</v>
      </c>
      <c r="N190" s="63"/>
      <c r="O190" s="63"/>
      <c r="P190" s="63"/>
      <c r="Q190" s="63" t="s">
        <v>293</v>
      </c>
    </row>
    <row r="191" spans="2:17" ht="18.75" hidden="1" customHeight="1" x14ac:dyDescent="0.3">
      <c r="B191" s="569" t="s">
        <v>421</v>
      </c>
      <c r="C191" s="622">
        <v>45135.25</v>
      </c>
      <c r="D191" s="622">
        <v>45152.841666666667</v>
      </c>
      <c r="E191" s="567" t="s">
        <v>166</v>
      </c>
      <c r="F191" s="616" t="s">
        <v>422</v>
      </c>
      <c r="G191" s="62">
        <v>42500</v>
      </c>
      <c r="H191" s="569" t="s">
        <v>122</v>
      </c>
      <c r="I191" s="63" t="s">
        <v>17</v>
      </c>
      <c r="J191" s="63" t="s">
        <v>430</v>
      </c>
      <c r="K191" s="63"/>
      <c r="L191" s="72"/>
      <c r="M191" s="63"/>
      <c r="N191" s="63"/>
      <c r="O191" s="63"/>
      <c r="P191" s="63"/>
      <c r="Q191" s="63" t="s">
        <v>90</v>
      </c>
    </row>
    <row r="192" spans="2:17" ht="18.75" hidden="1" customHeight="1" x14ac:dyDescent="0.3">
      <c r="B192" s="569"/>
      <c r="C192" s="622"/>
      <c r="D192" s="622"/>
      <c r="E192" s="567"/>
      <c r="F192" s="616"/>
      <c r="G192" s="62">
        <v>9305</v>
      </c>
      <c r="H192" s="569"/>
      <c r="I192" s="63" t="s">
        <v>11</v>
      </c>
      <c r="J192" s="63" t="s">
        <v>330</v>
      </c>
      <c r="K192" s="63"/>
      <c r="L192" s="72"/>
      <c r="M192" s="63"/>
      <c r="N192" s="63"/>
      <c r="O192" s="63"/>
      <c r="P192" s="63"/>
      <c r="Q192" s="63" t="s">
        <v>90</v>
      </c>
    </row>
    <row r="193" spans="2:17" ht="18.75" hidden="1" customHeight="1" x14ac:dyDescent="0.3">
      <c r="B193" s="104" t="s">
        <v>319</v>
      </c>
      <c r="C193" s="76">
        <v>45151.666666666664</v>
      </c>
      <c r="D193" s="76">
        <v>45155.666666666664</v>
      </c>
      <c r="E193" s="63" t="s">
        <v>166</v>
      </c>
      <c r="F193" s="106" t="s">
        <v>382</v>
      </c>
      <c r="G193" s="62">
        <v>8000</v>
      </c>
      <c r="H193" s="104" t="s">
        <v>426</v>
      </c>
      <c r="I193" s="63" t="s">
        <v>11</v>
      </c>
      <c r="J193" s="63" t="s">
        <v>75</v>
      </c>
      <c r="K193" s="63"/>
      <c r="L193" s="72" t="s">
        <v>427</v>
      </c>
      <c r="M193" s="63" t="s">
        <v>16</v>
      </c>
      <c r="N193" s="63"/>
      <c r="O193" s="63"/>
      <c r="P193" s="63"/>
      <c r="Q193" s="63" t="s">
        <v>90</v>
      </c>
    </row>
    <row r="194" spans="2:17" ht="18.75" hidden="1" customHeight="1" x14ac:dyDescent="0.3">
      <c r="B194" s="569" t="s">
        <v>65</v>
      </c>
      <c r="C194" s="622">
        <v>45145.479166666664</v>
      </c>
      <c r="D194" s="622">
        <v>45156</v>
      </c>
      <c r="E194" s="567" t="s">
        <v>166</v>
      </c>
      <c r="F194" s="616" t="s">
        <v>385</v>
      </c>
      <c r="G194" s="62">
        <v>50000</v>
      </c>
      <c r="H194" s="569" t="s">
        <v>13</v>
      </c>
      <c r="I194" s="63" t="s">
        <v>17</v>
      </c>
      <c r="J194" s="63" t="s">
        <v>433</v>
      </c>
      <c r="K194" s="63"/>
      <c r="L194" s="72"/>
      <c r="M194" s="63"/>
      <c r="N194" s="63"/>
      <c r="O194" s="63"/>
      <c r="P194" s="63"/>
      <c r="Q194" s="567" t="s">
        <v>90</v>
      </c>
    </row>
    <row r="195" spans="2:17" ht="18.75" hidden="1" customHeight="1" x14ac:dyDescent="0.3">
      <c r="B195" s="569"/>
      <c r="C195" s="622"/>
      <c r="D195" s="622"/>
      <c r="E195" s="567"/>
      <c r="F195" s="616"/>
      <c r="G195" s="62">
        <v>18550</v>
      </c>
      <c r="H195" s="569"/>
      <c r="I195" s="63" t="s">
        <v>11</v>
      </c>
      <c r="J195" s="63" t="s">
        <v>428</v>
      </c>
      <c r="K195" s="63"/>
      <c r="L195" s="72"/>
      <c r="M195" s="63"/>
      <c r="N195" s="63"/>
      <c r="O195" s="63"/>
      <c r="P195" s="63"/>
      <c r="Q195" s="567"/>
    </row>
    <row r="196" spans="2:17" ht="18.75" hidden="1" customHeight="1" x14ac:dyDescent="0.3">
      <c r="B196" s="101" t="s">
        <v>432</v>
      </c>
      <c r="C196" s="27">
        <v>45161</v>
      </c>
      <c r="D196" s="27">
        <v>45164.416666666664</v>
      </c>
      <c r="E196" s="100" t="s">
        <v>166</v>
      </c>
      <c r="F196" s="68" t="s">
        <v>385</v>
      </c>
      <c r="G196" s="43">
        <v>22000</v>
      </c>
      <c r="H196" s="101" t="s">
        <v>41</v>
      </c>
      <c r="I196" s="100" t="s">
        <v>11</v>
      </c>
      <c r="J196" s="100" t="s">
        <v>436</v>
      </c>
      <c r="K196" s="100"/>
      <c r="L196" s="28" t="s">
        <v>200</v>
      </c>
      <c r="M196" s="100" t="s">
        <v>16</v>
      </c>
      <c r="N196" s="100"/>
      <c r="O196" s="100"/>
      <c r="P196" s="100"/>
      <c r="Q196" s="100" t="s">
        <v>90</v>
      </c>
    </row>
    <row r="197" spans="2:17" ht="18.75" hidden="1" customHeight="1" x14ac:dyDescent="0.3">
      <c r="B197" s="104" t="s">
        <v>431</v>
      </c>
      <c r="C197" s="76">
        <v>45156.75</v>
      </c>
      <c r="D197" s="76">
        <v>45166.10833333333</v>
      </c>
      <c r="E197" s="63" t="s">
        <v>166</v>
      </c>
      <c r="F197" s="106" t="s">
        <v>382</v>
      </c>
      <c r="G197" s="62">
        <v>44000</v>
      </c>
      <c r="H197" s="104" t="s">
        <v>94</v>
      </c>
      <c r="I197" s="63" t="s">
        <v>11</v>
      </c>
      <c r="J197" s="63" t="s">
        <v>430</v>
      </c>
      <c r="K197" s="63"/>
      <c r="L197" s="72"/>
      <c r="M197" s="63"/>
      <c r="N197" s="63"/>
      <c r="O197" s="63"/>
      <c r="P197" s="63"/>
      <c r="Q197" s="63" t="s">
        <v>383</v>
      </c>
    </row>
    <row r="198" spans="2:17" ht="18.75" hidden="1" customHeight="1" x14ac:dyDescent="0.3">
      <c r="B198" s="569" t="s">
        <v>435</v>
      </c>
      <c r="C198" s="622">
        <v>45179.583333333336</v>
      </c>
      <c r="D198" s="629" t="s">
        <v>442</v>
      </c>
      <c r="E198" s="570" t="s">
        <v>439</v>
      </c>
      <c r="F198" s="616" t="s">
        <v>385</v>
      </c>
      <c r="G198" s="62">
        <v>45000</v>
      </c>
      <c r="H198" s="569" t="s">
        <v>13</v>
      </c>
      <c r="I198" s="63" t="s">
        <v>17</v>
      </c>
      <c r="J198" s="63" t="s">
        <v>205</v>
      </c>
      <c r="K198" s="63"/>
      <c r="L198" s="623"/>
      <c r="M198" s="567" t="s">
        <v>16</v>
      </c>
      <c r="N198" s="108"/>
      <c r="O198" s="109"/>
      <c r="P198" s="109"/>
      <c r="Q198" s="63" t="s">
        <v>383</v>
      </c>
    </row>
    <row r="199" spans="2:17" ht="18.75" hidden="1" customHeight="1" x14ac:dyDescent="0.3">
      <c r="B199" s="569"/>
      <c r="C199" s="622"/>
      <c r="D199" s="629"/>
      <c r="E199" s="570"/>
      <c r="F199" s="616"/>
      <c r="G199" s="62">
        <v>23460</v>
      </c>
      <c r="H199" s="569"/>
      <c r="I199" s="63" t="s">
        <v>11</v>
      </c>
      <c r="J199" s="63" t="s">
        <v>440</v>
      </c>
      <c r="K199" s="63"/>
      <c r="L199" s="623"/>
      <c r="M199" s="567"/>
      <c r="N199" s="108"/>
      <c r="O199" s="109"/>
      <c r="P199" s="109"/>
      <c r="Q199" s="63" t="s">
        <v>383</v>
      </c>
    </row>
    <row r="200" spans="2:17" ht="18.75" hidden="1" customHeight="1" x14ac:dyDescent="0.3">
      <c r="B200" s="569"/>
      <c r="C200" s="622"/>
      <c r="D200" s="629"/>
      <c r="E200" s="570"/>
      <c r="F200" s="616"/>
      <c r="G200" s="62">
        <v>4500</v>
      </c>
      <c r="H200" s="569"/>
      <c r="I200" s="63" t="s">
        <v>18</v>
      </c>
      <c r="J200" s="63" t="s">
        <v>441</v>
      </c>
      <c r="K200" s="63"/>
      <c r="L200" s="623"/>
      <c r="M200" s="567"/>
      <c r="N200" s="108"/>
      <c r="O200" s="109"/>
      <c r="P200" s="109"/>
      <c r="Q200" s="63" t="s">
        <v>293</v>
      </c>
    </row>
    <row r="201" spans="2:17" ht="23.25" hidden="1" customHeight="1" x14ac:dyDescent="0.3">
      <c r="B201" s="566" t="s">
        <v>434</v>
      </c>
      <c r="C201" s="625">
        <v>45164.029166666667</v>
      </c>
      <c r="D201" s="625">
        <v>45182.708333333336</v>
      </c>
      <c r="E201" s="565" t="s">
        <v>218</v>
      </c>
      <c r="F201" s="618" t="s">
        <v>385</v>
      </c>
      <c r="G201" s="43">
        <v>37500</v>
      </c>
      <c r="H201" s="566" t="s">
        <v>39</v>
      </c>
      <c r="I201" s="100" t="s">
        <v>15</v>
      </c>
      <c r="J201" s="100" t="s">
        <v>443</v>
      </c>
      <c r="K201" s="100"/>
      <c r="L201" s="28"/>
      <c r="M201" s="28"/>
      <c r="N201" s="28"/>
      <c r="O201" s="28"/>
      <c r="P201" s="28"/>
      <c r="Q201" s="100" t="s">
        <v>293</v>
      </c>
    </row>
    <row r="202" spans="2:17" ht="23.25" hidden="1" customHeight="1" x14ac:dyDescent="0.3">
      <c r="B202" s="566"/>
      <c r="C202" s="625"/>
      <c r="D202" s="625"/>
      <c r="E202" s="565"/>
      <c r="F202" s="618"/>
      <c r="G202" s="43">
        <v>17500</v>
      </c>
      <c r="H202" s="566"/>
      <c r="I202" s="100" t="s">
        <v>19</v>
      </c>
      <c r="J202" s="100" t="s">
        <v>444</v>
      </c>
      <c r="K202" s="100"/>
      <c r="L202" s="28"/>
      <c r="M202" s="28"/>
      <c r="N202" s="28"/>
      <c r="O202" s="28"/>
      <c r="P202" s="28"/>
      <c r="Q202" s="100" t="s">
        <v>293</v>
      </c>
    </row>
    <row r="203" spans="2:17" ht="23.25" hidden="1" customHeight="1" x14ac:dyDescent="0.3">
      <c r="B203" s="569" t="s">
        <v>437</v>
      </c>
      <c r="C203" s="622">
        <v>45174.25</v>
      </c>
      <c r="D203" s="622">
        <v>45186.166666666664</v>
      </c>
      <c r="E203" s="567" t="s">
        <v>166</v>
      </c>
      <c r="F203" s="616" t="s">
        <v>377</v>
      </c>
      <c r="G203" s="62">
        <v>24238</v>
      </c>
      <c r="H203" s="569" t="s">
        <v>224</v>
      </c>
      <c r="I203" s="63" t="s">
        <v>17</v>
      </c>
      <c r="J203" s="63" t="s">
        <v>398</v>
      </c>
      <c r="K203" s="63"/>
      <c r="L203" s="72"/>
      <c r="M203" s="567" t="s">
        <v>16</v>
      </c>
      <c r="N203" s="63"/>
      <c r="O203" s="63"/>
      <c r="P203" s="63"/>
      <c r="Q203" s="63" t="s">
        <v>383</v>
      </c>
    </row>
    <row r="204" spans="2:17" ht="23.25" hidden="1" customHeight="1" x14ac:dyDescent="0.3">
      <c r="B204" s="569"/>
      <c r="C204" s="622"/>
      <c r="D204" s="622"/>
      <c r="E204" s="567"/>
      <c r="F204" s="616"/>
      <c r="G204" s="62">
        <v>24238</v>
      </c>
      <c r="H204" s="569"/>
      <c r="I204" s="63" t="s">
        <v>17</v>
      </c>
      <c r="J204" s="63" t="s">
        <v>25</v>
      </c>
      <c r="K204" s="63"/>
      <c r="L204" s="72"/>
      <c r="M204" s="567"/>
      <c r="N204" s="63"/>
      <c r="O204" s="63"/>
      <c r="P204" s="63"/>
      <c r="Q204" s="63" t="s">
        <v>383</v>
      </c>
    </row>
    <row r="205" spans="2:17" ht="23.25" hidden="1" customHeight="1" x14ac:dyDescent="0.3">
      <c r="B205" s="569" t="s">
        <v>438</v>
      </c>
      <c r="C205" s="622">
        <v>45178.25</v>
      </c>
      <c r="D205" s="622">
        <v>45191.625</v>
      </c>
      <c r="E205" s="567" t="s">
        <v>166</v>
      </c>
      <c r="F205" s="616" t="s">
        <v>385</v>
      </c>
      <c r="G205" s="62">
        <v>45000</v>
      </c>
      <c r="H205" s="569" t="s">
        <v>20</v>
      </c>
      <c r="I205" s="63" t="s">
        <v>11</v>
      </c>
      <c r="J205" s="63" t="s">
        <v>447</v>
      </c>
      <c r="K205" s="63"/>
      <c r="L205" s="72"/>
      <c r="M205" s="567" t="s">
        <v>16</v>
      </c>
      <c r="N205" s="63"/>
      <c r="O205" s="63"/>
      <c r="P205" s="63"/>
      <c r="Q205" s="63" t="s">
        <v>383</v>
      </c>
    </row>
    <row r="206" spans="2:17" ht="23.25" hidden="1" customHeight="1" x14ac:dyDescent="0.3">
      <c r="B206" s="569"/>
      <c r="C206" s="622"/>
      <c r="D206" s="622"/>
      <c r="E206" s="567"/>
      <c r="F206" s="616"/>
      <c r="G206" s="62">
        <v>26209</v>
      </c>
      <c r="H206" s="569"/>
      <c r="I206" s="63" t="s">
        <v>17</v>
      </c>
      <c r="J206" s="63" t="s">
        <v>249</v>
      </c>
      <c r="K206" s="63"/>
      <c r="L206" s="72"/>
      <c r="M206" s="567"/>
      <c r="N206" s="63"/>
      <c r="O206" s="63"/>
      <c r="P206" s="63"/>
      <c r="Q206" s="63" t="s">
        <v>383</v>
      </c>
    </row>
    <row r="207" spans="2:17" ht="23.25" hidden="1" customHeight="1" x14ac:dyDescent="0.3">
      <c r="B207" s="569" t="s">
        <v>87</v>
      </c>
      <c r="C207" s="622">
        <v>45189.333333333336</v>
      </c>
      <c r="D207" s="629" t="s">
        <v>455</v>
      </c>
      <c r="E207" s="63" t="s">
        <v>218</v>
      </c>
      <c r="F207" s="110" t="s">
        <v>382</v>
      </c>
      <c r="G207" s="62">
        <v>47281</v>
      </c>
      <c r="H207" s="569" t="s">
        <v>94</v>
      </c>
      <c r="I207" s="63" t="s">
        <v>18</v>
      </c>
      <c r="J207" s="63" t="s">
        <v>450</v>
      </c>
      <c r="K207" s="63"/>
      <c r="L207" s="72"/>
      <c r="M207" s="567" t="s">
        <v>16</v>
      </c>
      <c r="N207" s="63"/>
      <c r="O207" s="63"/>
      <c r="P207" s="63"/>
      <c r="Q207" s="570" t="s">
        <v>449</v>
      </c>
    </row>
    <row r="208" spans="2:17" ht="23.25" hidden="1" customHeight="1" x14ac:dyDescent="0.3">
      <c r="B208" s="569"/>
      <c r="C208" s="622"/>
      <c r="D208" s="629"/>
      <c r="E208" s="63" t="s">
        <v>166</v>
      </c>
      <c r="F208" s="110" t="s">
        <v>382</v>
      </c>
      <c r="G208" s="62">
        <v>28919</v>
      </c>
      <c r="H208" s="569"/>
      <c r="I208" s="63" t="s">
        <v>11</v>
      </c>
      <c r="J208" s="63" t="s">
        <v>454</v>
      </c>
      <c r="K208" s="63"/>
      <c r="L208" s="72"/>
      <c r="M208" s="567"/>
      <c r="N208" s="63"/>
      <c r="O208" s="63"/>
      <c r="P208" s="63"/>
      <c r="Q208" s="570"/>
    </row>
    <row r="209" spans="2:17" ht="23.25" hidden="1" customHeight="1" x14ac:dyDescent="0.3">
      <c r="B209" s="569" t="s">
        <v>445</v>
      </c>
      <c r="C209" s="622">
        <v>45187.083333333336</v>
      </c>
      <c r="D209" s="622">
        <v>45206.304166666669</v>
      </c>
      <c r="E209" s="567" t="s">
        <v>166</v>
      </c>
      <c r="F209" s="616" t="s">
        <v>385</v>
      </c>
      <c r="G209" s="62">
        <v>25000</v>
      </c>
      <c r="H209" s="569" t="s">
        <v>94</v>
      </c>
      <c r="I209" s="63" t="s">
        <v>11</v>
      </c>
      <c r="J209" s="63" t="s">
        <v>398</v>
      </c>
      <c r="K209" s="63"/>
      <c r="L209" s="72"/>
      <c r="M209" s="63"/>
      <c r="N209" s="63"/>
      <c r="O209" s="63"/>
      <c r="P209" s="63"/>
      <c r="Q209" s="567" t="s">
        <v>383</v>
      </c>
    </row>
    <row r="210" spans="2:17" ht="23.25" hidden="1" customHeight="1" x14ac:dyDescent="0.3">
      <c r="B210" s="569"/>
      <c r="C210" s="622"/>
      <c r="D210" s="622"/>
      <c r="E210" s="567"/>
      <c r="F210" s="616"/>
      <c r="G210" s="62">
        <v>25000</v>
      </c>
      <c r="H210" s="569"/>
      <c r="I210" s="63" t="s">
        <v>11</v>
      </c>
      <c r="J210" s="63" t="s">
        <v>456</v>
      </c>
      <c r="K210" s="63"/>
      <c r="L210" s="72"/>
      <c r="M210" s="63"/>
      <c r="N210" s="63"/>
      <c r="O210" s="63"/>
      <c r="P210" s="63"/>
      <c r="Q210" s="567"/>
    </row>
    <row r="211" spans="2:17" ht="23.25" hidden="1" customHeight="1" x14ac:dyDescent="0.3">
      <c r="B211" s="569"/>
      <c r="C211" s="622"/>
      <c r="D211" s="622"/>
      <c r="E211" s="567"/>
      <c r="F211" s="616"/>
      <c r="G211" s="62">
        <v>22000</v>
      </c>
      <c r="H211" s="569"/>
      <c r="I211" s="63" t="s">
        <v>17</v>
      </c>
      <c r="J211" s="63" t="s">
        <v>457</v>
      </c>
      <c r="K211" s="63"/>
      <c r="L211" s="72"/>
      <c r="M211" s="63"/>
      <c r="N211" s="63"/>
      <c r="O211" s="63"/>
      <c r="P211" s="63"/>
      <c r="Q211" s="567"/>
    </row>
    <row r="212" spans="2:17" ht="20.25" hidden="1" customHeight="1" x14ac:dyDescent="0.3">
      <c r="B212" s="104" t="s">
        <v>451</v>
      </c>
      <c r="C212" s="76">
        <v>45203.9375</v>
      </c>
      <c r="D212" s="76">
        <v>45208.597222222219</v>
      </c>
      <c r="E212" s="111" t="s">
        <v>460</v>
      </c>
      <c r="F212" s="106" t="s">
        <v>452</v>
      </c>
      <c r="G212" s="62">
        <v>27000</v>
      </c>
      <c r="H212" s="104" t="s">
        <v>47</v>
      </c>
      <c r="I212" s="63" t="s">
        <v>49</v>
      </c>
      <c r="J212" s="63" t="s">
        <v>453</v>
      </c>
      <c r="K212" s="63"/>
      <c r="L212" s="72"/>
      <c r="M212" s="63" t="s">
        <v>16</v>
      </c>
      <c r="N212" s="63"/>
      <c r="O212" s="63"/>
      <c r="P212" s="63"/>
      <c r="Q212" s="63"/>
    </row>
    <row r="213" spans="2:17" ht="23.25" hidden="1" customHeight="1" x14ac:dyDescent="0.3">
      <c r="B213" s="104" t="s">
        <v>463</v>
      </c>
      <c r="C213" s="76">
        <v>45224.833333333336</v>
      </c>
      <c r="D213" s="76">
        <v>45225.75</v>
      </c>
      <c r="E213" s="63" t="s">
        <v>166</v>
      </c>
      <c r="F213" s="106" t="s">
        <v>377</v>
      </c>
      <c r="G213" s="62">
        <v>27500</v>
      </c>
      <c r="H213" s="104" t="s">
        <v>224</v>
      </c>
      <c r="I213" s="63" t="s">
        <v>17</v>
      </c>
      <c r="J213" s="63" t="s">
        <v>467</v>
      </c>
      <c r="K213" s="63"/>
      <c r="L213" s="72"/>
      <c r="M213" s="63" t="s">
        <v>16</v>
      </c>
      <c r="N213" s="63"/>
      <c r="O213" s="63"/>
      <c r="P213" s="63"/>
      <c r="Q213" s="63" t="s">
        <v>383</v>
      </c>
    </row>
    <row r="214" spans="2:17" ht="23.25" hidden="1" customHeight="1" x14ac:dyDescent="0.3">
      <c r="B214" s="569" t="s">
        <v>458</v>
      </c>
      <c r="C214" s="622">
        <v>45208.613888888889</v>
      </c>
      <c r="D214" s="622">
        <v>45226.5</v>
      </c>
      <c r="E214" s="567" t="s">
        <v>218</v>
      </c>
      <c r="F214" s="616" t="s">
        <v>377</v>
      </c>
      <c r="G214" s="62">
        <v>22000</v>
      </c>
      <c r="H214" s="572" t="s">
        <v>459</v>
      </c>
      <c r="I214" s="63" t="s">
        <v>19</v>
      </c>
      <c r="J214" s="63" t="s">
        <v>462</v>
      </c>
      <c r="K214" s="63"/>
      <c r="L214" s="72"/>
      <c r="M214" s="567" t="s">
        <v>16</v>
      </c>
      <c r="N214" s="63"/>
      <c r="O214" s="63"/>
      <c r="P214" s="63"/>
      <c r="Q214" s="63" t="s">
        <v>293</v>
      </c>
    </row>
    <row r="215" spans="2:17" ht="23.25" hidden="1" customHeight="1" x14ac:dyDescent="0.3">
      <c r="B215" s="569"/>
      <c r="C215" s="622"/>
      <c r="D215" s="622"/>
      <c r="E215" s="567"/>
      <c r="F215" s="616"/>
      <c r="G215" s="62">
        <v>22000</v>
      </c>
      <c r="H215" s="572"/>
      <c r="I215" s="63" t="s">
        <v>15</v>
      </c>
      <c r="J215" s="63" t="s">
        <v>462</v>
      </c>
      <c r="K215" s="63"/>
      <c r="L215" s="72"/>
      <c r="M215" s="567"/>
      <c r="N215" s="63"/>
      <c r="O215" s="63"/>
      <c r="P215" s="63"/>
      <c r="Q215" s="63" t="s">
        <v>293</v>
      </c>
    </row>
    <row r="216" spans="2:17" ht="23.25" hidden="1" customHeight="1" x14ac:dyDescent="0.3">
      <c r="B216" s="569" t="s">
        <v>464</v>
      </c>
      <c r="C216" s="622">
        <v>45228.5</v>
      </c>
      <c r="D216" s="622">
        <v>45234.666666666664</v>
      </c>
      <c r="E216" s="567" t="s">
        <v>218</v>
      </c>
      <c r="F216" s="616" t="s">
        <v>385</v>
      </c>
      <c r="G216" s="62">
        <v>25000</v>
      </c>
      <c r="H216" s="569" t="s">
        <v>13</v>
      </c>
      <c r="I216" s="63" t="s">
        <v>17</v>
      </c>
      <c r="J216" s="63" t="s">
        <v>398</v>
      </c>
      <c r="K216" s="63"/>
      <c r="L216" s="72"/>
      <c r="M216" s="570" t="s">
        <v>16</v>
      </c>
      <c r="N216" s="63"/>
      <c r="O216" s="63"/>
      <c r="P216" s="63"/>
      <c r="Q216" s="63" t="s">
        <v>383</v>
      </c>
    </row>
    <row r="217" spans="2:17" ht="23.25" hidden="1" customHeight="1" x14ac:dyDescent="0.3">
      <c r="B217" s="569"/>
      <c r="C217" s="622"/>
      <c r="D217" s="622"/>
      <c r="E217" s="567"/>
      <c r="F217" s="616"/>
      <c r="G217" s="62">
        <v>52000</v>
      </c>
      <c r="H217" s="569"/>
      <c r="I217" s="63" t="s">
        <v>11</v>
      </c>
      <c r="J217" s="63" t="s">
        <v>468</v>
      </c>
      <c r="K217" s="63"/>
      <c r="L217" s="72"/>
      <c r="M217" s="570"/>
      <c r="N217" s="63"/>
      <c r="O217" s="63"/>
      <c r="P217" s="63"/>
      <c r="Q217" s="63" t="s">
        <v>383</v>
      </c>
    </row>
    <row r="218" spans="2:17" ht="23.25" hidden="1" customHeight="1" x14ac:dyDescent="0.3">
      <c r="B218" s="569" t="s">
        <v>465</v>
      </c>
      <c r="C218" s="622">
        <v>45237.708333333336</v>
      </c>
      <c r="D218" s="622">
        <v>45238.083333333336</v>
      </c>
      <c r="E218" s="567" t="s">
        <v>166</v>
      </c>
      <c r="F218" s="616" t="s">
        <v>385</v>
      </c>
      <c r="G218" s="62">
        <v>16200</v>
      </c>
      <c r="H218" s="569" t="s">
        <v>39</v>
      </c>
      <c r="I218" s="63" t="s">
        <v>11</v>
      </c>
      <c r="J218" s="63" t="s">
        <v>68</v>
      </c>
      <c r="K218" s="63"/>
      <c r="L218" s="72"/>
      <c r="M218" s="567"/>
      <c r="N218" s="63"/>
      <c r="O218" s="63"/>
      <c r="P218" s="63"/>
      <c r="Q218" s="63" t="s">
        <v>383</v>
      </c>
    </row>
    <row r="219" spans="2:17" ht="23.25" hidden="1" customHeight="1" x14ac:dyDescent="0.3">
      <c r="B219" s="569"/>
      <c r="C219" s="622"/>
      <c r="D219" s="622"/>
      <c r="E219" s="567"/>
      <c r="F219" s="616"/>
      <c r="G219" s="62">
        <v>15000</v>
      </c>
      <c r="H219" s="569"/>
      <c r="I219" s="63" t="s">
        <v>17</v>
      </c>
      <c r="J219" s="63" t="s">
        <v>76</v>
      </c>
      <c r="K219" s="63"/>
      <c r="L219" s="72"/>
      <c r="M219" s="567"/>
      <c r="N219" s="63"/>
      <c r="O219" s="63"/>
      <c r="P219" s="63"/>
      <c r="Q219" s="63" t="s">
        <v>383</v>
      </c>
    </row>
    <row r="220" spans="2:17" ht="23.25" hidden="1" customHeight="1" x14ac:dyDescent="0.3">
      <c r="B220" s="569" t="s">
        <v>466</v>
      </c>
      <c r="C220" s="622">
        <v>45248.333333333336</v>
      </c>
      <c r="D220" s="622">
        <v>45250.994444444441</v>
      </c>
      <c r="E220" s="567" t="s">
        <v>166</v>
      </c>
      <c r="F220" s="616" t="s">
        <v>385</v>
      </c>
      <c r="G220" s="62">
        <v>16000</v>
      </c>
      <c r="H220" s="569" t="s">
        <v>41</v>
      </c>
      <c r="I220" s="63" t="s">
        <v>17</v>
      </c>
      <c r="J220" s="63" t="s">
        <v>471</v>
      </c>
      <c r="K220" s="63"/>
      <c r="L220" s="623" t="s">
        <v>200</v>
      </c>
      <c r="M220" s="567" t="s">
        <v>16</v>
      </c>
      <c r="N220" s="63"/>
      <c r="O220" s="63"/>
      <c r="P220" s="63"/>
      <c r="Q220" s="63" t="s">
        <v>383</v>
      </c>
    </row>
    <row r="221" spans="2:17" ht="23.25" hidden="1" customHeight="1" x14ac:dyDescent="0.3">
      <c r="B221" s="569"/>
      <c r="C221" s="622"/>
      <c r="D221" s="622"/>
      <c r="E221" s="567"/>
      <c r="F221" s="616"/>
      <c r="G221" s="62">
        <v>5000</v>
      </c>
      <c r="H221" s="569"/>
      <c r="I221" s="63" t="s">
        <v>11</v>
      </c>
      <c r="J221" s="63" t="s">
        <v>473</v>
      </c>
      <c r="K221" s="63"/>
      <c r="L221" s="623"/>
      <c r="M221" s="567"/>
      <c r="N221" s="63"/>
      <c r="O221" s="63"/>
      <c r="P221" s="63"/>
      <c r="Q221" s="63" t="s">
        <v>383</v>
      </c>
    </row>
    <row r="222" spans="2:17" ht="23.25" hidden="1" customHeight="1" x14ac:dyDescent="0.3">
      <c r="B222" s="569" t="s">
        <v>469</v>
      </c>
      <c r="C222" s="622">
        <v>45256.75</v>
      </c>
      <c r="D222" s="622">
        <v>45259.333333333336</v>
      </c>
      <c r="E222" s="567" t="s">
        <v>166</v>
      </c>
      <c r="F222" s="616" t="s">
        <v>377</v>
      </c>
      <c r="G222" s="62">
        <v>27500</v>
      </c>
      <c r="H222" s="569" t="s">
        <v>224</v>
      </c>
      <c r="I222" s="63" t="s">
        <v>11</v>
      </c>
      <c r="J222" s="63" t="s">
        <v>472</v>
      </c>
      <c r="K222" s="63"/>
      <c r="L222" s="72"/>
      <c r="M222" s="567" t="s">
        <v>16</v>
      </c>
      <c r="N222" s="63"/>
      <c r="O222" s="63"/>
      <c r="P222" s="63"/>
      <c r="Q222" s="63" t="s">
        <v>383</v>
      </c>
    </row>
    <row r="223" spans="2:17" ht="23.25" hidden="1" customHeight="1" x14ac:dyDescent="0.3">
      <c r="B223" s="569"/>
      <c r="C223" s="622"/>
      <c r="D223" s="622"/>
      <c r="E223" s="567"/>
      <c r="F223" s="616"/>
      <c r="G223" s="62">
        <v>27500</v>
      </c>
      <c r="H223" s="569"/>
      <c r="I223" s="63" t="s">
        <v>17</v>
      </c>
      <c r="J223" s="63" t="s">
        <v>476</v>
      </c>
      <c r="K223" s="63"/>
      <c r="L223" s="72"/>
      <c r="M223" s="567"/>
      <c r="N223" s="63"/>
      <c r="O223" s="63"/>
      <c r="P223" s="63"/>
      <c r="Q223" s="63"/>
    </row>
    <row r="224" spans="2:17" ht="23.25" hidden="1" customHeight="1" x14ac:dyDescent="0.3">
      <c r="B224" s="101" t="s">
        <v>470</v>
      </c>
      <c r="C224" s="27">
        <v>45255.625</v>
      </c>
      <c r="D224" s="27">
        <v>45261.791666666664</v>
      </c>
      <c r="E224" s="100" t="s">
        <v>166</v>
      </c>
      <c r="F224" s="68" t="s">
        <v>385</v>
      </c>
      <c r="G224" s="43">
        <v>31781</v>
      </c>
      <c r="H224" s="101" t="s">
        <v>39</v>
      </c>
      <c r="I224" s="100" t="s">
        <v>17</v>
      </c>
      <c r="J224" s="100" t="s">
        <v>80</v>
      </c>
      <c r="K224" s="100"/>
      <c r="L224" s="28"/>
      <c r="M224" s="100"/>
      <c r="N224" s="100"/>
      <c r="O224" s="100"/>
      <c r="P224" s="100"/>
      <c r="Q224" s="100" t="s">
        <v>383</v>
      </c>
    </row>
    <row r="225" spans="2:17" ht="23.25" hidden="1" customHeight="1" x14ac:dyDescent="0.3">
      <c r="B225" s="569" t="s">
        <v>91</v>
      </c>
      <c r="C225" s="622">
        <v>45270.75</v>
      </c>
      <c r="D225" s="622">
        <v>45270.791666666664</v>
      </c>
      <c r="E225" s="567" t="s">
        <v>166</v>
      </c>
      <c r="F225" s="616" t="s">
        <v>385</v>
      </c>
      <c r="G225" s="62">
        <v>22500</v>
      </c>
      <c r="H225" s="569" t="s">
        <v>13</v>
      </c>
      <c r="I225" s="63" t="s">
        <v>11</v>
      </c>
      <c r="J225" s="63" t="s">
        <v>477</v>
      </c>
      <c r="K225" s="63"/>
      <c r="L225" s="623" t="s">
        <v>203</v>
      </c>
      <c r="M225" s="63"/>
      <c r="N225" s="63"/>
      <c r="O225" s="63"/>
      <c r="P225" s="63"/>
      <c r="Q225" s="63" t="s">
        <v>383</v>
      </c>
    </row>
    <row r="226" spans="2:17" ht="23.25" hidden="1" customHeight="1" x14ac:dyDescent="0.3">
      <c r="B226" s="569"/>
      <c r="C226" s="622"/>
      <c r="D226" s="622"/>
      <c r="E226" s="567"/>
      <c r="F226" s="616"/>
      <c r="G226" s="62">
        <v>45000</v>
      </c>
      <c r="H226" s="569"/>
      <c r="I226" s="63" t="s">
        <v>17</v>
      </c>
      <c r="J226" s="63" t="s">
        <v>79</v>
      </c>
      <c r="K226" s="63"/>
      <c r="L226" s="623"/>
      <c r="M226" s="63"/>
      <c r="N226" s="63"/>
      <c r="O226" s="63"/>
      <c r="P226" s="63"/>
      <c r="Q226" s="63" t="s">
        <v>383</v>
      </c>
    </row>
    <row r="227" spans="2:17" ht="23.25" hidden="1" customHeight="1" x14ac:dyDescent="0.3">
      <c r="B227" s="569" t="s">
        <v>480</v>
      </c>
      <c r="C227" s="622">
        <v>45288.041666666664</v>
      </c>
      <c r="D227" s="622">
        <v>45293.724999999999</v>
      </c>
      <c r="E227" s="567" t="s">
        <v>166</v>
      </c>
      <c r="F227" s="616" t="s">
        <v>385</v>
      </c>
      <c r="G227" s="62">
        <v>32500</v>
      </c>
      <c r="H227" s="569" t="s">
        <v>94</v>
      </c>
      <c r="I227" s="63" t="s">
        <v>11</v>
      </c>
      <c r="J227" s="63" t="s">
        <v>55</v>
      </c>
      <c r="K227" s="63"/>
      <c r="L227" s="623" t="s">
        <v>203</v>
      </c>
      <c r="M227" s="63"/>
      <c r="N227" s="63"/>
      <c r="O227" s="63"/>
      <c r="P227" s="63"/>
      <c r="Q227" s="63" t="s">
        <v>383</v>
      </c>
    </row>
    <row r="228" spans="2:17" ht="23.25" hidden="1" customHeight="1" x14ac:dyDescent="0.3">
      <c r="B228" s="569"/>
      <c r="C228" s="622"/>
      <c r="D228" s="622"/>
      <c r="E228" s="567"/>
      <c r="F228" s="616"/>
      <c r="G228" s="62">
        <v>44508</v>
      </c>
      <c r="H228" s="569"/>
      <c r="I228" s="63" t="s">
        <v>17</v>
      </c>
      <c r="J228" s="63" t="s">
        <v>408</v>
      </c>
      <c r="K228" s="63"/>
      <c r="L228" s="623"/>
      <c r="M228" s="63"/>
      <c r="N228" s="63"/>
      <c r="O228" s="63"/>
      <c r="P228" s="63"/>
      <c r="Q228" s="63" t="s">
        <v>383</v>
      </c>
    </row>
    <row r="229" spans="2:17" ht="23.25" hidden="1" customHeight="1" x14ac:dyDescent="0.3">
      <c r="B229" s="104" t="s">
        <v>481</v>
      </c>
      <c r="C229" s="76">
        <v>45294.208333333336</v>
      </c>
      <c r="D229" s="76">
        <v>45294.375</v>
      </c>
      <c r="E229" s="63" t="s">
        <v>165</v>
      </c>
      <c r="F229" s="106" t="s">
        <v>377</v>
      </c>
      <c r="G229" s="62">
        <v>32261</v>
      </c>
      <c r="H229" s="104" t="s">
        <v>224</v>
      </c>
      <c r="I229" s="63" t="s">
        <v>18</v>
      </c>
      <c r="J229" s="63" t="s">
        <v>482</v>
      </c>
      <c r="K229" s="63"/>
      <c r="L229" s="72" t="s">
        <v>483</v>
      </c>
      <c r="M229" s="63" t="s">
        <v>16</v>
      </c>
      <c r="N229" s="63"/>
      <c r="O229" s="63"/>
      <c r="P229" s="63"/>
      <c r="Q229" s="63" t="s">
        <v>293</v>
      </c>
    </row>
    <row r="230" spans="2:17" ht="23.25" hidden="1" customHeight="1" x14ac:dyDescent="0.3">
      <c r="B230" s="104" t="s">
        <v>479</v>
      </c>
      <c r="C230" s="76">
        <v>45288.708333333336</v>
      </c>
      <c r="D230" s="76">
        <v>45297.838888888888</v>
      </c>
      <c r="E230" s="63" t="s">
        <v>166</v>
      </c>
      <c r="F230" s="106" t="s">
        <v>377</v>
      </c>
      <c r="G230" s="62">
        <v>54239</v>
      </c>
      <c r="H230" s="104" t="s">
        <v>224</v>
      </c>
      <c r="I230" s="63" t="s">
        <v>11</v>
      </c>
      <c r="J230" s="63" t="s">
        <v>485</v>
      </c>
      <c r="K230" s="63"/>
      <c r="L230" s="72" t="s">
        <v>203</v>
      </c>
      <c r="M230" s="63" t="s">
        <v>16</v>
      </c>
      <c r="N230" s="63"/>
      <c r="O230" s="63"/>
      <c r="P230" s="63"/>
      <c r="Q230" s="63" t="s">
        <v>383</v>
      </c>
    </row>
    <row r="231" spans="2:17" ht="23.25" hidden="1" customHeight="1" x14ac:dyDescent="0.3">
      <c r="B231" s="104" t="s">
        <v>484</v>
      </c>
      <c r="C231" s="76">
        <v>45298.625</v>
      </c>
      <c r="D231" s="76">
        <v>45300</v>
      </c>
      <c r="E231" s="63" t="s">
        <v>166</v>
      </c>
      <c r="F231" s="106" t="s">
        <v>385</v>
      </c>
      <c r="G231" s="62">
        <v>35000</v>
      </c>
      <c r="H231" s="104" t="s">
        <v>41</v>
      </c>
      <c r="I231" s="63" t="s">
        <v>17</v>
      </c>
      <c r="J231" s="63" t="s">
        <v>486</v>
      </c>
      <c r="K231" s="63"/>
      <c r="L231" s="72" t="s">
        <v>296</v>
      </c>
      <c r="M231" s="63" t="s">
        <v>16</v>
      </c>
      <c r="N231" s="63"/>
      <c r="O231" s="63"/>
      <c r="P231" s="63"/>
      <c r="Q231" s="63" t="s">
        <v>383</v>
      </c>
    </row>
    <row r="232" spans="2:17" ht="23.25" hidden="1" customHeight="1" x14ac:dyDescent="0.3">
      <c r="B232" s="569" t="s">
        <v>65</v>
      </c>
      <c r="C232" s="622">
        <v>45299.75</v>
      </c>
      <c r="D232" s="622">
        <v>45306.8</v>
      </c>
      <c r="E232" s="567" t="s">
        <v>166</v>
      </c>
      <c r="F232" s="616" t="s">
        <v>385</v>
      </c>
      <c r="G232" s="62">
        <v>32500</v>
      </c>
      <c r="H232" s="569" t="s">
        <v>13</v>
      </c>
      <c r="I232" s="63" t="s">
        <v>11</v>
      </c>
      <c r="J232" s="63" t="s">
        <v>167</v>
      </c>
      <c r="K232" s="63"/>
      <c r="L232" s="623" t="s">
        <v>203</v>
      </c>
      <c r="M232" s="63"/>
      <c r="N232" s="63"/>
      <c r="O232" s="63"/>
      <c r="P232" s="63"/>
      <c r="Q232" s="63" t="s">
        <v>383</v>
      </c>
    </row>
    <row r="233" spans="2:17" ht="23.25" hidden="1" customHeight="1" x14ac:dyDescent="0.3">
      <c r="B233" s="569"/>
      <c r="C233" s="622"/>
      <c r="D233" s="622"/>
      <c r="E233" s="567"/>
      <c r="F233" s="616"/>
      <c r="G233" s="62">
        <f>76855-G232</f>
        <v>44355</v>
      </c>
      <c r="H233" s="569"/>
      <c r="I233" s="63" t="s">
        <v>17</v>
      </c>
      <c r="J233" s="63" t="s">
        <v>237</v>
      </c>
      <c r="K233" s="63"/>
      <c r="L233" s="623"/>
      <c r="M233" s="63"/>
      <c r="N233" s="63"/>
      <c r="O233" s="63"/>
      <c r="P233" s="63"/>
      <c r="Q233" s="63" t="s">
        <v>383</v>
      </c>
    </row>
    <row r="234" spans="2:17" ht="23.25" hidden="1" customHeight="1" x14ac:dyDescent="0.3">
      <c r="B234" s="569" t="s">
        <v>487</v>
      </c>
      <c r="C234" s="622">
        <v>45320.541666666664</v>
      </c>
      <c r="D234" s="622">
        <v>45320.645833333336</v>
      </c>
      <c r="E234" s="567" t="s">
        <v>166</v>
      </c>
      <c r="F234" s="616" t="s">
        <v>385</v>
      </c>
      <c r="G234" s="62">
        <v>30000</v>
      </c>
      <c r="H234" s="569" t="s">
        <v>20</v>
      </c>
      <c r="I234" s="63" t="s">
        <v>11</v>
      </c>
      <c r="J234" s="63" t="s">
        <v>34</v>
      </c>
      <c r="K234" s="63"/>
      <c r="L234" s="623" t="s">
        <v>203</v>
      </c>
      <c r="M234" s="63"/>
      <c r="N234" s="63"/>
      <c r="O234" s="63"/>
      <c r="P234" s="63"/>
      <c r="Q234" s="63" t="s">
        <v>383</v>
      </c>
    </row>
    <row r="235" spans="2:17" ht="23.25" hidden="1" customHeight="1" x14ac:dyDescent="0.3">
      <c r="B235" s="569"/>
      <c r="C235" s="622"/>
      <c r="D235" s="622"/>
      <c r="E235" s="567"/>
      <c r="F235" s="616"/>
      <c r="G235" s="62">
        <v>22500</v>
      </c>
      <c r="H235" s="569"/>
      <c r="I235" s="63" t="s">
        <v>17</v>
      </c>
      <c r="J235" s="63" t="s">
        <v>491</v>
      </c>
      <c r="K235" s="63"/>
      <c r="L235" s="623"/>
      <c r="M235" s="63"/>
      <c r="N235" s="63"/>
      <c r="O235" s="63"/>
      <c r="P235" s="63"/>
      <c r="Q235" s="63" t="s">
        <v>383</v>
      </c>
    </row>
    <row r="236" spans="2:17" ht="23.25" hidden="1" customHeight="1" x14ac:dyDescent="0.3">
      <c r="B236" s="569"/>
      <c r="C236" s="622"/>
      <c r="D236" s="622"/>
      <c r="E236" s="567"/>
      <c r="F236" s="616"/>
      <c r="G236" s="62">
        <v>24500</v>
      </c>
      <c r="H236" s="569"/>
      <c r="I236" s="63" t="s">
        <v>11</v>
      </c>
      <c r="J236" s="63" t="s">
        <v>398</v>
      </c>
      <c r="K236" s="63"/>
      <c r="L236" s="623"/>
      <c r="M236" s="63"/>
      <c r="N236" s="63"/>
      <c r="O236" s="63"/>
      <c r="P236" s="63"/>
      <c r="Q236" s="63" t="s">
        <v>383</v>
      </c>
    </row>
    <row r="237" spans="2:17" ht="23.25" hidden="1" customHeight="1" x14ac:dyDescent="0.3">
      <c r="B237" s="569" t="s">
        <v>91</v>
      </c>
      <c r="C237" s="622">
        <v>45326.8125</v>
      </c>
      <c r="D237" s="622">
        <v>45327.824999999997</v>
      </c>
      <c r="E237" s="567" t="s">
        <v>166</v>
      </c>
      <c r="F237" s="616" t="s">
        <v>385</v>
      </c>
      <c r="G237" s="62">
        <v>45000</v>
      </c>
      <c r="H237" s="569" t="s">
        <v>13</v>
      </c>
      <c r="I237" s="63" t="s">
        <v>11</v>
      </c>
      <c r="J237" s="63" t="s">
        <v>181</v>
      </c>
      <c r="K237" s="63"/>
      <c r="L237" s="623" t="s">
        <v>203</v>
      </c>
      <c r="M237" s="63"/>
      <c r="N237" s="63"/>
      <c r="O237" s="63"/>
      <c r="P237" s="63"/>
      <c r="Q237" s="63" t="s">
        <v>383</v>
      </c>
    </row>
    <row r="238" spans="2:17" ht="23.25" hidden="1" customHeight="1" x14ac:dyDescent="0.3">
      <c r="B238" s="569"/>
      <c r="C238" s="622"/>
      <c r="D238" s="622"/>
      <c r="E238" s="567"/>
      <c r="F238" s="616"/>
      <c r="G238" s="62">
        <v>32000</v>
      </c>
      <c r="H238" s="569"/>
      <c r="I238" s="63" t="s">
        <v>17</v>
      </c>
      <c r="J238" s="63" t="s">
        <v>55</v>
      </c>
      <c r="K238" s="63"/>
      <c r="L238" s="623"/>
      <c r="M238" s="63"/>
      <c r="N238" s="63"/>
      <c r="O238" s="63"/>
      <c r="P238" s="63"/>
      <c r="Q238" s="63" t="s">
        <v>383</v>
      </c>
    </row>
    <row r="239" spans="2:17" ht="23.25" hidden="1" customHeight="1" x14ac:dyDescent="0.3">
      <c r="B239" s="101" t="s">
        <v>488</v>
      </c>
      <c r="C239" s="27">
        <v>45327.958333333336</v>
      </c>
      <c r="D239" s="27">
        <v>45331.25</v>
      </c>
      <c r="E239" s="100" t="s">
        <v>166</v>
      </c>
      <c r="F239" s="68" t="s">
        <v>385</v>
      </c>
      <c r="G239" s="43">
        <v>22000</v>
      </c>
      <c r="H239" s="101" t="s">
        <v>41</v>
      </c>
      <c r="I239" s="100" t="s">
        <v>11</v>
      </c>
      <c r="J239" s="100" t="s">
        <v>276</v>
      </c>
      <c r="K239" s="100"/>
      <c r="L239" s="28" t="s">
        <v>296</v>
      </c>
      <c r="M239" s="100" t="s">
        <v>16</v>
      </c>
      <c r="N239" s="100"/>
      <c r="O239" s="100"/>
      <c r="P239" s="100"/>
      <c r="Q239" s="100" t="s">
        <v>383</v>
      </c>
    </row>
    <row r="240" spans="2:17" ht="23.25" hidden="1" customHeight="1" x14ac:dyDescent="0.3">
      <c r="B240" s="569" t="s">
        <v>489</v>
      </c>
      <c r="C240" s="622">
        <v>45334.75</v>
      </c>
      <c r="D240" s="622">
        <v>45339.791666666664</v>
      </c>
      <c r="E240" s="567" t="s">
        <v>166</v>
      </c>
      <c r="F240" s="616" t="s">
        <v>422</v>
      </c>
      <c r="G240" s="62">
        <v>35000</v>
      </c>
      <c r="H240" s="569" t="s">
        <v>122</v>
      </c>
      <c r="I240" s="63" t="s">
        <v>11</v>
      </c>
      <c r="J240" s="63" t="s">
        <v>172</v>
      </c>
      <c r="K240" s="63"/>
      <c r="L240" s="623" t="s">
        <v>203</v>
      </c>
      <c r="M240" s="567" t="s">
        <v>16</v>
      </c>
      <c r="N240" s="63"/>
      <c r="O240" s="63"/>
      <c r="P240" s="63"/>
      <c r="Q240" s="567" t="s">
        <v>383</v>
      </c>
    </row>
    <row r="241" spans="2:17" ht="23.25" hidden="1" customHeight="1" x14ac:dyDescent="0.3">
      <c r="B241" s="569"/>
      <c r="C241" s="622"/>
      <c r="D241" s="622"/>
      <c r="E241" s="567"/>
      <c r="F241" s="616"/>
      <c r="G241" s="62">
        <v>25500</v>
      </c>
      <c r="H241" s="569"/>
      <c r="I241" s="63" t="s">
        <v>17</v>
      </c>
      <c r="J241" s="63" t="s">
        <v>367</v>
      </c>
      <c r="K241" s="63"/>
      <c r="L241" s="623"/>
      <c r="M241" s="567"/>
      <c r="N241" s="63"/>
      <c r="O241" s="63"/>
      <c r="P241" s="63"/>
      <c r="Q241" s="567"/>
    </row>
    <row r="242" spans="2:17" ht="23.25" hidden="1" customHeight="1" x14ac:dyDescent="0.3">
      <c r="B242" s="569" t="s">
        <v>492</v>
      </c>
      <c r="C242" s="622">
        <v>45337.041666666664</v>
      </c>
      <c r="D242" s="622">
        <v>45349.541666666664</v>
      </c>
      <c r="E242" s="567" t="s">
        <v>218</v>
      </c>
      <c r="F242" s="616" t="s">
        <v>377</v>
      </c>
      <c r="G242" s="621">
        <v>44000</v>
      </c>
      <c r="H242" s="569" t="s">
        <v>39</v>
      </c>
      <c r="I242" s="63" t="s">
        <v>19</v>
      </c>
      <c r="J242" s="63" t="s">
        <v>493</v>
      </c>
      <c r="K242" s="63"/>
      <c r="L242" s="623" t="s">
        <v>483</v>
      </c>
      <c r="M242" s="567" t="s">
        <v>16</v>
      </c>
      <c r="N242" s="63"/>
      <c r="O242" s="63"/>
      <c r="P242" s="63"/>
      <c r="Q242" s="63" t="s">
        <v>89</v>
      </c>
    </row>
    <row r="243" spans="2:17" ht="23.25" hidden="1" customHeight="1" x14ac:dyDescent="0.3">
      <c r="B243" s="569"/>
      <c r="C243" s="622"/>
      <c r="D243" s="622"/>
      <c r="E243" s="567"/>
      <c r="F243" s="616"/>
      <c r="G243" s="621"/>
      <c r="H243" s="569"/>
      <c r="I243" s="63" t="s">
        <v>15</v>
      </c>
      <c r="J243" s="63" t="s">
        <v>443</v>
      </c>
      <c r="K243" s="63"/>
      <c r="L243" s="623"/>
      <c r="M243" s="567"/>
      <c r="N243" s="63"/>
      <c r="O243" s="63"/>
      <c r="P243" s="63"/>
      <c r="Q243" s="63" t="s">
        <v>89</v>
      </c>
    </row>
    <row r="244" spans="2:17" ht="23.25" hidden="1" customHeight="1" x14ac:dyDescent="0.3">
      <c r="B244" s="104" t="s">
        <v>494</v>
      </c>
      <c r="C244" s="76">
        <v>45360.291666666664</v>
      </c>
      <c r="D244" s="76">
        <v>45363.333333333336</v>
      </c>
      <c r="E244" s="63" t="s">
        <v>166</v>
      </c>
      <c r="F244" s="106" t="s">
        <v>385</v>
      </c>
      <c r="G244" s="62">
        <v>31000</v>
      </c>
      <c r="H244" s="104" t="s">
        <v>39</v>
      </c>
      <c r="I244" s="63" t="s">
        <v>11</v>
      </c>
      <c r="J244" s="63" t="s">
        <v>495</v>
      </c>
      <c r="K244" s="63"/>
      <c r="L244" s="72"/>
      <c r="M244" s="63"/>
      <c r="N244" s="63"/>
      <c r="O244" s="63"/>
      <c r="P244" s="63"/>
      <c r="Q244" s="63" t="s">
        <v>383</v>
      </c>
    </row>
    <row r="245" spans="2:17" ht="19.5" hidden="1" customHeight="1" x14ac:dyDescent="0.3">
      <c r="B245" s="104" t="s">
        <v>496</v>
      </c>
      <c r="C245" s="76">
        <v>45378.041666666664</v>
      </c>
      <c r="D245" s="76">
        <v>45379.388888888891</v>
      </c>
      <c r="E245" s="63" t="s">
        <v>166</v>
      </c>
      <c r="F245" s="106" t="s">
        <v>497</v>
      </c>
      <c r="G245" s="62">
        <v>20000</v>
      </c>
      <c r="H245" s="104" t="s">
        <v>41</v>
      </c>
      <c r="I245" s="63" t="s">
        <v>11</v>
      </c>
      <c r="J245" s="63" t="s">
        <v>500</v>
      </c>
      <c r="K245" s="63"/>
      <c r="L245" s="72" t="s">
        <v>200</v>
      </c>
      <c r="M245" s="63" t="s">
        <v>16</v>
      </c>
      <c r="N245" s="63"/>
      <c r="O245" s="63"/>
      <c r="P245" s="63"/>
      <c r="Q245" s="63"/>
    </row>
    <row r="246" spans="2:17" ht="19.5" hidden="1" customHeight="1" x14ac:dyDescent="0.3">
      <c r="B246" s="101" t="s">
        <v>498</v>
      </c>
      <c r="C246" s="27">
        <v>45387.416666666664</v>
      </c>
      <c r="D246" s="27">
        <v>45387.5</v>
      </c>
      <c r="E246" s="100" t="s">
        <v>166</v>
      </c>
      <c r="F246" s="68" t="s">
        <v>499</v>
      </c>
      <c r="G246" s="43">
        <v>48304</v>
      </c>
      <c r="H246" s="101" t="s">
        <v>94</v>
      </c>
      <c r="I246" s="100" t="s">
        <v>17</v>
      </c>
      <c r="J246" s="100" t="s">
        <v>37</v>
      </c>
      <c r="K246" s="100"/>
      <c r="L246" s="28"/>
      <c r="M246" s="100"/>
      <c r="N246" s="100"/>
      <c r="O246" s="100"/>
      <c r="P246" s="100"/>
      <c r="Q246" s="100"/>
    </row>
    <row r="247" spans="2:17" ht="19.5" hidden="1" customHeight="1" x14ac:dyDescent="0.3">
      <c r="B247" s="101" t="s">
        <v>501</v>
      </c>
      <c r="C247" s="27">
        <v>45389.416666666664</v>
      </c>
      <c r="D247" s="27">
        <v>45389.5</v>
      </c>
      <c r="E247" s="100" t="s">
        <v>166</v>
      </c>
      <c r="F247" s="68" t="s">
        <v>502</v>
      </c>
      <c r="G247" s="43">
        <v>29630</v>
      </c>
      <c r="H247" s="101" t="s">
        <v>224</v>
      </c>
      <c r="I247" s="100" t="s">
        <v>11</v>
      </c>
      <c r="J247" s="100" t="s">
        <v>349</v>
      </c>
      <c r="K247" s="100"/>
      <c r="L247" s="28" t="s">
        <v>503</v>
      </c>
      <c r="M247" s="100" t="s">
        <v>16</v>
      </c>
      <c r="N247" s="100" t="s">
        <v>504</v>
      </c>
      <c r="O247" s="100"/>
      <c r="P247" s="100"/>
      <c r="Q247" s="100"/>
    </row>
    <row r="248" spans="2:17" ht="19.5" hidden="1" customHeight="1" x14ac:dyDescent="0.3">
      <c r="B248" s="566" t="s">
        <v>91</v>
      </c>
      <c r="C248" s="625">
        <v>45387.916666666664</v>
      </c>
      <c r="D248" s="625">
        <v>45390.625</v>
      </c>
      <c r="E248" s="565" t="s">
        <v>166</v>
      </c>
      <c r="F248" s="618" t="s">
        <v>57</v>
      </c>
      <c r="G248" s="43">
        <v>40000</v>
      </c>
      <c r="H248" s="566" t="s">
        <v>13</v>
      </c>
      <c r="I248" s="100" t="s">
        <v>17</v>
      </c>
      <c r="J248" s="100" t="s">
        <v>505</v>
      </c>
      <c r="K248" s="100"/>
      <c r="L248" s="628"/>
      <c r="M248" s="565"/>
      <c r="N248" s="100"/>
      <c r="O248" s="100"/>
      <c r="P248" s="100"/>
      <c r="Q248" s="100"/>
    </row>
    <row r="249" spans="2:17" ht="19.5" hidden="1" customHeight="1" x14ac:dyDescent="0.3">
      <c r="B249" s="566"/>
      <c r="C249" s="625"/>
      <c r="D249" s="625"/>
      <c r="E249" s="565"/>
      <c r="F249" s="618"/>
      <c r="G249" s="43">
        <v>36608</v>
      </c>
      <c r="H249" s="566"/>
      <c r="I249" s="100" t="s">
        <v>11</v>
      </c>
      <c r="J249" s="100" t="s">
        <v>55</v>
      </c>
      <c r="K249" s="100"/>
      <c r="L249" s="628"/>
      <c r="M249" s="565"/>
      <c r="N249" s="100"/>
      <c r="O249" s="100"/>
      <c r="P249" s="100"/>
      <c r="Q249" s="100"/>
    </row>
    <row r="250" spans="2:17" ht="18.75" hidden="1" customHeight="1" x14ac:dyDescent="0.3">
      <c r="B250" s="101" t="s">
        <v>506</v>
      </c>
      <c r="C250" s="27">
        <v>45398.479166666664</v>
      </c>
      <c r="D250" s="27">
        <v>45307.645833333336</v>
      </c>
      <c r="E250" s="100" t="s">
        <v>166</v>
      </c>
      <c r="F250" s="68" t="s">
        <v>57</v>
      </c>
      <c r="G250" s="43">
        <v>53964</v>
      </c>
      <c r="H250" s="101" t="s">
        <v>39</v>
      </c>
      <c r="I250" s="100" t="s">
        <v>11</v>
      </c>
      <c r="J250" s="100" t="s">
        <v>509</v>
      </c>
      <c r="K250" s="100"/>
      <c r="L250" s="28"/>
      <c r="M250" s="100"/>
      <c r="N250" s="100"/>
      <c r="O250" s="100"/>
      <c r="P250" s="100"/>
      <c r="Q250" s="100" t="s">
        <v>105</v>
      </c>
    </row>
    <row r="251" spans="2:17" ht="19.5" hidden="1" customHeight="1" x14ac:dyDescent="0.3">
      <c r="B251" s="569" t="s">
        <v>54</v>
      </c>
      <c r="C251" s="622">
        <v>45402</v>
      </c>
      <c r="D251" s="622">
        <v>45403.333333333336</v>
      </c>
      <c r="E251" s="567" t="s">
        <v>166</v>
      </c>
      <c r="F251" s="616" t="s">
        <v>26</v>
      </c>
      <c r="G251" s="62">
        <v>34000</v>
      </c>
      <c r="H251" s="569" t="s">
        <v>94</v>
      </c>
      <c r="I251" s="63" t="s">
        <v>17</v>
      </c>
      <c r="J251" s="63" t="s">
        <v>513</v>
      </c>
      <c r="K251" s="63"/>
      <c r="L251" s="623"/>
      <c r="M251" s="567"/>
      <c r="N251" s="63"/>
      <c r="O251" s="63"/>
      <c r="P251" s="63"/>
      <c r="Q251" s="63" t="s">
        <v>105</v>
      </c>
    </row>
    <row r="252" spans="2:17" ht="19.5" hidden="1" customHeight="1" x14ac:dyDescent="0.3">
      <c r="B252" s="569"/>
      <c r="C252" s="622"/>
      <c r="D252" s="622"/>
      <c r="E252" s="567"/>
      <c r="F252" s="616"/>
      <c r="G252" s="62">
        <v>33340</v>
      </c>
      <c r="H252" s="569"/>
      <c r="I252" s="63" t="s">
        <v>11</v>
      </c>
      <c r="J252" s="63" t="s">
        <v>512</v>
      </c>
      <c r="K252" s="63"/>
      <c r="L252" s="623"/>
      <c r="M252" s="567"/>
      <c r="N252" s="63"/>
      <c r="O252" s="63"/>
      <c r="P252" s="63"/>
      <c r="Q252" s="63" t="s">
        <v>105</v>
      </c>
    </row>
    <row r="253" spans="2:17" ht="19.5" hidden="1" customHeight="1" x14ac:dyDescent="0.3">
      <c r="B253" s="566" t="s">
        <v>507</v>
      </c>
      <c r="C253" s="625">
        <v>45403.75</v>
      </c>
      <c r="D253" s="625">
        <v>45409.25</v>
      </c>
      <c r="E253" s="565" t="s">
        <v>166</v>
      </c>
      <c r="F253" s="118" t="s">
        <v>516</v>
      </c>
      <c r="G253" s="119">
        <f>44000-G254</f>
        <v>33000</v>
      </c>
      <c r="H253" s="626" t="s">
        <v>39</v>
      </c>
      <c r="I253" s="120" t="s">
        <v>11</v>
      </c>
      <c r="J253" s="120" t="s">
        <v>95</v>
      </c>
      <c r="K253" s="120"/>
      <c r="L253" s="624"/>
      <c r="M253" s="627" t="s">
        <v>16</v>
      </c>
      <c r="N253" s="624" t="s">
        <v>514</v>
      </c>
      <c r="O253" s="565" t="s">
        <v>315</v>
      </c>
      <c r="P253" s="100"/>
      <c r="Q253" s="100" t="s">
        <v>105</v>
      </c>
    </row>
    <row r="254" spans="2:17" ht="19.5" hidden="1" customHeight="1" x14ac:dyDescent="0.3">
      <c r="B254" s="566"/>
      <c r="C254" s="625"/>
      <c r="D254" s="625"/>
      <c r="E254" s="565"/>
      <c r="F254" s="121" t="s">
        <v>515</v>
      </c>
      <c r="G254" s="122">
        <v>11000</v>
      </c>
      <c r="H254" s="626"/>
      <c r="I254" s="123" t="s">
        <v>17</v>
      </c>
      <c r="J254" s="123" t="s">
        <v>517</v>
      </c>
      <c r="K254" s="120"/>
      <c r="L254" s="624"/>
      <c r="M254" s="627"/>
      <c r="N254" s="624"/>
      <c r="O254" s="565"/>
      <c r="P254" s="100"/>
      <c r="Q254" s="100" t="s">
        <v>105</v>
      </c>
    </row>
    <row r="255" spans="2:17" ht="19.5" hidden="1" customHeight="1" x14ac:dyDescent="0.3">
      <c r="B255" s="566"/>
      <c r="C255" s="625"/>
      <c r="D255" s="625"/>
      <c r="E255" s="565"/>
      <c r="F255" s="121" t="s">
        <v>515</v>
      </c>
      <c r="G255" s="122">
        <v>11000</v>
      </c>
      <c r="H255" s="291"/>
      <c r="I255" s="123" t="s">
        <v>11</v>
      </c>
      <c r="J255" s="123" t="s">
        <v>518</v>
      </c>
      <c r="K255" s="120"/>
      <c r="L255" s="293"/>
      <c r="M255" s="627"/>
      <c r="N255" s="624"/>
      <c r="O255" s="565"/>
      <c r="P255" s="100"/>
      <c r="Q255" s="100" t="s">
        <v>105</v>
      </c>
    </row>
    <row r="256" spans="2:17" ht="19.5" hidden="1" customHeight="1" x14ac:dyDescent="0.3">
      <c r="B256" s="104" t="s">
        <v>510</v>
      </c>
      <c r="C256" s="76">
        <v>45408.166666666664</v>
      </c>
      <c r="D256" s="76">
        <v>45411.125</v>
      </c>
      <c r="E256" s="63" t="s">
        <v>166</v>
      </c>
      <c r="F256" s="106" t="s">
        <v>14</v>
      </c>
      <c r="G256" s="62">
        <v>20000</v>
      </c>
      <c r="H256" s="104" t="s">
        <v>41</v>
      </c>
      <c r="I256" s="63" t="s">
        <v>11</v>
      </c>
      <c r="J256" s="63" t="s">
        <v>25</v>
      </c>
      <c r="K256" s="63"/>
      <c r="L256" s="72" t="s">
        <v>200</v>
      </c>
      <c r="M256" s="63" t="s">
        <v>16</v>
      </c>
      <c r="N256" s="63"/>
      <c r="O256" s="63"/>
      <c r="P256" s="63"/>
      <c r="Q256" s="63" t="s">
        <v>251</v>
      </c>
    </row>
    <row r="257" spans="2:17" ht="19.5" hidden="1" customHeight="1" x14ac:dyDescent="0.3">
      <c r="B257" s="569" t="s">
        <v>91</v>
      </c>
      <c r="C257" s="622">
        <v>45418.5</v>
      </c>
      <c r="D257" s="622">
        <v>45422.291666666664</v>
      </c>
      <c r="E257" s="567" t="s">
        <v>166</v>
      </c>
      <c r="F257" s="616" t="s">
        <v>14</v>
      </c>
      <c r="G257" s="62">
        <v>37500</v>
      </c>
      <c r="H257" s="569" t="s">
        <v>13</v>
      </c>
      <c r="I257" s="63" t="s">
        <v>11</v>
      </c>
      <c r="J257" s="63" t="s">
        <v>55</v>
      </c>
      <c r="K257" s="63"/>
      <c r="L257" s="72"/>
      <c r="M257" s="63"/>
      <c r="N257" s="63"/>
      <c r="O257" s="63"/>
      <c r="P257" s="63"/>
      <c r="Q257" s="63" t="s">
        <v>251</v>
      </c>
    </row>
    <row r="258" spans="2:17" ht="19.5" hidden="1" customHeight="1" x14ac:dyDescent="0.3">
      <c r="B258" s="569"/>
      <c r="C258" s="622"/>
      <c r="D258" s="622"/>
      <c r="E258" s="567"/>
      <c r="F258" s="616"/>
      <c r="G258" s="62">
        <v>39500</v>
      </c>
      <c r="H258" s="569"/>
      <c r="I258" s="63" t="s">
        <v>17</v>
      </c>
      <c r="J258" s="63" t="s">
        <v>521</v>
      </c>
      <c r="K258" s="63"/>
      <c r="L258" s="72"/>
      <c r="M258" s="63"/>
      <c r="N258" s="63"/>
      <c r="O258" s="63"/>
      <c r="P258" s="63"/>
      <c r="Q258" s="63" t="s">
        <v>251</v>
      </c>
    </row>
    <row r="259" spans="2:17" ht="19.5" hidden="1" customHeight="1" x14ac:dyDescent="0.3">
      <c r="B259" s="569" t="s">
        <v>519</v>
      </c>
      <c r="C259" s="622">
        <v>45427.083333333336</v>
      </c>
      <c r="D259" s="622">
        <v>45427.166666666664</v>
      </c>
      <c r="E259" s="567" t="s">
        <v>166</v>
      </c>
      <c r="F259" s="616" t="s">
        <v>14</v>
      </c>
      <c r="G259" s="62">
        <v>47000</v>
      </c>
      <c r="H259" s="569" t="s">
        <v>94</v>
      </c>
      <c r="I259" s="63" t="s">
        <v>17</v>
      </c>
      <c r="J259" s="63" t="s">
        <v>522</v>
      </c>
      <c r="K259" s="63">
        <v>1</v>
      </c>
      <c r="L259" s="72"/>
      <c r="M259" s="63"/>
      <c r="N259" s="63"/>
      <c r="O259" s="63"/>
      <c r="P259" s="63"/>
      <c r="Q259" s="63" t="s">
        <v>251</v>
      </c>
    </row>
    <row r="260" spans="2:17" ht="19.5" hidden="1" customHeight="1" x14ac:dyDescent="0.3">
      <c r="B260" s="569"/>
      <c r="C260" s="622"/>
      <c r="D260" s="622"/>
      <c r="E260" s="567"/>
      <c r="F260" s="616"/>
      <c r="G260" s="62">
        <v>30000</v>
      </c>
      <c r="H260" s="569"/>
      <c r="I260" s="63" t="s">
        <v>11</v>
      </c>
      <c r="J260" s="63" t="s">
        <v>59</v>
      </c>
      <c r="K260" s="63">
        <v>2</v>
      </c>
      <c r="L260" s="72"/>
      <c r="M260" s="63"/>
      <c r="N260" s="63"/>
      <c r="O260" s="63"/>
      <c r="P260" s="63"/>
      <c r="Q260" s="63" t="s">
        <v>251</v>
      </c>
    </row>
    <row r="261" spans="2:17" ht="19.5" hidden="1" customHeight="1" x14ac:dyDescent="0.3">
      <c r="B261" s="104" t="s">
        <v>523</v>
      </c>
      <c r="C261" s="76">
        <v>45438.208333333336</v>
      </c>
      <c r="D261" s="76">
        <v>45439.208333333336</v>
      </c>
      <c r="E261" s="63" t="s">
        <v>180</v>
      </c>
      <c r="F261" s="106" t="s">
        <v>14</v>
      </c>
      <c r="G261" s="62">
        <v>20000</v>
      </c>
      <c r="H261" s="104" t="s">
        <v>41</v>
      </c>
      <c r="I261" s="63" t="s">
        <v>18</v>
      </c>
      <c r="J261" s="63" t="s">
        <v>529</v>
      </c>
      <c r="K261" s="63"/>
      <c r="L261" s="72" t="s">
        <v>200</v>
      </c>
      <c r="M261" s="63" t="s">
        <v>16</v>
      </c>
      <c r="N261" s="63"/>
      <c r="O261" s="63"/>
      <c r="P261" s="63"/>
      <c r="Q261" s="63" t="s">
        <v>251</v>
      </c>
    </row>
    <row r="262" spans="2:17" ht="19.5" hidden="1" customHeight="1" x14ac:dyDescent="0.3">
      <c r="B262" s="569" t="s">
        <v>520</v>
      </c>
      <c r="C262" s="622">
        <v>45435.666666666664</v>
      </c>
      <c r="D262" s="622">
        <v>45440.25</v>
      </c>
      <c r="E262" s="567" t="s">
        <v>165</v>
      </c>
      <c r="F262" s="616" t="s">
        <v>38</v>
      </c>
      <c r="G262" s="62">
        <v>23000</v>
      </c>
      <c r="H262" s="569" t="s">
        <v>224</v>
      </c>
      <c r="I262" s="63" t="s">
        <v>11</v>
      </c>
      <c r="J262" s="63" t="s">
        <v>527</v>
      </c>
      <c r="K262" s="63"/>
      <c r="L262" s="623" t="s">
        <v>230</v>
      </c>
      <c r="M262" s="567" t="s">
        <v>16</v>
      </c>
      <c r="N262" s="63"/>
      <c r="O262" s="63"/>
      <c r="P262" s="63"/>
      <c r="Q262" s="63" t="s">
        <v>251</v>
      </c>
    </row>
    <row r="263" spans="2:17" ht="19.5" hidden="1" customHeight="1" x14ac:dyDescent="0.3">
      <c r="B263" s="569"/>
      <c r="C263" s="622"/>
      <c r="D263" s="622"/>
      <c r="E263" s="567"/>
      <c r="F263" s="616"/>
      <c r="G263" s="62">
        <v>32000</v>
      </c>
      <c r="H263" s="569"/>
      <c r="I263" s="63" t="s">
        <v>18</v>
      </c>
      <c r="J263" s="63" t="s">
        <v>528</v>
      </c>
      <c r="K263" s="63"/>
      <c r="L263" s="623"/>
      <c r="M263" s="567"/>
      <c r="N263" s="63"/>
      <c r="O263" s="63"/>
      <c r="P263" s="63"/>
      <c r="Q263" s="63" t="s">
        <v>251</v>
      </c>
    </row>
    <row r="264" spans="2:17" ht="19.5" hidden="1" customHeight="1" x14ac:dyDescent="0.3">
      <c r="B264" s="104" t="s">
        <v>525</v>
      </c>
      <c r="C264" s="76">
        <v>45442.583333333336</v>
      </c>
      <c r="D264" s="76">
        <v>45444.652777777781</v>
      </c>
      <c r="E264" s="63" t="s">
        <v>218</v>
      </c>
      <c r="F264" s="106" t="s">
        <v>38</v>
      </c>
      <c r="G264" s="62">
        <v>55000</v>
      </c>
      <c r="H264" s="104" t="s">
        <v>224</v>
      </c>
      <c r="I264" s="63" t="s">
        <v>18</v>
      </c>
      <c r="J264" s="63" t="s">
        <v>534</v>
      </c>
      <c r="K264" s="63"/>
      <c r="L264" s="72" t="s">
        <v>526</v>
      </c>
      <c r="M264" s="63" t="s">
        <v>16</v>
      </c>
      <c r="N264" s="63"/>
      <c r="O264" s="63"/>
      <c r="P264" s="63"/>
      <c r="Q264" s="63" t="s">
        <v>383</v>
      </c>
    </row>
    <row r="265" spans="2:17" ht="19.5" hidden="1" customHeight="1" x14ac:dyDescent="0.3">
      <c r="B265" s="104" t="s">
        <v>524</v>
      </c>
      <c r="C265" s="76">
        <v>45441.125</v>
      </c>
      <c r="D265" s="76">
        <v>45444.779166666667</v>
      </c>
      <c r="E265" s="63" t="s">
        <v>166</v>
      </c>
      <c r="F265" s="106" t="s">
        <v>14</v>
      </c>
      <c r="G265" s="62">
        <v>55000</v>
      </c>
      <c r="H265" s="104" t="s">
        <v>39</v>
      </c>
      <c r="I265" s="63" t="s">
        <v>11</v>
      </c>
      <c r="J265" s="63" t="s">
        <v>234</v>
      </c>
      <c r="K265" s="63"/>
      <c r="L265" s="72"/>
      <c r="M265" s="63"/>
      <c r="N265" s="63"/>
      <c r="O265" s="63"/>
      <c r="P265" s="63"/>
      <c r="Q265" s="63" t="s">
        <v>90</v>
      </c>
    </row>
    <row r="266" spans="2:17" ht="19.5" hidden="1" customHeight="1" x14ac:dyDescent="0.3">
      <c r="B266" s="104" t="s">
        <v>533</v>
      </c>
      <c r="C266" s="76">
        <v>45452.833333333336</v>
      </c>
      <c r="D266" s="76">
        <v>45452.916666666664</v>
      </c>
      <c r="E266" s="63" t="s">
        <v>166</v>
      </c>
      <c r="F266" s="106" t="s">
        <v>14</v>
      </c>
      <c r="G266" s="62">
        <v>77000</v>
      </c>
      <c r="H266" s="104" t="s">
        <v>13</v>
      </c>
      <c r="I266" s="63" t="s">
        <v>11</v>
      </c>
      <c r="J266" s="63" t="s">
        <v>535</v>
      </c>
      <c r="K266" s="63"/>
      <c r="L266" s="72"/>
      <c r="M266" s="63"/>
      <c r="N266" s="63"/>
      <c r="O266" s="63"/>
      <c r="P266" s="63"/>
      <c r="Q266" s="63" t="s">
        <v>383</v>
      </c>
    </row>
    <row r="267" spans="2:17" ht="19.5" hidden="1" customHeight="1" x14ac:dyDescent="0.3">
      <c r="B267" s="569" t="s">
        <v>539</v>
      </c>
      <c r="C267" s="622">
        <v>45456.625</v>
      </c>
      <c r="D267" s="622">
        <v>45456.833333333336</v>
      </c>
      <c r="E267" s="567" t="s">
        <v>166</v>
      </c>
      <c r="F267" s="616" t="s">
        <v>14</v>
      </c>
      <c r="G267" s="62">
        <v>20000</v>
      </c>
      <c r="H267" s="569" t="s">
        <v>20</v>
      </c>
      <c r="I267" s="63" t="s">
        <v>11</v>
      </c>
      <c r="J267" s="63" t="s">
        <v>83</v>
      </c>
      <c r="K267" s="63"/>
      <c r="L267" s="623" t="s">
        <v>200</v>
      </c>
      <c r="M267" s="567" t="s">
        <v>16</v>
      </c>
      <c r="N267" s="63"/>
      <c r="O267" s="567" t="s">
        <v>315</v>
      </c>
      <c r="P267" s="63"/>
      <c r="Q267" s="63" t="s">
        <v>90</v>
      </c>
    </row>
    <row r="268" spans="2:17" ht="19.5" hidden="1" customHeight="1" x14ac:dyDescent="0.3">
      <c r="B268" s="569"/>
      <c r="C268" s="622"/>
      <c r="D268" s="622"/>
      <c r="E268" s="567"/>
      <c r="F268" s="616"/>
      <c r="G268" s="62">
        <v>27000</v>
      </c>
      <c r="H268" s="569"/>
      <c r="I268" s="63" t="s">
        <v>17</v>
      </c>
      <c r="J268" s="63" t="s">
        <v>51</v>
      </c>
      <c r="K268" s="63"/>
      <c r="L268" s="623"/>
      <c r="M268" s="567"/>
      <c r="N268" s="63"/>
      <c r="O268" s="567"/>
      <c r="P268" s="63"/>
      <c r="Q268" s="63" t="s">
        <v>90</v>
      </c>
    </row>
    <row r="269" spans="2:17" ht="19.5" hidden="1" customHeight="1" x14ac:dyDescent="0.3">
      <c r="B269" s="569" t="s">
        <v>548</v>
      </c>
      <c r="C269" s="622">
        <v>45464.875</v>
      </c>
      <c r="D269" s="622">
        <v>45464.9375</v>
      </c>
      <c r="E269" s="567" t="s">
        <v>166</v>
      </c>
      <c r="F269" s="616" t="s">
        <v>26</v>
      </c>
      <c r="G269" s="62">
        <v>24000</v>
      </c>
      <c r="H269" s="569" t="s">
        <v>94</v>
      </c>
      <c r="I269" s="63" t="s">
        <v>11</v>
      </c>
      <c r="J269" s="63" t="s">
        <v>141</v>
      </c>
      <c r="K269" s="63"/>
      <c r="L269" s="623" t="s">
        <v>203</v>
      </c>
      <c r="M269" s="63"/>
      <c r="N269" s="63"/>
      <c r="O269" s="63"/>
      <c r="P269" s="63"/>
      <c r="Q269" s="63" t="s">
        <v>383</v>
      </c>
    </row>
    <row r="270" spans="2:17" ht="19.5" hidden="1" customHeight="1" x14ac:dyDescent="0.3">
      <c r="B270" s="569"/>
      <c r="C270" s="622"/>
      <c r="D270" s="622"/>
      <c r="E270" s="567"/>
      <c r="F270" s="616"/>
      <c r="G270" s="62">
        <v>49750</v>
      </c>
      <c r="H270" s="569"/>
      <c r="I270" s="63" t="s">
        <v>17</v>
      </c>
      <c r="J270" s="63" t="s">
        <v>556</v>
      </c>
      <c r="K270" s="63"/>
      <c r="L270" s="623"/>
      <c r="M270" s="63"/>
      <c r="N270" s="63"/>
      <c r="O270" s="63"/>
      <c r="P270" s="63"/>
      <c r="Q270" s="63" t="s">
        <v>383</v>
      </c>
    </row>
    <row r="271" spans="2:17" ht="19.5" hidden="1" customHeight="1" x14ac:dyDescent="0.3">
      <c r="B271" s="104" t="s">
        <v>549</v>
      </c>
      <c r="C271" s="76">
        <v>45470.25</v>
      </c>
      <c r="D271" s="76">
        <v>45471.333333333336</v>
      </c>
      <c r="E271" s="63" t="s">
        <v>166</v>
      </c>
      <c r="F271" s="106" t="s">
        <v>46</v>
      </c>
      <c r="G271" s="62">
        <v>27000</v>
      </c>
      <c r="H271" s="104" t="s">
        <v>47</v>
      </c>
      <c r="I271" s="63" t="s">
        <v>17</v>
      </c>
      <c r="J271" s="63" t="s">
        <v>560</v>
      </c>
      <c r="K271" s="63"/>
      <c r="L271" s="72" t="s">
        <v>203</v>
      </c>
      <c r="M271" s="63" t="s">
        <v>16</v>
      </c>
      <c r="N271" s="63"/>
      <c r="O271" s="63"/>
      <c r="P271" s="63"/>
      <c r="Q271" s="63" t="s">
        <v>383</v>
      </c>
    </row>
    <row r="272" spans="2:17" ht="19.5" hidden="1" customHeight="1" x14ac:dyDescent="0.3">
      <c r="B272" s="569" t="s">
        <v>568</v>
      </c>
      <c r="C272" s="622">
        <v>45493.28125</v>
      </c>
      <c r="D272" s="622">
        <v>45493.370833333334</v>
      </c>
      <c r="E272" s="567" t="s">
        <v>218</v>
      </c>
      <c r="F272" s="616" t="s">
        <v>377</v>
      </c>
      <c r="G272" s="62">
        <v>8473</v>
      </c>
      <c r="H272" s="569" t="s">
        <v>39</v>
      </c>
      <c r="I272" s="63" t="s">
        <v>19</v>
      </c>
      <c r="J272" s="63" t="s">
        <v>570</v>
      </c>
      <c r="K272" s="63"/>
      <c r="L272" s="72"/>
      <c r="M272" s="567" t="s">
        <v>16</v>
      </c>
      <c r="N272" s="63"/>
      <c r="O272" s="63"/>
      <c r="P272" s="63"/>
      <c r="Q272" s="63" t="s">
        <v>293</v>
      </c>
    </row>
    <row r="273" spans="2:17" ht="19.5" hidden="1" customHeight="1" x14ac:dyDescent="0.3">
      <c r="B273" s="569"/>
      <c r="C273" s="622"/>
      <c r="D273" s="622"/>
      <c r="E273" s="567"/>
      <c r="F273" s="616"/>
      <c r="G273" s="62">
        <v>12000</v>
      </c>
      <c r="H273" s="569"/>
      <c r="I273" s="63" t="s">
        <v>18</v>
      </c>
      <c r="J273" s="63" t="s">
        <v>571</v>
      </c>
      <c r="K273" s="63"/>
      <c r="L273" s="72"/>
      <c r="M273" s="567"/>
      <c r="N273" s="63"/>
      <c r="O273" s="63"/>
      <c r="P273" s="63"/>
      <c r="Q273" s="63" t="s">
        <v>293</v>
      </c>
    </row>
    <row r="274" spans="2:17" ht="19.5" hidden="1" customHeight="1" x14ac:dyDescent="0.3">
      <c r="B274" s="569"/>
      <c r="C274" s="622"/>
      <c r="D274" s="622"/>
      <c r="E274" s="567"/>
      <c r="F274" s="616"/>
      <c r="G274" s="62">
        <v>20000</v>
      </c>
      <c r="H274" s="569"/>
      <c r="I274" s="63" t="s">
        <v>9</v>
      </c>
      <c r="J274" s="63" t="s">
        <v>595</v>
      </c>
      <c r="K274" s="63"/>
      <c r="L274" s="72"/>
      <c r="M274" s="567"/>
      <c r="N274" s="63"/>
      <c r="O274" s="63"/>
      <c r="P274" s="63"/>
      <c r="Q274" s="63" t="s">
        <v>293</v>
      </c>
    </row>
    <row r="275" spans="2:17" ht="20.25" hidden="1" customHeight="1" x14ac:dyDescent="0.3">
      <c r="B275" s="569" t="s">
        <v>376</v>
      </c>
      <c r="C275" s="622">
        <v>45493.5</v>
      </c>
      <c r="D275" s="622">
        <v>45494.05</v>
      </c>
      <c r="E275" s="567" t="s">
        <v>166</v>
      </c>
      <c r="F275" s="616" t="s">
        <v>385</v>
      </c>
      <c r="G275" s="62">
        <v>50000</v>
      </c>
      <c r="H275" s="104" t="s">
        <v>13</v>
      </c>
      <c r="I275" s="63" t="s">
        <v>11</v>
      </c>
      <c r="J275" s="63" t="s">
        <v>43</v>
      </c>
      <c r="K275" s="63"/>
      <c r="L275" s="160"/>
      <c r="M275" s="63"/>
      <c r="N275" s="63"/>
      <c r="O275" s="63"/>
      <c r="P275" s="63"/>
      <c r="Q275" s="63" t="s">
        <v>383</v>
      </c>
    </row>
    <row r="276" spans="2:17" ht="19.5" hidden="1" customHeight="1" x14ac:dyDescent="0.3">
      <c r="B276" s="569"/>
      <c r="C276" s="622"/>
      <c r="D276" s="622"/>
      <c r="E276" s="567"/>
      <c r="F276" s="616"/>
      <c r="G276" s="62">
        <v>24000</v>
      </c>
      <c r="H276" s="104" t="s">
        <v>13</v>
      </c>
      <c r="I276" s="63" t="s">
        <v>17</v>
      </c>
      <c r="J276" s="63" t="s">
        <v>25</v>
      </c>
      <c r="K276" s="63"/>
      <c r="L276" s="160"/>
      <c r="M276" s="63"/>
      <c r="N276" s="63"/>
      <c r="O276" s="63"/>
      <c r="P276" s="63"/>
      <c r="Q276" s="63" t="s">
        <v>383</v>
      </c>
    </row>
    <row r="277" spans="2:17" ht="24" hidden="1" customHeight="1" x14ac:dyDescent="0.3">
      <c r="B277" s="104" t="s">
        <v>569</v>
      </c>
      <c r="C277" s="76">
        <v>45497.291666666664</v>
      </c>
      <c r="D277" s="76">
        <v>45497.354166666664</v>
      </c>
      <c r="E277" s="63" t="s">
        <v>166</v>
      </c>
      <c r="F277" s="106" t="s">
        <v>385</v>
      </c>
      <c r="G277" s="62">
        <v>22000</v>
      </c>
      <c r="H277" s="104" t="s">
        <v>41</v>
      </c>
      <c r="I277" s="63" t="s">
        <v>11</v>
      </c>
      <c r="J277" s="63" t="s">
        <v>572</v>
      </c>
      <c r="K277" s="63"/>
      <c r="L277" s="72" t="s">
        <v>200</v>
      </c>
      <c r="M277" s="63" t="s">
        <v>16</v>
      </c>
      <c r="N277" s="63"/>
      <c r="O277" s="63"/>
      <c r="P277" s="63"/>
      <c r="Q277" s="63" t="s">
        <v>383</v>
      </c>
    </row>
    <row r="278" spans="2:17" ht="24" hidden="1" customHeight="1" x14ac:dyDescent="0.3">
      <c r="B278" s="104" t="s">
        <v>606</v>
      </c>
      <c r="C278" s="76">
        <v>45513.625</v>
      </c>
      <c r="D278" s="76">
        <v>45519.3125</v>
      </c>
      <c r="E278" s="63" t="s">
        <v>218</v>
      </c>
      <c r="F278" s="106" t="s">
        <v>377</v>
      </c>
      <c r="G278" s="62">
        <v>55000</v>
      </c>
      <c r="H278" s="104" t="s">
        <v>241</v>
      </c>
      <c r="I278" s="63" t="s">
        <v>18</v>
      </c>
      <c r="J278" s="63" t="s">
        <v>613</v>
      </c>
      <c r="K278" s="63"/>
      <c r="L278" s="72" t="s">
        <v>608</v>
      </c>
      <c r="M278" s="63" t="s">
        <v>16</v>
      </c>
      <c r="N278" s="63"/>
      <c r="O278" s="63"/>
      <c r="P278" s="63"/>
      <c r="Q278" s="63" t="s">
        <v>293</v>
      </c>
    </row>
    <row r="279" spans="2:17" ht="24" hidden="1" customHeight="1" x14ac:dyDescent="0.3">
      <c r="B279" s="569" t="s">
        <v>65</v>
      </c>
      <c r="C279" s="622">
        <v>45523.25</v>
      </c>
      <c r="D279" s="622">
        <v>45526.416666666664</v>
      </c>
      <c r="E279" s="567" t="s">
        <v>166</v>
      </c>
      <c r="F279" s="616" t="s">
        <v>385</v>
      </c>
      <c r="G279" s="62">
        <v>53000</v>
      </c>
      <c r="H279" s="104" t="s">
        <v>13</v>
      </c>
      <c r="I279" s="63" t="s">
        <v>17</v>
      </c>
      <c r="J279" s="63" t="s">
        <v>433</v>
      </c>
      <c r="K279" s="63"/>
      <c r="L279" s="72"/>
      <c r="M279" s="63"/>
      <c r="N279" s="63"/>
      <c r="O279" s="63"/>
      <c r="P279" s="63"/>
      <c r="Q279" s="63" t="s">
        <v>383</v>
      </c>
    </row>
    <row r="280" spans="2:17" ht="24" hidden="1" customHeight="1" x14ac:dyDescent="0.3">
      <c r="B280" s="569"/>
      <c r="C280" s="622"/>
      <c r="D280" s="622"/>
      <c r="E280" s="567"/>
      <c r="F280" s="616"/>
      <c r="G280" s="62">
        <v>24000</v>
      </c>
      <c r="H280" s="104" t="s">
        <v>13</v>
      </c>
      <c r="I280" s="63" t="s">
        <v>11</v>
      </c>
      <c r="J280" s="63" t="s">
        <v>639</v>
      </c>
      <c r="K280" s="63"/>
      <c r="L280" s="72"/>
      <c r="M280" s="63"/>
      <c r="N280" s="63"/>
      <c r="O280" s="63"/>
      <c r="P280" s="63"/>
      <c r="Q280" s="63" t="s">
        <v>383</v>
      </c>
    </row>
    <row r="281" spans="2:17" ht="24" hidden="1" customHeight="1" x14ac:dyDescent="0.3">
      <c r="B281" s="569" t="s">
        <v>637</v>
      </c>
      <c r="C281" s="622">
        <v>45529.666666666664</v>
      </c>
      <c r="D281" s="622">
        <v>45531.75</v>
      </c>
      <c r="E281" s="567" t="s">
        <v>166</v>
      </c>
      <c r="F281" s="616" t="s">
        <v>382</v>
      </c>
      <c r="G281" s="62">
        <v>28000</v>
      </c>
      <c r="H281" s="104" t="s">
        <v>94</v>
      </c>
      <c r="I281" s="63" t="s">
        <v>11</v>
      </c>
      <c r="J281" s="63" t="s">
        <v>647</v>
      </c>
      <c r="K281" s="63"/>
      <c r="L281" s="72"/>
      <c r="M281" s="63"/>
      <c r="N281" s="63"/>
      <c r="O281" s="63"/>
      <c r="P281" s="63"/>
      <c r="Q281" s="63" t="s">
        <v>383</v>
      </c>
    </row>
    <row r="282" spans="2:17" ht="16.5" hidden="1" customHeight="1" x14ac:dyDescent="0.3">
      <c r="B282" s="569"/>
      <c r="C282" s="622"/>
      <c r="D282" s="622"/>
      <c r="E282" s="567"/>
      <c r="F282" s="616"/>
      <c r="G282" s="62">
        <v>47000</v>
      </c>
      <c r="H282" s="104" t="s">
        <v>94</v>
      </c>
      <c r="I282" s="63" t="s">
        <v>17</v>
      </c>
      <c r="J282" s="63" t="s">
        <v>430</v>
      </c>
      <c r="K282" s="63"/>
      <c r="L282" s="72"/>
      <c r="M282" s="63"/>
      <c r="N282" s="63"/>
      <c r="O282" s="63"/>
      <c r="P282" s="63"/>
      <c r="Q282" s="63" t="s">
        <v>383</v>
      </c>
    </row>
    <row r="283" spans="2:17" ht="16.5" hidden="1" customHeight="1" x14ac:dyDescent="0.3">
      <c r="B283" s="101" t="s">
        <v>636</v>
      </c>
      <c r="C283" s="27">
        <v>45534.625</v>
      </c>
      <c r="D283" s="27">
        <v>45534.75</v>
      </c>
      <c r="E283" s="100" t="s">
        <v>166</v>
      </c>
      <c r="F283" s="68" t="s">
        <v>385</v>
      </c>
      <c r="G283" s="43">
        <v>70060</v>
      </c>
      <c r="H283" s="101" t="s">
        <v>20</v>
      </c>
      <c r="I283" s="100" t="s">
        <v>11</v>
      </c>
      <c r="J283" s="100" t="s">
        <v>658</v>
      </c>
      <c r="K283" s="100"/>
      <c r="L283" s="28"/>
      <c r="M283" s="100"/>
      <c r="N283" s="100"/>
      <c r="O283" s="100"/>
      <c r="P283" s="100"/>
      <c r="Q283" s="100" t="s">
        <v>383</v>
      </c>
    </row>
    <row r="284" spans="2:17" ht="16.5" hidden="1" customHeight="1" x14ac:dyDescent="0.3">
      <c r="B284" s="104" t="s">
        <v>635</v>
      </c>
      <c r="C284" s="76">
        <v>45537.833333333336</v>
      </c>
      <c r="D284" s="76">
        <v>45539.666666666664</v>
      </c>
      <c r="E284" s="63" t="s">
        <v>166</v>
      </c>
      <c r="F284" s="106" t="s">
        <v>385</v>
      </c>
      <c r="G284" s="62">
        <v>22000</v>
      </c>
      <c r="H284" s="104" t="s">
        <v>41</v>
      </c>
      <c r="I284" s="63" t="s">
        <v>11</v>
      </c>
      <c r="J284" s="63" t="s">
        <v>95</v>
      </c>
      <c r="K284" s="63"/>
      <c r="L284" s="72" t="s">
        <v>200</v>
      </c>
      <c r="M284" s="63" t="s">
        <v>16</v>
      </c>
      <c r="N284" s="63"/>
      <c r="O284" s="63"/>
      <c r="P284" s="63"/>
      <c r="Q284" s="63" t="s">
        <v>383</v>
      </c>
    </row>
    <row r="285" spans="2:17" ht="16.5" hidden="1" customHeight="1" x14ac:dyDescent="0.3">
      <c r="B285" s="104" t="s">
        <v>635</v>
      </c>
      <c r="C285" s="76">
        <v>45537.833333333336</v>
      </c>
      <c r="D285" s="76">
        <v>45539.666666666664</v>
      </c>
      <c r="E285" s="63" t="s">
        <v>166</v>
      </c>
      <c r="F285" s="106" t="s">
        <v>385</v>
      </c>
      <c r="G285" s="62">
        <v>22000</v>
      </c>
      <c r="H285" s="104" t="s">
        <v>41</v>
      </c>
      <c r="I285" s="63" t="s">
        <v>11</v>
      </c>
      <c r="J285" s="63" t="s">
        <v>95</v>
      </c>
      <c r="K285" s="63"/>
      <c r="L285" s="72" t="s">
        <v>200</v>
      </c>
      <c r="M285" s="63" t="s">
        <v>16</v>
      </c>
      <c r="N285" s="63"/>
      <c r="O285" s="63"/>
      <c r="P285" s="63"/>
      <c r="Q285" s="63" t="s">
        <v>383</v>
      </c>
    </row>
    <row r="286" spans="2:17" ht="16.5" hidden="1" customHeight="1" x14ac:dyDescent="0.3">
      <c r="B286" s="104" t="s">
        <v>669</v>
      </c>
      <c r="C286" s="76">
        <v>45559.82916666667</v>
      </c>
      <c r="D286" s="76">
        <v>45559.908333333333</v>
      </c>
      <c r="E286" s="63" t="s">
        <v>166</v>
      </c>
      <c r="F286" s="106" t="s">
        <v>670</v>
      </c>
      <c r="G286" s="62">
        <v>55000</v>
      </c>
      <c r="H286" s="104" t="s">
        <v>39</v>
      </c>
      <c r="I286" s="63" t="s">
        <v>11</v>
      </c>
      <c r="J286" s="63" t="s">
        <v>676</v>
      </c>
      <c r="K286" s="63"/>
      <c r="L286" s="72"/>
      <c r="M286" s="63"/>
      <c r="N286" s="63"/>
      <c r="O286" s="63"/>
      <c r="P286" s="63"/>
      <c r="Q286" s="63" t="s">
        <v>383</v>
      </c>
    </row>
    <row r="287" spans="2:17" ht="16.5" hidden="1" customHeight="1" x14ac:dyDescent="0.3">
      <c r="B287" s="569" t="s">
        <v>65</v>
      </c>
      <c r="C287" s="622">
        <v>45560.5</v>
      </c>
      <c r="D287" s="622">
        <v>45562.333333333336</v>
      </c>
      <c r="E287" s="567" t="s">
        <v>166</v>
      </c>
      <c r="F287" s="616" t="s">
        <v>385</v>
      </c>
      <c r="G287" s="62">
        <v>32000</v>
      </c>
      <c r="H287" s="569" t="s">
        <v>13</v>
      </c>
      <c r="I287" s="63" t="s">
        <v>17</v>
      </c>
      <c r="J287" s="63" t="s">
        <v>681</v>
      </c>
      <c r="K287" s="63"/>
      <c r="L287" s="72"/>
      <c r="M287" s="63"/>
      <c r="N287" s="63"/>
      <c r="O287" s="63"/>
      <c r="P287" s="63"/>
      <c r="Q287" s="63" t="s">
        <v>383</v>
      </c>
    </row>
    <row r="288" spans="2:17" ht="16.5" hidden="1" customHeight="1" x14ac:dyDescent="0.3">
      <c r="B288" s="569"/>
      <c r="C288" s="622"/>
      <c r="D288" s="622"/>
      <c r="E288" s="567"/>
      <c r="F288" s="616"/>
      <c r="G288" s="62">
        <v>45000</v>
      </c>
      <c r="H288" s="569"/>
      <c r="I288" s="63" t="s">
        <v>11</v>
      </c>
      <c r="J288" s="63" t="s">
        <v>237</v>
      </c>
      <c r="K288" s="63"/>
      <c r="L288" s="72"/>
      <c r="M288" s="63"/>
      <c r="N288" s="63"/>
      <c r="O288" s="63"/>
      <c r="P288" s="63"/>
      <c r="Q288" s="63" t="s">
        <v>383</v>
      </c>
    </row>
    <row r="289" spans="2:17" ht="16.5" hidden="1" customHeight="1" x14ac:dyDescent="0.3">
      <c r="B289" s="569" t="s">
        <v>682</v>
      </c>
      <c r="C289" s="622">
        <v>45568.279166666667</v>
      </c>
      <c r="D289" s="622">
        <v>45568.362500000003</v>
      </c>
      <c r="E289" s="567" t="s">
        <v>166</v>
      </c>
      <c r="F289" s="616" t="s">
        <v>385</v>
      </c>
      <c r="G289" s="62">
        <v>17000</v>
      </c>
      <c r="H289" s="569" t="s">
        <v>20</v>
      </c>
      <c r="I289" s="63" t="s">
        <v>11</v>
      </c>
      <c r="J289" s="63" t="s">
        <v>369</v>
      </c>
      <c r="K289" s="63"/>
      <c r="L289" s="72"/>
      <c r="M289" s="63"/>
      <c r="N289" s="63"/>
      <c r="O289" s="63"/>
      <c r="P289" s="63"/>
      <c r="Q289" s="63" t="s">
        <v>383</v>
      </c>
    </row>
    <row r="290" spans="2:17" ht="16.5" hidden="1" customHeight="1" x14ac:dyDescent="0.3">
      <c r="B290" s="569"/>
      <c r="C290" s="622"/>
      <c r="D290" s="622"/>
      <c r="E290" s="567"/>
      <c r="F290" s="616"/>
      <c r="G290" s="62">
        <v>60000</v>
      </c>
      <c r="H290" s="569"/>
      <c r="I290" s="63" t="s">
        <v>17</v>
      </c>
      <c r="J290" s="63" t="s">
        <v>687</v>
      </c>
      <c r="K290" s="63"/>
      <c r="L290" s="72"/>
      <c r="M290" s="63"/>
      <c r="N290" s="63"/>
      <c r="O290" s="63"/>
      <c r="P290" s="63"/>
      <c r="Q290" s="63" t="s">
        <v>383</v>
      </c>
    </row>
    <row r="291" spans="2:17" ht="16.5" hidden="1" customHeight="1" x14ac:dyDescent="0.3">
      <c r="B291" s="101" t="s">
        <v>689</v>
      </c>
      <c r="C291" s="173">
        <v>45574.375</v>
      </c>
      <c r="D291" s="173">
        <v>45574.416666666664</v>
      </c>
      <c r="E291" s="100" t="s">
        <v>166</v>
      </c>
      <c r="F291" s="68" t="s">
        <v>385</v>
      </c>
      <c r="G291" s="43">
        <v>18300</v>
      </c>
      <c r="H291" s="101" t="s">
        <v>41</v>
      </c>
      <c r="I291" s="100" t="s">
        <v>11</v>
      </c>
      <c r="J291" s="120" t="s">
        <v>695</v>
      </c>
      <c r="K291" s="100"/>
      <c r="L291" s="174" t="s">
        <v>200</v>
      </c>
      <c r="M291" s="100" t="s">
        <v>16</v>
      </c>
      <c r="N291" s="100"/>
      <c r="O291" s="100"/>
      <c r="P291" s="100"/>
      <c r="Q291" s="100" t="s">
        <v>383</v>
      </c>
    </row>
    <row r="292" spans="2:17" ht="16.5" hidden="1" customHeight="1" x14ac:dyDescent="0.3">
      <c r="B292" s="101" t="s">
        <v>683</v>
      </c>
      <c r="C292" s="173">
        <v>45571.833333333336</v>
      </c>
      <c r="D292" s="173">
        <v>45575.375</v>
      </c>
      <c r="E292" s="100" t="s">
        <v>166</v>
      </c>
      <c r="F292" s="68" t="s">
        <v>385</v>
      </c>
      <c r="G292" s="119">
        <v>74000</v>
      </c>
      <c r="H292" s="101" t="s">
        <v>94</v>
      </c>
      <c r="I292" s="100" t="s">
        <v>11</v>
      </c>
      <c r="J292" s="120" t="s">
        <v>696</v>
      </c>
      <c r="K292" s="100"/>
      <c r="L292" s="174"/>
      <c r="M292" s="100"/>
      <c r="N292" s="100"/>
      <c r="O292" s="100"/>
      <c r="P292" s="100"/>
      <c r="Q292" s="100" t="s">
        <v>383</v>
      </c>
    </row>
    <row r="293" spans="2:17" ht="16.5" hidden="1" customHeight="1" x14ac:dyDescent="0.3">
      <c r="B293" s="104" t="s">
        <v>697</v>
      </c>
      <c r="C293" s="190">
        <v>45594.083333333336</v>
      </c>
      <c r="D293" s="190">
        <v>45594.166666666664</v>
      </c>
      <c r="E293" s="63" t="s">
        <v>166</v>
      </c>
      <c r="F293" s="106" t="s">
        <v>382</v>
      </c>
      <c r="G293" s="62">
        <v>17000</v>
      </c>
      <c r="H293" s="104" t="s">
        <v>94</v>
      </c>
      <c r="I293" s="63" t="s">
        <v>11</v>
      </c>
      <c r="J293" s="63" t="s">
        <v>330</v>
      </c>
      <c r="K293" s="63"/>
      <c r="L293" s="111"/>
      <c r="M293" s="63"/>
      <c r="N293" s="63"/>
      <c r="O293" s="63"/>
      <c r="P293" s="63"/>
      <c r="Q293" s="63" t="s">
        <v>383</v>
      </c>
    </row>
    <row r="294" spans="2:17" ht="16.5" hidden="1" customHeight="1" x14ac:dyDescent="0.3">
      <c r="B294" s="104" t="s">
        <v>714</v>
      </c>
      <c r="C294" s="190">
        <v>45596.333333333336</v>
      </c>
      <c r="D294" s="190">
        <v>45599.25</v>
      </c>
      <c r="E294" s="63" t="s">
        <v>166</v>
      </c>
      <c r="F294" s="106" t="s">
        <v>382</v>
      </c>
      <c r="G294" s="62">
        <v>33000</v>
      </c>
      <c r="H294" s="104" t="s">
        <v>94</v>
      </c>
      <c r="I294" s="63" t="s">
        <v>17</v>
      </c>
      <c r="J294" s="63" t="s">
        <v>720</v>
      </c>
      <c r="K294" s="63"/>
      <c r="L294" s="111"/>
      <c r="M294" s="63"/>
      <c r="N294" s="63"/>
      <c r="O294" s="63"/>
      <c r="P294" s="63"/>
      <c r="Q294" s="63" t="s">
        <v>383</v>
      </c>
    </row>
    <row r="295" spans="2:17" ht="16.5" hidden="1" customHeight="1" x14ac:dyDescent="0.3">
      <c r="B295" s="104" t="s">
        <v>717</v>
      </c>
      <c r="C295" s="190">
        <v>45604.595833333333</v>
      </c>
      <c r="D295" s="190">
        <v>45608.633333333331</v>
      </c>
      <c r="E295" s="63" t="s">
        <v>166</v>
      </c>
      <c r="F295" s="106" t="s">
        <v>718</v>
      </c>
      <c r="G295" s="62">
        <v>48843</v>
      </c>
      <c r="H295" s="104" t="s">
        <v>122</v>
      </c>
      <c r="I295" s="63" t="s">
        <v>11</v>
      </c>
      <c r="J295" s="63" t="s">
        <v>731</v>
      </c>
      <c r="K295" s="63"/>
      <c r="L295" s="111"/>
      <c r="M295" s="63"/>
      <c r="N295" s="63"/>
      <c r="O295" s="63" t="s">
        <v>315</v>
      </c>
      <c r="P295" s="63"/>
      <c r="Q295" s="63" t="s">
        <v>383</v>
      </c>
    </row>
    <row r="296" spans="2:17" ht="16.5" hidden="1" customHeight="1" x14ac:dyDescent="0.3">
      <c r="B296" s="566" t="s">
        <v>723</v>
      </c>
      <c r="C296" s="617">
        <v>45607.958333333336</v>
      </c>
      <c r="D296" s="617">
        <v>45610.604166666664</v>
      </c>
      <c r="E296" s="565" t="s">
        <v>166</v>
      </c>
      <c r="F296" s="618" t="s">
        <v>385</v>
      </c>
      <c r="G296" s="43">
        <v>12000</v>
      </c>
      <c r="H296" s="566" t="s">
        <v>41</v>
      </c>
      <c r="I296" s="100" t="s">
        <v>11</v>
      </c>
      <c r="J296" s="100" t="s">
        <v>734</v>
      </c>
      <c r="K296" s="100"/>
      <c r="L296" s="571" t="s">
        <v>732</v>
      </c>
      <c r="M296" s="565" t="s">
        <v>16</v>
      </c>
      <c r="N296" s="100"/>
      <c r="O296" s="100"/>
      <c r="P296" s="100"/>
      <c r="Q296" s="100" t="s">
        <v>383</v>
      </c>
    </row>
    <row r="297" spans="2:17" ht="16.5" hidden="1" customHeight="1" x14ac:dyDescent="0.3">
      <c r="B297" s="566"/>
      <c r="C297" s="617"/>
      <c r="D297" s="617"/>
      <c r="E297" s="565"/>
      <c r="F297" s="618"/>
      <c r="G297" s="43">
        <v>10000</v>
      </c>
      <c r="H297" s="566"/>
      <c r="I297" s="100" t="s">
        <v>17</v>
      </c>
      <c r="J297" s="100" t="s">
        <v>735</v>
      </c>
      <c r="K297" s="100"/>
      <c r="L297" s="571"/>
      <c r="M297" s="565"/>
      <c r="N297" s="100"/>
      <c r="O297" s="100"/>
      <c r="P297" s="100"/>
      <c r="Q297" s="100" t="s">
        <v>383</v>
      </c>
    </row>
    <row r="298" spans="2:17" ht="16.5" hidden="1" customHeight="1" x14ac:dyDescent="0.3">
      <c r="B298" s="104" t="s">
        <v>722</v>
      </c>
      <c r="C298" s="190">
        <v>45609</v>
      </c>
      <c r="D298" s="190">
        <v>45611.541666666664</v>
      </c>
      <c r="E298" s="63" t="s">
        <v>166</v>
      </c>
      <c r="F298" s="106" t="s">
        <v>385</v>
      </c>
      <c r="G298" s="62">
        <v>77000</v>
      </c>
      <c r="H298" s="104" t="s">
        <v>13</v>
      </c>
      <c r="I298" s="63" t="s">
        <v>17</v>
      </c>
      <c r="J298" s="63" t="s">
        <v>696</v>
      </c>
      <c r="K298" s="63"/>
      <c r="L298" s="111"/>
      <c r="M298" s="63"/>
      <c r="N298" s="63"/>
      <c r="O298" s="63"/>
      <c r="P298" s="63"/>
      <c r="Q298" s="63" t="s">
        <v>383</v>
      </c>
    </row>
    <row r="299" spans="2:17" ht="16.5" hidden="1" customHeight="1" x14ac:dyDescent="0.3">
      <c r="B299" s="104" t="s">
        <v>724</v>
      </c>
      <c r="C299" s="190">
        <v>45617.783333333333</v>
      </c>
      <c r="D299" s="190">
        <v>45619.55</v>
      </c>
      <c r="E299" s="63" t="s">
        <v>166</v>
      </c>
      <c r="F299" s="106" t="s">
        <v>377</v>
      </c>
      <c r="G299" s="62">
        <v>55000</v>
      </c>
      <c r="H299" s="104" t="s">
        <v>224</v>
      </c>
      <c r="I299" s="63" t="s">
        <v>11</v>
      </c>
      <c r="J299" s="63" t="s">
        <v>749</v>
      </c>
      <c r="K299" s="63"/>
      <c r="L299" s="111"/>
      <c r="M299" s="63" t="s">
        <v>16</v>
      </c>
      <c r="N299" s="63"/>
      <c r="O299" s="63"/>
      <c r="P299" s="63"/>
      <c r="Q299" s="63" t="s">
        <v>383</v>
      </c>
    </row>
    <row r="300" spans="2:17" ht="16.5" hidden="1" customHeight="1" x14ac:dyDescent="0.3">
      <c r="B300" s="569" t="s">
        <v>169</v>
      </c>
      <c r="C300" s="615">
        <v>45630.291666666664</v>
      </c>
      <c r="D300" s="615">
        <v>45632.322916666664</v>
      </c>
      <c r="E300" s="567" t="s">
        <v>166</v>
      </c>
      <c r="F300" s="616" t="s">
        <v>385</v>
      </c>
      <c r="G300" s="62">
        <v>24104</v>
      </c>
      <c r="H300" s="569" t="s">
        <v>13</v>
      </c>
      <c r="I300" s="63" t="s">
        <v>17</v>
      </c>
      <c r="J300" s="63" t="s">
        <v>398</v>
      </c>
      <c r="K300" s="63"/>
      <c r="L300" s="111"/>
      <c r="M300" s="63"/>
      <c r="N300" s="63"/>
      <c r="O300" s="63"/>
      <c r="P300" s="63"/>
      <c r="Q300" s="63" t="s">
        <v>383</v>
      </c>
    </row>
    <row r="301" spans="2:17" ht="16.5" hidden="1" customHeight="1" x14ac:dyDescent="0.3">
      <c r="B301" s="569"/>
      <c r="C301" s="615"/>
      <c r="D301" s="615"/>
      <c r="E301" s="567"/>
      <c r="F301" s="616"/>
      <c r="G301" s="62">
        <f>76104-G300</f>
        <v>52000</v>
      </c>
      <c r="H301" s="569"/>
      <c r="I301" s="63" t="s">
        <v>11</v>
      </c>
      <c r="J301" s="63" t="s">
        <v>766</v>
      </c>
      <c r="K301" s="63"/>
      <c r="L301" s="111"/>
      <c r="M301" s="63"/>
      <c r="N301" s="63"/>
      <c r="O301" s="63"/>
      <c r="P301" s="63"/>
      <c r="Q301" s="63" t="s">
        <v>383</v>
      </c>
    </row>
    <row r="302" spans="2:17" ht="16.5" hidden="1" customHeight="1" x14ac:dyDescent="0.3">
      <c r="B302" s="569" t="s">
        <v>738</v>
      </c>
      <c r="C302" s="615">
        <v>45630.958333333336</v>
      </c>
      <c r="D302" s="615">
        <v>45634.54583333333</v>
      </c>
      <c r="E302" s="567" t="s">
        <v>166</v>
      </c>
      <c r="F302" s="616" t="s">
        <v>385</v>
      </c>
      <c r="G302" s="62">
        <v>25000</v>
      </c>
      <c r="H302" s="569" t="s">
        <v>94</v>
      </c>
      <c r="I302" s="63" t="s">
        <v>17</v>
      </c>
      <c r="J302" s="63" t="s">
        <v>771</v>
      </c>
      <c r="K302" s="63"/>
      <c r="L302" s="111"/>
      <c r="M302" s="63"/>
      <c r="N302" s="63"/>
      <c r="O302" s="63"/>
      <c r="P302" s="63"/>
      <c r="Q302" s="63" t="s">
        <v>383</v>
      </c>
    </row>
    <row r="303" spans="2:17" ht="16.5" hidden="1" customHeight="1" x14ac:dyDescent="0.3">
      <c r="B303" s="569"/>
      <c r="C303" s="615"/>
      <c r="D303" s="615"/>
      <c r="E303" s="567"/>
      <c r="F303" s="616"/>
      <c r="G303" s="62">
        <f>73150-G302</f>
        <v>48150</v>
      </c>
      <c r="H303" s="569"/>
      <c r="I303" s="63" t="s">
        <v>11</v>
      </c>
      <c r="J303" s="63" t="s">
        <v>181</v>
      </c>
      <c r="K303" s="63"/>
      <c r="L303" s="111"/>
      <c r="M303" s="63"/>
      <c r="N303" s="63"/>
      <c r="O303" s="63"/>
      <c r="P303" s="63"/>
      <c r="Q303" s="63" t="s">
        <v>383</v>
      </c>
    </row>
    <row r="304" spans="2:17" ht="16.5" hidden="1" customHeight="1" x14ac:dyDescent="0.3">
      <c r="B304" s="569" t="s">
        <v>772</v>
      </c>
      <c r="C304" s="615">
        <v>45631.125</v>
      </c>
      <c r="D304" s="615">
        <v>45636.625</v>
      </c>
      <c r="E304" s="567" t="s">
        <v>166</v>
      </c>
      <c r="F304" s="616" t="s">
        <v>385</v>
      </c>
      <c r="G304" s="62">
        <v>14000</v>
      </c>
      <c r="H304" s="569" t="s">
        <v>39</v>
      </c>
      <c r="I304" s="63" t="s">
        <v>17</v>
      </c>
      <c r="J304" s="63" t="s">
        <v>156</v>
      </c>
      <c r="K304" s="63"/>
      <c r="L304" s="111"/>
      <c r="M304" s="63"/>
      <c r="N304" s="63"/>
      <c r="O304" s="63" t="s">
        <v>315</v>
      </c>
      <c r="P304" s="63"/>
      <c r="Q304" s="63" t="s">
        <v>383</v>
      </c>
    </row>
    <row r="305" spans="2:17" ht="16.5" hidden="1" customHeight="1" x14ac:dyDescent="0.3">
      <c r="B305" s="569"/>
      <c r="C305" s="615"/>
      <c r="D305" s="615"/>
      <c r="E305" s="567"/>
      <c r="F305" s="616"/>
      <c r="G305" s="62">
        <v>30000</v>
      </c>
      <c r="H305" s="569"/>
      <c r="I305" s="63" t="s">
        <v>17</v>
      </c>
      <c r="J305" s="63" t="s">
        <v>95</v>
      </c>
      <c r="K305" s="63"/>
      <c r="L305" s="111"/>
      <c r="M305" s="63"/>
      <c r="N305" s="63"/>
      <c r="O305" s="63"/>
      <c r="P305" s="63"/>
      <c r="Q305" s="63" t="s">
        <v>383</v>
      </c>
    </row>
    <row r="306" spans="2:17" ht="16.5" hidden="1" customHeight="1" x14ac:dyDescent="0.3">
      <c r="B306" s="104" t="s">
        <v>778</v>
      </c>
      <c r="C306" s="190">
        <v>45641.958333333336</v>
      </c>
      <c r="D306" s="190">
        <v>45642.875</v>
      </c>
      <c r="E306" s="63" t="s">
        <v>166</v>
      </c>
      <c r="F306" s="106" t="s">
        <v>382</v>
      </c>
      <c r="G306" s="62">
        <v>25000</v>
      </c>
      <c r="H306" s="104" t="s">
        <v>94</v>
      </c>
      <c r="I306" s="63" t="s">
        <v>17</v>
      </c>
      <c r="J306" s="63" t="s">
        <v>249</v>
      </c>
      <c r="K306" s="63"/>
      <c r="L306" s="111" t="s">
        <v>779</v>
      </c>
      <c r="M306" s="63" t="s">
        <v>16</v>
      </c>
      <c r="N306" s="63"/>
      <c r="O306" s="63"/>
      <c r="P306" s="63"/>
      <c r="Q306" s="63" t="s">
        <v>383</v>
      </c>
    </row>
    <row r="307" spans="2:17" ht="16.5" hidden="1" customHeight="1" x14ac:dyDescent="0.3">
      <c r="B307" s="101" t="s">
        <v>788</v>
      </c>
      <c r="C307" s="173">
        <v>45645.166666666664</v>
      </c>
      <c r="D307" s="173">
        <v>45647.625</v>
      </c>
      <c r="E307" s="100" t="s">
        <v>166</v>
      </c>
      <c r="F307" s="68" t="s">
        <v>385</v>
      </c>
      <c r="G307" s="43">
        <v>22000</v>
      </c>
      <c r="H307" s="101" t="s">
        <v>41</v>
      </c>
      <c r="I307" s="100" t="s">
        <v>17</v>
      </c>
      <c r="J307" s="100" t="s">
        <v>639</v>
      </c>
      <c r="K307" s="100"/>
      <c r="L307" s="174" t="s">
        <v>200</v>
      </c>
      <c r="M307" s="100" t="s">
        <v>16</v>
      </c>
      <c r="N307" s="100"/>
      <c r="O307" s="100"/>
      <c r="P307" s="100"/>
      <c r="Q307" s="100" t="s">
        <v>383</v>
      </c>
    </row>
    <row r="308" spans="2:17" ht="16.5" hidden="1" customHeight="1" x14ac:dyDescent="0.3">
      <c r="B308" s="101" t="s">
        <v>789</v>
      </c>
      <c r="C308" s="173">
        <v>45645.666666666664</v>
      </c>
      <c r="D308" s="173">
        <v>45648.833333333336</v>
      </c>
      <c r="E308" s="100" t="s">
        <v>166</v>
      </c>
      <c r="F308" s="68" t="s">
        <v>377</v>
      </c>
      <c r="G308" s="43">
        <v>29664</v>
      </c>
      <c r="H308" s="101" t="s">
        <v>224</v>
      </c>
      <c r="I308" s="100" t="s">
        <v>17</v>
      </c>
      <c r="J308" s="100" t="s">
        <v>809</v>
      </c>
      <c r="K308" s="100"/>
      <c r="L308" s="174" t="s">
        <v>790</v>
      </c>
      <c r="M308" s="100" t="s">
        <v>16</v>
      </c>
      <c r="N308" s="100"/>
      <c r="O308" s="100"/>
      <c r="P308" s="100"/>
      <c r="Q308" s="100" t="s">
        <v>383</v>
      </c>
    </row>
    <row r="309" spans="2:17" ht="16.5" hidden="1" customHeight="1" x14ac:dyDescent="0.3">
      <c r="B309" s="569" t="s">
        <v>148</v>
      </c>
      <c r="C309" s="615">
        <v>45655.666666666664</v>
      </c>
      <c r="D309" s="615">
        <v>45657.32916666667</v>
      </c>
      <c r="E309" s="567" t="s">
        <v>166</v>
      </c>
      <c r="F309" s="616" t="s">
        <v>385</v>
      </c>
      <c r="G309" s="62">
        <v>62000</v>
      </c>
      <c r="H309" s="104" t="s">
        <v>13</v>
      </c>
      <c r="I309" s="63" t="s">
        <v>11</v>
      </c>
      <c r="J309" s="63" t="s">
        <v>825</v>
      </c>
      <c r="K309" s="63"/>
      <c r="L309" s="111"/>
      <c r="M309" s="63"/>
      <c r="N309" s="63"/>
      <c r="O309" s="63"/>
      <c r="P309" s="63"/>
      <c r="Q309" s="63" t="s">
        <v>383</v>
      </c>
    </row>
    <row r="310" spans="2:17" ht="16.5" hidden="1" customHeight="1" x14ac:dyDescent="0.3">
      <c r="B310" s="569"/>
      <c r="C310" s="615"/>
      <c r="D310" s="615"/>
      <c r="E310" s="567"/>
      <c r="F310" s="616"/>
      <c r="G310" s="62">
        <v>15000</v>
      </c>
      <c r="H310" s="104" t="s">
        <v>13</v>
      </c>
      <c r="I310" s="63" t="s">
        <v>17</v>
      </c>
      <c r="J310" s="63" t="s">
        <v>826</v>
      </c>
      <c r="K310" s="63"/>
      <c r="L310" s="111"/>
      <c r="M310" s="63"/>
      <c r="N310" s="63"/>
      <c r="O310" s="63"/>
      <c r="P310" s="63"/>
      <c r="Q310" s="63" t="s">
        <v>383</v>
      </c>
    </row>
    <row r="311" spans="2:17" ht="16.5" hidden="1" customHeight="1" x14ac:dyDescent="0.3">
      <c r="B311" s="101" t="s">
        <v>814</v>
      </c>
      <c r="C311" s="173">
        <v>45660.375</v>
      </c>
      <c r="D311" s="173">
        <v>45660.583333333336</v>
      </c>
      <c r="E311" s="100" t="s">
        <v>166</v>
      </c>
      <c r="F311" s="68" t="s">
        <v>382</v>
      </c>
      <c r="G311" s="43">
        <v>50150</v>
      </c>
      <c r="H311" s="101" t="s">
        <v>94</v>
      </c>
      <c r="I311" s="100" t="s">
        <v>17</v>
      </c>
      <c r="J311" s="100" t="s">
        <v>824</v>
      </c>
      <c r="K311" s="100"/>
      <c r="L311" s="174" t="s">
        <v>779</v>
      </c>
      <c r="M311" s="100" t="s">
        <v>16</v>
      </c>
      <c r="N311" s="100"/>
      <c r="O311" s="100"/>
      <c r="P311" s="100"/>
      <c r="Q311" s="100" t="s">
        <v>383</v>
      </c>
    </row>
    <row r="312" spans="2:17" ht="16.5" hidden="1" customHeight="1" x14ac:dyDescent="0.3">
      <c r="B312" s="569" t="s">
        <v>169</v>
      </c>
      <c r="C312" s="615">
        <v>45294.375</v>
      </c>
      <c r="D312" s="615">
        <v>45668.75</v>
      </c>
      <c r="E312" s="567" t="s">
        <v>166</v>
      </c>
      <c r="F312" s="616" t="s">
        <v>385</v>
      </c>
      <c r="G312" s="62">
        <v>58000</v>
      </c>
      <c r="H312" s="104" t="s">
        <v>13</v>
      </c>
      <c r="I312" s="63" t="s">
        <v>17</v>
      </c>
      <c r="J312" s="63" t="s">
        <v>687</v>
      </c>
      <c r="K312" s="63"/>
      <c r="L312" s="111"/>
      <c r="M312" s="63"/>
      <c r="N312" s="63"/>
      <c r="O312" s="63"/>
      <c r="P312" s="63"/>
      <c r="Q312" s="63" t="s">
        <v>383</v>
      </c>
    </row>
    <row r="313" spans="2:17" ht="16.5" hidden="1" customHeight="1" x14ac:dyDescent="0.3">
      <c r="B313" s="569"/>
      <c r="C313" s="615"/>
      <c r="D313" s="615"/>
      <c r="E313" s="567"/>
      <c r="F313" s="616"/>
      <c r="G313" s="62">
        <f>75183-G312</f>
        <v>17183</v>
      </c>
      <c r="H313" s="104" t="s">
        <v>13</v>
      </c>
      <c r="I313" s="63" t="s">
        <v>11</v>
      </c>
      <c r="J313" s="63" t="s">
        <v>833</v>
      </c>
      <c r="K313" s="63"/>
      <c r="L313" s="111"/>
      <c r="M313" s="63"/>
      <c r="N313" s="63"/>
      <c r="O313" s="63"/>
      <c r="P313" s="63"/>
      <c r="Q313" s="63" t="s">
        <v>383</v>
      </c>
    </row>
    <row r="314" spans="2:17" ht="16.5" hidden="1" customHeight="1" x14ac:dyDescent="0.3">
      <c r="B314" s="101" t="s">
        <v>845</v>
      </c>
      <c r="C314" s="173">
        <v>45682.791666666664</v>
      </c>
      <c r="D314" s="173">
        <v>45682.833333333336</v>
      </c>
      <c r="E314" s="100" t="s">
        <v>166</v>
      </c>
      <c r="F314" s="68" t="s">
        <v>14</v>
      </c>
      <c r="G314" s="43">
        <v>30000</v>
      </c>
      <c r="H314" s="101" t="s">
        <v>13</v>
      </c>
      <c r="I314" s="100" t="s">
        <v>11</v>
      </c>
      <c r="J314" s="100" t="s">
        <v>403</v>
      </c>
      <c r="K314" s="100"/>
      <c r="L314" s="174" t="s">
        <v>854</v>
      </c>
      <c r="M314" s="100" t="s">
        <v>16</v>
      </c>
      <c r="N314" s="100"/>
      <c r="O314" s="100"/>
      <c r="P314" s="100"/>
      <c r="Q314" s="100"/>
    </row>
    <row r="315" spans="2:17" ht="16.5" hidden="1" customHeight="1" x14ac:dyDescent="0.3">
      <c r="B315" s="104" t="s">
        <v>814</v>
      </c>
      <c r="C315" s="190">
        <v>45704.958333333336</v>
      </c>
      <c r="D315" s="190">
        <v>45705.041666666664</v>
      </c>
      <c r="E315" s="63" t="s">
        <v>166</v>
      </c>
      <c r="F315" s="106" t="s">
        <v>14</v>
      </c>
      <c r="G315" s="62">
        <v>20000</v>
      </c>
      <c r="H315" s="104" t="s">
        <v>41</v>
      </c>
      <c r="I315" s="63" t="s">
        <v>17</v>
      </c>
      <c r="J315" s="63" t="s">
        <v>882</v>
      </c>
      <c r="K315" s="63"/>
      <c r="L315" s="111" t="s">
        <v>200</v>
      </c>
      <c r="M315" s="63" t="s">
        <v>16</v>
      </c>
      <c r="N315" s="63"/>
      <c r="O315" s="63"/>
      <c r="P315" s="63"/>
      <c r="Q315" s="63"/>
    </row>
    <row r="316" spans="2:17" ht="16.5" hidden="1" customHeight="1" x14ac:dyDescent="0.3">
      <c r="B316" s="104" t="s">
        <v>867</v>
      </c>
      <c r="C316" s="190">
        <v>45705.425000000003</v>
      </c>
      <c r="D316" s="190">
        <v>45705.845833333333</v>
      </c>
      <c r="E316" s="63" t="s">
        <v>166</v>
      </c>
      <c r="F316" s="106" t="s">
        <v>14</v>
      </c>
      <c r="G316" s="62">
        <v>45000</v>
      </c>
      <c r="H316" s="104" t="s">
        <v>20</v>
      </c>
      <c r="I316" s="63" t="s">
        <v>17</v>
      </c>
      <c r="J316" s="63" t="s">
        <v>731</v>
      </c>
      <c r="K316" s="63"/>
      <c r="L316" s="111" t="s">
        <v>200</v>
      </c>
      <c r="M316" s="63" t="s">
        <v>16</v>
      </c>
      <c r="N316" s="63"/>
      <c r="O316" s="63"/>
      <c r="P316" s="63"/>
      <c r="Q316" s="63"/>
    </row>
    <row r="317" spans="2:17" ht="16.5" hidden="1" customHeight="1" x14ac:dyDescent="0.3">
      <c r="B317" s="104" t="s">
        <v>845</v>
      </c>
      <c r="C317" s="190">
        <v>45722.809027777781</v>
      </c>
      <c r="D317" s="190">
        <v>45722.899305555555</v>
      </c>
      <c r="E317" s="63" t="s">
        <v>166</v>
      </c>
      <c r="F317" s="106" t="s">
        <v>446</v>
      </c>
      <c r="G317" s="62">
        <v>77000</v>
      </c>
      <c r="H317" s="104" t="s">
        <v>13</v>
      </c>
      <c r="I317" s="63" t="s">
        <v>17</v>
      </c>
      <c r="J317" s="63" t="s">
        <v>898</v>
      </c>
      <c r="K317" s="63"/>
      <c r="L317" s="111"/>
      <c r="M317" s="63"/>
      <c r="N317" s="63" t="s">
        <v>897</v>
      </c>
      <c r="O317" s="63"/>
      <c r="P317" s="63"/>
      <c r="Q317" s="63"/>
    </row>
    <row r="318" spans="2:17" ht="16.5" hidden="1" customHeight="1" x14ac:dyDescent="0.3">
      <c r="B318" s="101" t="s">
        <v>895</v>
      </c>
      <c r="C318" s="173">
        <v>45730.166666666664</v>
      </c>
      <c r="D318" s="173">
        <v>45731</v>
      </c>
      <c r="E318" s="100" t="s">
        <v>166</v>
      </c>
      <c r="F318" s="68" t="s">
        <v>46</v>
      </c>
      <c r="G318" s="43">
        <v>27000</v>
      </c>
      <c r="H318" s="101" t="s">
        <v>47</v>
      </c>
      <c r="I318" s="100" t="s">
        <v>17</v>
      </c>
      <c r="J318" s="100" t="s">
        <v>35</v>
      </c>
      <c r="K318" s="100"/>
      <c r="L318" s="174"/>
      <c r="M318" s="100" t="s">
        <v>16</v>
      </c>
      <c r="N318" s="100"/>
      <c r="O318" s="100"/>
      <c r="P318" s="100"/>
      <c r="Q318" s="100"/>
    </row>
    <row r="319" spans="2:17" ht="16.5" hidden="1" customHeight="1" x14ac:dyDescent="0.3">
      <c r="B319" s="566" t="s">
        <v>891</v>
      </c>
      <c r="C319" s="617">
        <v>45736.404166666667</v>
      </c>
      <c r="D319" s="617">
        <v>45738.208333333336</v>
      </c>
      <c r="E319" s="565" t="s">
        <v>166</v>
      </c>
      <c r="F319" s="618" t="s">
        <v>446</v>
      </c>
      <c r="G319" s="43">
        <v>14500</v>
      </c>
      <c r="H319" s="566" t="s">
        <v>94</v>
      </c>
      <c r="I319" s="100" t="s">
        <v>17</v>
      </c>
      <c r="J319" s="100" t="s">
        <v>30</v>
      </c>
      <c r="K319" s="100"/>
      <c r="L319" s="174"/>
      <c r="M319" s="100"/>
      <c r="N319" s="100"/>
      <c r="O319" s="100"/>
      <c r="P319" s="100"/>
      <c r="Q319" s="100"/>
    </row>
    <row r="320" spans="2:17" ht="16.5" hidden="1" customHeight="1" x14ac:dyDescent="0.3">
      <c r="B320" s="566"/>
      <c r="C320" s="617"/>
      <c r="D320" s="617"/>
      <c r="E320" s="565"/>
      <c r="F320" s="618"/>
      <c r="G320" s="43">
        <v>62500</v>
      </c>
      <c r="H320" s="566"/>
      <c r="I320" s="100" t="s">
        <v>11</v>
      </c>
      <c r="J320" s="100" t="s">
        <v>911</v>
      </c>
      <c r="K320" s="100"/>
      <c r="L320" s="174"/>
      <c r="M320" s="100"/>
      <c r="N320" s="100"/>
      <c r="O320" s="100"/>
      <c r="P320" s="100"/>
      <c r="Q320" s="100"/>
    </row>
    <row r="321" spans="2:17" ht="16.5" hidden="1" customHeight="1" x14ac:dyDescent="0.3">
      <c r="B321" s="104" t="s">
        <v>900</v>
      </c>
      <c r="C321" s="190">
        <v>45740.066666666666</v>
      </c>
      <c r="D321" s="190">
        <v>45743.875</v>
      </c>
      <c r="E321" s="63" t="s">
        <v>166</v>
      </c>
      <c r="F321" s="106" t="s">
        <v>901</v>
      </c>
      <c r="G321" s="62">
        <v>33000</v>
      </c>
      <c r="H321" s="104" t="s">
        <v>39</v>
      </c>
      <c r="I321" s="63" t="s">
        <v>11</v>
      </c>
      <c r="J321" s="63" t="s">
        <v>349</v>
      </c>
      <c r="K321" s="63"/>
      <c r="L321" s="111"/>
      <c r="M321" s="63"/>
      <c r="N321" s="63"/>
      <c r="O321" s="63"/>
      <c r="P321" s="63"/>
      <c r="Q321" s="63"/>
    </row>
    <row r="322" spans="2:17" ht="16.5" hidden="1" customHeight="1" x14ac:dyDescent="0.3">
      <c r="B322" s="101" t="s">
        <v>910</v>
      </c>
      <c r="C322" s="173">
        <v>45747.666666666664</v>
      </c>
      <c r="D322" s="173">
        <v>45749.625</v>
      </c>
      <c r="E322" s="100" t="s">
        <v>166</v>
      </c>
      <c r="F322" s="68" t="s">
        <v>14</v>
      </c>
      <c r="G322" s="43">
        <v>20000</v>
      </c>
      <c r="H322" s="101" t="s">
        <v>41</v>
      </c>
      <c r="I322" s="100" t="s">
        <v>17</v>
      </c>
      <c r="J322" s="100" t="s">
        <v>249</v>
      </c>
      <c r="K322" s="100"/>
      <c r="L322" s="174" t="s">
        <v>200</v>
      </c>
      <c r="M322" s="100" t="s">
        <v>16</v>
      </c>
      <c r="N322" s="100"/>
      <c r="O322" s="100"/>
      <c r="P322" s="100"/>
      <c r="Q322" s="100"/>
    </row>
    <row r="323" spans="2:17" ht="16.5" hidden="1" customHeight="1" x14ac:dyDescent="0.3">
      <c r="B323" s="104" t="s">
        <v>923</v>
      </c>
      <c r="C323" s="190">
        <v>45748</v>
      </c>
      <c r="D323" s="190">
        <v>45750.270833333336</v>
      </c>
      <c r="E323" s="63" t="s">
        <v>166</v>
      </c>
      <c r="F323" s="106" t="s">
        <v>26</v>
      </c>
      <c r="G323" s="62">
        <v>50000</v>
      </c>
      <c r="H323" s="104" t="s">
        <v>94</v>
      </c>
      <c r="I323" s="63" t="s">
        <v>11</v>
      </c>
      <c r="J323" s="63" t="s">
        <v>928</v>
      </c>
      <c r="K323" s="63"/>
      <c r="L323" s="111"/>
      <c r="M323" s="63"/>
      <c r="N323" s="63"/>
      <c r="O323" s="63"/>
      <c r="P323" s="63"/>
      <c r="Q323" s="63"/>
    </row>
    <row r="324" spans="2:17" ht="16.5" hidden="1" customHeight="1" x14ac:dyDescent="0.3">
      <c r="B324" s="569" t="s">
        <v>148</v>
      </c>
      <c r="C324" s="615">
        <v>45754.666666666664</v>
      </c>
      <c r="D324" s="615">
        <v>45754.708333333336</v>
      </c>
      <c r="E324" s="567" t="s">
        <v>166</v>
      </c>
      <c r="F324" s="616" t="s">
        <v>14</v>
      </c>
      <c r="G324" s="62">
        <v>50000</v>
      </c>
      <c r="H324" s="569" t="s">
        <v>13</v>
      </c>
      <c r="I324" s="63" t="s">
        <v>17</v>
      </c>
      <c r="J324" s="63" t="s">
        <v>928</v>
      </c>
      <c r="K324" s="63"/>
      <c r="L324" s="111"/>
      <c r="M324" s="63"/>
      <c r="N324" s="63"/>
      <c r="O324" s="63"/>
      <c r="P324" s="63"/>
      <c r="Q324" s="63"/>
    </row>
    <row r="325" spans="2:17" ht="16.5" hidden="1" customHeight="1" x14ac:dyDescent="0.3">
      <c r="B325" s="569"/>
      <c r="C325" s="615"/>
      <c r="D325" s="615"/>
      <c r="E325" s="567"/>
      <c r="F325" s="616"/>
      <c r="G325" s="62">
        <v>27000</v>
      </c>
      <c r="H325" s="569"/>
      <c r="I325" s="63" t="s">
        <v>11</v>
      </c>
      <c r="J325" s="63" t="s">
        <v>440</v>
      </c>
      <c r="K325" s="63"/>
      <c r="L325" s="111"/>
      <c r="M325" s="63"/>
      <c r="N325" s="63"/>
      <c r="O325" s="63"/>
      <c r="P325" s="63"/>
      <c r="Q325" s="63"/>
    </row>
    <row r="326" spans="2:17" ht="16.5" hidden="1" customHeight="1" x14ac:dyDescent="0.3">
      <c r="B326" s="569" t="s">
        <v>931</v>
      </c>
      <c r="C326" s="615">
        <v>45764.940972222219</v>
      </c>
      <c r="D326" s="615">
        <v>45765.004166666666</v>
      </c>
      <c r="E326" s="567" t="s">
        <v>166</v>
      </c>
      <c r="F326" s="106" t="s">
        <v>38</v>
      </c>
      <c r="G326" s="62">
        <v>20000</v>
      </c>
      <c r="H326" s="569" t="s">
        <v>39</v>
      </c>
      <c r="I326" s="63" t="s">
        <v>17</v>
      </c>
      <c r="J326" s="63" t="s">
        <v>647</v>
      </c>
      <c r="K326" s="63"/>
      <c r="L326" s="111"/>
      <c r="M326" s="570" t="s">
        <v>16</v>
      </c>
      <c r="N326" s="620" t="s">
        <v>932</v>
      </c>
      <c r="O326" s="63"/>
      <c r="P326" s="63"/>
      <c r="Q326" s="63"/>
    </row>
    <row r="327" spans="2:17" ht="16.5" hidden="1" customHeight="1" x14ac:dyDescent="0.3">
      <c r="B327" s="569"/>
      <c r="C327" s="615"/>
      <c r="D327" s="615"/>
      <c r="E327" s="567"/>
      <c r="F327" s="106" t="s">
        <v>38</v>
      </c>
      <c r="G327" s="62">
        <v>20000</v>
      </c>
      <c r="H327" s="569"/>
      <c r="I327" s="63" t="s">
        <v>17</v>
      </c>
      <c r="J327" s="63" t="s">
        <v>491</v>
      </c>
      <c r="K327" s="63"/>
      <c r="L327" s="111"/>
      <c r="M327" s="570"/>
      <c r="N327" s="620"/>
      <c r="O327" s="63"/>
      <c r="P327" s="63"/>
      <c r="Q327" s="63"/>
    </row>
    <row r="328" spans="2:17" ht="17.25" hidden="1" customHeight="1" x14ac:dyDescent="0.3">
      <c r="B328" s="569" t="s">
        <v>91</v>
      </c>
      <c r="C328" s="615">
        <v>45789.694444444445</v>
      </c>
      <c r="D328" s="615">
        <v>45789.779166666667</v>
      </c>
      <c r="E328" s="567" t="s">
        <v>166</v>
      </c>
      <c r="F328" s="616" t="s">
        <v>14</v>
      </c>
      <c r="G328" s="621">
        <v>77000</v>
      </c>
      <c r="H328" s="569" t="s">
        <v>13</v>
      </c>
      <c r="I328" s="63" t="s">
        <v>17</v>
      </c>
      <c r="J328" s="63" t="s">
        <v>766</v>
      </c>
      <c r="K328" s="63"/>
      <c r="L328" s="111"/>
      <c r="M328" s="111"/>
      <c r="N328" s="294"/>
      <c r="O328" s="63"/>
      <c r="P328" s="63"/>
      <c r="Q328" s="63"/>
    </row>
    <row r="329" spans="2:17" ht="17.25" hidden="1" customHeight="1" x14ac:dyDescent="0.3">
      <c r="B329" s="569"/>
      <c r="C329" s="615"/>
      <c r="D329" s="615"/>
      <c r="E329" s="567"/>
      <c r="F329" s="616"/>
      <c r="G329" s="621"/>
      <c r="H329" s="569"/>
      <c r="I329" s="63" t="s">
        <v>11</v>
      </c>
      <c r="J329" s="63" t="s">
        <v>276</v>
      </c>
      <c r="K329" s="63"/>
      <c r="L329" s="111"/>
      <c r="M329" s="111"/>
      <c r="N329" s="294"/>
      <c r="O329" s="63"/>
      <c r="P329" s="63"/>
      <c r="Q329" s="63"/>
    </row>
    <row r="330" spans="2:17" ht="17.25" hidden="1" customHeight="1" x14ac:dyDescent="0.3">
      <c r="B330" s="104" t="s">
        <v>960</v>
      </c>
      <c r="C330" s="190">
        <v>45802.065972222219</v>
      </c>
      <c r="D330" s="190">
        <v>45802.466666666667</v>
      </c>
      <c r="E330" s="63" t="s">
        <v>166</v>
      </c>
      <c r="F330" s="106" t="s">
        <v>26</v>
      </c>
      <c r="G330" s="62">
        <v>50000</v>
      </c>
      <c r="H330" s="104" t="s">
        <v>94</v>
      </c>
      <c r="I330" s="63" t="s">
        <v>11</v>
      </c>
      <c r="J330" s="63" t="s">
        <v>928</v>
      </c>
      <c r="K330" s="63"/>
      <c r="L330" s="111"/>
      <c r="M330" s="111"/>
      <c r="N330" s="294"/>
      <c r="O330" s="63"/>
      <c r="P330" s="63"/>
      <c r="Q330" s="63"/>
    </row>
    <row r="331" spans="2:17" ht="17.25" hidden="1" customHeight="1" x14ac:dyDescent="0.3">
      <c r="B331" s="566" t="s">
        <v>982</v>
      </c>
      <c r="C331" s="617">
        <v>45809.3125</v>
      </c>
      <c r="D331" s="617" t="s">
        <v>985</v>
      </c>
      <c r="E331" s="565" t="s">
        <v>166</v>
      </c>
      <c r="F331" s="618" t="s">
        <v>38</v>
      </c>
      <c r="G331" s="619">
        <v>50000</v>
      </c>
      <c r="H331" s="566" t="s">
        <v>224</v>
      </c>
      <c r="I331" s="100" t="s">
        <v>11</v>
      </c>
      <c r="J331" s="100" t="s">
        <v>986</v>
      </c>
      <c r="K331" s="100"/>
      <c r="L331" s="174"/>
      <c r="M331" s="571" t="s">
        <v>16</v>
      </c>
      <c r="N331" s="295"/>
      <c r="O331" s="100"/>
      <c r="P331" s="100"/>
      <c r="Q331" s="100"/>
    </row>
    <row r="332" spans="2:17" ht="17.25" hidden="1" customHeight="1" x14ac:dyDescent="0.3">
      <c r="B332" s="566"/>
      <c r="C332" s="617"/>
      <c r="D332" s="617"/>
      <c r="E332" s="565"/>
      <c r="F332" s="618"/>
      <c r="G332" s="619"/>
      <c r="H332" s="566"/>
      <c r="I332" s="100" t="s">
        <v>17</v>
      </c>
      <c r="J332" s="100" t="s">
        <v>941</v>
      </c>
      <c r="K332" s="100"/>
      <c r="L332" s="174"/>
      <c r="M332" s="571"/>
      <c r="N332" s="295"/>
      <c r="O332" s="100"/>
      <c r="P332" s="100"/>
      <c r="Q332" s="100"/>
    </row>
    <row r="333" spans="2:17" ht="17.25" hidden="1" customHeight="1" x14ac:dyDescent="0.3">
      <c r="B333" s="569" t="s">
        <v>987</v>
      </c>
      <c r="C333" s="615">
        <v>45820.754166666666</v>
      </c>
      <c r="D333" s="615">
        <v>45823.6</v>
      </c>
      <c r="E333" s="567" t="s">
        <v>166</v>
      </c>
      <c r="F333" s="616" t="s">
        <v>57</v>
      </c>
      <c r="G333" s="62">
        <v>19849</v>
      </c>
      <c r="H333" s="104" t="s">
        <v>20</v>
      </c>
      <c r="I333" s="63" t="s">
        <v>11</v>
      </c>
      <c r="J333" s="63" t="s">
        <v>690</v>
      </c>
      <c r="K333" s="63"/>
      <c r="L333" s="111"/>
      <c r="M333" s="570" t="s">
        <v>16</v>
      </c>
      <c r="N333" s="294"/>
      <c r="O333" s="63"/>
      <c r="P333" s="63"/>
      <c r="Q333" s="63"/>
    </row>
    <row r="334" spans="2:17" ht="16.5" hidden="1" customHeight="1" x14ac:dyDescent="0.3">
      <c r="B334" s="569"/>
      <c r="C334" s="615"/>
      <c r="D334" s="615"/>
      <c r="E334" s="567"/>
      <c r="F334" s="616"/>
      <c r="G334" s="62">
        <v>54844</v>
      </c>
      <c r="H334" s="104" t="s">
        <v>39</v>
      </c>
      <c r="I334" s="63" t="s">
        <v>17</v>
      </c>
      <c r="J334" s="63" t="s">
        <v>988</v>
      </c>
      <c r="K334" s="63"/>
      <c r="L334" s="111"/>
      <c r="M334" s="570"/>
      <c r="N334" s="104" t="s">
        <v>997</v>
      </c>
      <c r="O334" s="63"/>
      <c r="P334" s="63"/>
      <c r="Q334" s="63"/>
    </row>
    <row r="335" spans="2:17" ht="17.25" hidden="1" customHeight="1" x14ac:dyDescent="0.3">
      <c r="B335" s="296" t="s">
        <v>65</v>
      </c>
      <c r="C335" s="297">
        <v>45835.416666666664</v>
      </c>
      <c r="D335" s="297" t="s">
        <v>1009</v>
      </c>
      <c r="E335" s="229" t="s">
        <v>166</v>
      </c>
      <c r="F335" s="298" t="s">
        <v>14</v>
      </c>
      <c r="G335" s="284">
        <v>20000</v>
      </c>
      <c r="H335" s="296" t="s">
        <v>41</v>
      </c>
      <c r="I335" s="229" t="s">
        <v>11</v>
      </c>
      <c r="J335" s="229" t="s">
        <v>1001</v>
      </c>
      <c r="K335" s="229"/>
      <c r="L335" s="230" t="s">
        <v>1000</v>
      </c>
      <c r="M335" s="230" t="s">
        <v>16</v>
      </c>
      <c r="N335" s="285"/>
      <c r="O335" s="229"/>
      <c r="P335" s="229"/>
      <c r="Q335" s="229"/>
    </row>
    <row r="336" spans="2:17" ht="19.5" hidden="1" customHeight="1" x14ac:dyDescent="0.3">
      <c r="B336" s="608" t="s">
        <v>1005</v>
      </c>
      <c r="C336" s="609">
        <v>45838.95</v>
      </c>
      <c r="D336" s="609">
        <v>45839.041666666664</v>
      </c>
      <c r="E336" s="610" t="s">
        <v>166</v>
      </c>
      <c r="F336" s="611" t="s">
        <v>14</v>
      </c>
      <c r="G336" s="614">
        <v>75000</v>
      </c>
      <c r="H336" s="608" t="s">
        <v>13</v>
      </c>
      <c r="I336" s="232" t="s">
        <v>11</v>
      </c>
      <c r="J336" s="232" t="s">
        <v>1011</v>
      </c>
      <c r="K336" s="232"/>
      <c r="L336" s="233"/>
      <c r="M336" s="233"/>
      <c r="N336" s="274"/>
      <c r="O336" s="232"/>
      <c r="P336" s="232"/>
      <c r="Q336" s="232"/>
    </row>
    <row r="337" spans="2:17" ht="19.5" hidden="1" customHeight="1" x14ac:dyDescent="0.3">
      <c r="B337" s="608"/>
      <c r="C337" s="609"/>
      <c r="D337" s="609"/>
      <c r="E337" s="610"/>
      <c r="F337" s="611"/>
      <c r="G337" s="614"/>
      <c r="H337" s="608"/>
      <c r="I337" s="232" t="s">
        <v>11</v>
      </c>
      <c r="J337" s="232" t="s">
        <v>25</v>
      </c>
      <c r="K337" s="232"/>
      <c r="L337" s="233"/>
      <c r="M337" s="233"/>
      <c r="N337" s="274"/>
      <c r="O337" s="232"/>
      <c r="P337" s="232"/>
      <c r="Q337" s="232"/>
    </row>
    <row r="338" spans="2:17" ht="17.25" hidden="1" customHeight="1" x14ac:dyDescent="0.3">
      <c r="B338" s="608"/>
      <c r="C338" s="609"/>
      <c r="D338" s="609"/>
      <c r="E338" s="610"/>
      <c r="F338" s="611"/>
      <c r="G338" s="614"/>
      <c r="H338" s="608"/>
      <c r="I338" s="232" t="s">
        <v>17</v>
      </c>
      <c r="J338" s="232" t="s">
        <v>1010</v>
      </c>
      <c r="K338" s="232"/>
      <c r="L338" s="233"/>
      <c r="M338" s="233"/>
      <c r="N338" s="274"/>
      <c r="O338" s="232"/>
      <c r="P338" s="232"/>
      <c r="Q338" s="232"/>
    </row>
    <row r="339" spans="2:17" ht="17.25" hidden="1" customHeight="1" x14ac:dyDescent="0.3">
      <c r="B339" s="261" t="s">
        <v>1002</v>
      </c>
      <c r="C339" s="262">
        <v>45842.5</v>
      </c>
      <c r="D339" s="262">
        <v>45845.308333333334</v>
      </c>
      <c r="E339" s="232" t="s">
        <v>166</v>
      </c>
      <c r="F339" s="263" t="s">
        <v>21</v>
      </c>
      <c r="G339" s="264">
        <v>30000</v>
      </c>
      <c r="H339" s="261" t="s">
        <v>122</v>
      </c>
      <c r="I339" s="232" t="s">
        <v>11</v>
      </c>
      <c r="J339" s="232" t="s">
        <v>1019</v>
      </c>
      <c r="K339" s="232"/>
      <c r="L339" s="233" t="s">
        <v>1003</v>
      </c>
      <c r="M339" s="233" t="s">
        <v>16</v>
      </c>
      <c r="N339" s="274"/>
      <c r="O339" s="232"/>
      <c r="P339" s="232"/>
      <c r="Q339" s="232" t="s">
        <v>1013</v>
      </c>
    </row>
    <row r="340" spans="2:17" ht="17.25" hidden="1" customHeight="1" x14ac:dyDescent="0.3">
      <c r="B340" s="261" t="s">
        <v>1021</v>
      </c>
      <c r="C340" s="262">
        <v>45861.479166666664</v>
      </c>
      <c r="D340" s="262">
        <v>45861.663194444445</v>
      </c>
      <c r="E340" s="232" t="s">
        <v>166</v>
      </c>
      <c r="F340" s="263" t="s">
        <v>14</v>
      </c>
      <c r="G340" s="264">
        <v>70000</v>
      </c>
      <c r="H340" s="261" t="s">
        <v>94</v>
      </c>
      <c r="I340" s="232" t="s">
        <v>11</v>
      </c>
      <c r="J340" s="232" t="s">
        <v>1026</v>
      </c>
      <c r="K340" s="232"/>
      <c r="L340" s="233"/>
      <c r="M340" s="233"/>
      <c r="N340" s="274"/>
      <c r="O340" s="232"/>
      <c r="P340" s="232"/>
      <c r="Q340" s="232"/>
    </row>
    <row r="341" spans="2:17" ht="17.25" hidden="1" x14ac:dyDescent="0.3">
      <c r="B341" s="608" t="s">
        <v>1029</v>
      </c>
      <c r="C341" s="609">
        <v>45867.666666666664</v>
      </c>
      <c r="D341" s="609" t="s">
        <v>1036</v>
      </c>
      <c r="E341" s="610" t="s">
        <v>166</v>
      </c>
      <c r="F341" s="611" t="s">
        <v>38</v>
      </c>
      <c r="G341" s="614">
        <v>46015</v>
      </c>
      <c r="H341" s="608" t="s">
        <v>39</v>
      </c>
      <c r="I341" s="232" t="s">
        <v>17</v>
      </c>
      <c r="J341" s="232" t="s">
        <v>962</v>
      </c>
      <c r="K341" s="232"/>
      <c r="L341" s="233"/>
      <c r="M341" s="233"/>
      <c r="N341" s="274"/>
      <c r="O341" s="232" t="s">
        <v>1034</v>
      </c>
      <c r="P341" s="232"/>
      <c r="Q341" s="232"/>
    </row>
    <row r="342" spans="2:17" ht="17.25" hidden="1" x14ac:dyDescent="0.3">
      <c r="B342" s="608"/>
      <c r="C342" s="609"/>
      <c r="D342" s="609"/>
      <c r="E342" s="610"/>
      <c r="F342" s="611"/>
      <c r="G342" s="614"/>
      <c r="H342" s="608"/>
      <c r="I342" s="232" t="s">
        <v>11</v>
      </c>
      <c r="J342" s="232" t="s">
        <v>962</v>
      </c>
      <c r="K342" s="232"/>
      <c r="L342" s="233"/>
      <c r="M342" s="233"/>
      <c r="N342" s="274"/>
      <c r="O342" s="232"/>
      <c r="P342" s="232"/>
      <c r="Q342" s="232"/>
    </row>
    <row r="343" spans="2:17" ht="17.25" hidden="1" customHeight="1" x14ac:dyDescent="0.3">
      <c r="B343" s="261" t="s">
        <v>1030</v>
      </c>
      <c r="C343" s="262">
        <v>45870.145833333336</v>
      </c>
      <c r="D343" s="262">
        <v>45874.15625</v>
      </c>
      <c r="E343" s="232" t="s">
        <v>166</v>
      </c>
      <c r="F343" s="263" t="s">
        <v>14</v>
      </c>
      <c r="G343" s="264">
        <v>77000</v>
      </c>
      <c r="H343" s="261" t="s">
        <v>13</v>
      </c>
      <c r="I343" s="232" t="s">
        <v>17</v>
      </c>
      <c r="J343" s="232" t="s">
        <v>1037</v>
      </c>
      <c r="K343" s="232"/>
      <c r="L343" s="233"/>
      <c r="M343" s="233"/>
      <c r="N343" s="232"/>
      <c r="O343" s="232"/>
      <c r="P343" s="232"/>
      <c r="Q343" s="265" t="s">
        <v>1041</v>
      </c>
    </row>
    <row r="344" spans="2:17" ht="17.25" hidden="1" x14ac:dyDescent="0.3">
      <c r="B344" s="261" t="s">
        <v>1031</v>
      </c>
      <c r="C344" s="262">
        <v>45871.583333333336</v>
      </c>
      <c r="D344" s="262">
        <v>45880.45416666667</v>
      </c>
      <c r="E344" s="232" t="s">
        <v>166</v>
      </c>
      <c r="F344" s="263" t="s">
        <v>14</v>
      </c>
      <c r="G344" s="264">
        <v>22000</v>
      </c>
      <c r="H344" s="261" t="s">
        <v>41</v>
      </c>
      <c r="I344" s="232" t="s">
        <v>11</v>
      </c>
      <c r="J344" s="232" t="s">
        <v>962</v>
      </c>
      <c r="K344" s="232"/>
      <c r="L344" s="233" t="s">
        <v>1000</v>
      </c>
      <c r="M344" s="233" t="s">
        <v>16</v>
      </c>
      <c r="N344" s="274"/>
      <c r="O344" s="232"/>
      <c r="P344" s="232"/>
      <c r="Q344" s="275" t="s">
        <v>1042</v>
      </c>
    </row>
    <row r="345" spans="2:17" ht="17.25" hidden="1" x14ac:dyDescent="0.3">
      <c r="B345" s="296" t="s">
        <v>1043</v>
      </c>
      <c r="C345" s="297">
        <v>45876.208333333336</v>
      </c>
      <c r="D345" s="297" t="s">
        <v>1051</v>
      </c>
      <c r="E345" s="229" t="s">
        <v>166</v>
      </c>
      <c r="F345" s="298" t="s">
        <v>14</v>
      </c>
      <c r="G345" s="284">
        <v>42354</v>
      </c>
      <c r="H345" s="296" t="s">
        <v>710</v>
      </c>
      <c r="I345" s="229" t="s">
        <v>11</v>
      </c>
      <c r="J345" s="229" t="s">
        <v>1044</v>
      </c>
      <c r="K345" s="229"/>
      <c r="L345" s="230" t="s">
        <v>1046</v>
      </c>
      <c r="M345" s="230" t="s">
        <v>16</v>
      </c>
      <c r="N345" s="285"/>
      <c r="O345" s="229"/>
      <c r="P345" s="229"/>
      <c r="Q345" s="286"/>
    </row>
    <row r="346" spans="2:17" ht="17.25" hidden="1" x14ac:dyDescent="0.3">
      <c r="B346" s="608" t="s">
        <v>1056</v>
      </c>
      <c r="C346" s="609">
        <v>45885.083333333336</v>
      </c>
      <c r="D346" s="609">
        <v>45886.6</v>
      </c>
      <c r="E346" s="610" t="s">
        <v>166</v>
      </c>
      <c r="F346" s="611" t="s">
        <v>38</v>
      </c>
      <c r="G346" s="264">
        <v>63000</v>
      </c>
      <c r="H346" s="608" t="s">
        <v>20</v>
      </c>
      <c r="I346" s="232" t="s">
        <v>17</v>
      </c>
      <c r="J346" s="232" t="s">
        <v>1061</v>
      </c>
      <c r="K346" s="232"/>
      <c r="L346" s="233"/>
      <c r="M346" s="233"/>
      <c r="N346" s="274"/>
      <c r="O346" s="232"/>
      <c r="P346" s="232"/>
      <c r="Q346" s="275"/>
    </row>
    <row r="347" spans="2:17" ht="17.25" hidden="1" x14ac:dyDescent="0.3">
      <c r="B347" s="608"/>
      <c r="C347" s="609"/>
      <c r="D347" s="609"/>
      <c r="E347" s="610"/>
      <c r="F347" s="611"/>
      <c r="G347" s="264">
        <f>76815-63000</f>
        <v>13815</v>
      </c>
      <c r="H347" s="608"/>
      <c r="I347" s="232" t="s">
        <v>11</v>
      </c>
      <c r="J347" s="232" t="s">
        <v>1057</v>
      </c>
      <c r="K347" s="232"/>
      <c r="L347" s="233"/>
      <c r="M347" s="233"/>
      <c r="N347" s="274"/>
      <c r="O347" s="232"/>
      <c r="P347" s="232"/>
      <c r="Q347" s="275"/>
    </row>
    <row r="348" spans="2:17" ht="17.25" hidden="1" x14ac:dyDescent="0.3">
      <c r="B348" s="608" t="s">
        <v>1068</v>
      </c>
      <c r="C348" s="609">
        <v>45874.708333333336</v>
      </c>
      <c r="D348" s="609">
        <v>45890.799305555556</v>
      </c>
      <c r="E348" s="610" t="s">
        <v>165</v>
      </c>
      <c r="F348" s="611" t="s">
        <v>38</v>
      </c>
      <c r="G348" s="264">
        <v>15000</v>
      </c>
      <c r="H348" s="608" t="s">
        <v>20</v>
      </c>
      <c r="I348" s="232" t="s">
        <v>11</v>
      </c>
      <c r="J348" s="232" t="s">
        <v>56</v>
      </c>
      <c r="K348" s="232"/>
      <c r="L348" s="233"/>
      <c r="M348" s="613" t="s">
        <v>16</v>
      </c>
      <c r="N348" s="274"/>
      <c r="O348" s="232"/>
      <c r="P348" s="232"/>
      <c r="Q348" s="275"/>
    </row>
    <row r="349" spans="2:17" ht="17.25" hidden="1" x14ac:dyDescent="0.3">
      <c r="B349" s="608"/>
      <c r="C349" s="609"/>
      <c r="D349" s="609"/>
      <c r="E349" s="610"/>
      <c r="F349" s="611"/>
      <c r="G349" s="264">
        <v>20000</v>
      </c>
      <c r="H349" s="608"/>
      <c r="I349" s="610" t="s">
        <v>18</v>
      </c>
      <c r="J349" s="232" t="s">
        <v>1070</v>
      </c>
      <c r="K349" s="232"/>
      <c r="L349" s="233"/>
      <c r="M349" s="613"/>
      <c r="N349" s="274"/>
      <c r="O349" s="232"/>
      <c r="P349" s="232"/>
      <c r="Q349" s="612"/>
    </row>
    <row r="350" spans="2:17" ht="17.25" hidden="1" x14ac:dyDescent="0.3">
      <c r="B350" s="608"/>
      <c r="C350" s="609"/>
      <c r="D350" s="609"/>
      <c r="E350" s="610"/>
      <c r="F350" s="611"/>
      <c r="G350" s="264">
        <f>94043-35000</f>
        <v>59043</v>
      </c>
      <c r="H350" s="608"/>
      <c r="I350" s="610"/>
      <c r="J350" s="232" t="s">
        <v>1071</v>
      </c>
      <c r="K350" s="232"/>
      <c r="L350" s="233"/>
      <c r="M350" s="613"/>
      <c r="N350" s="274"/>
      <c r="O350" s="232"/>
      <c r="P350" s="232"/>
      <c r="Q350" s="612"/>
    </row>
    <row r="351" spans="2:17" ht="17.25" hidden="1" x14ac:dyDescent="0.3">
      <c r="B351" s="261" t="s">
        <v>1059</v>
      </c>
      <c r="C351" s="262">
        <v>45894.291666666664</v>
      </c>
      <c r="D351" s="262">
        <v>45897.029166666667</v>
      </c>
      <c r="E351" s="232" t="s">
        <v>166</v>
      </c>
      <c r="F351" s="263" t="s">
        <v>1060</v>
      </c>
      <c r="G351" s="264">
        <v>33000</v>
      </c>
      <c r="H351" s="261" t="s">
        <v>39</v>
      </c>
      <c r="I351" s="232" t="s">
        <v>11</v>
      </c>
      <c r="J351" s="232" t="s">
        <v>96</v>
      </c>
      <c r="K351" s="232"/>
      <c r="L351" s="233"/>
      <c r="M351" s="233"/>
      <c r="N351" s="274"/>
      <c r="O351" s="232"/>
      <c r="P351" s="232"/>
      <c r="Q351" s="275" t="s">
        <v>1083</v>
      </c>
    </row>
    <row r="352" spans="2:17" ht="17.25" hidden="1" x14ac:dyDescent="0.3">
      <c r="B352" s="608" t="s">
        <v>1084</v>
      </c>
      <c r="C352" s="609">
        <v>45901.661111111112</v>
      </c>
      <c r="D352" s="609">
        <v>45901.75</v>
      </c>
      <c r="E352" s="610" t="s">
        <v>166</v>
      </c>
      <c r="F352" s="611" t="s">
        <v>14</v>
      </c>
      <c r="G352" s="264">
        <v>27500</v>
      </c>
      <c r="H352" s="608" t="s">
        <v>13</v>
      </c>
      <c r="I352" s="232" t="s">
        <v>17</v>
      </c>
      <c r="J352" s="232" t="s">
        <v>647</v>
      </c>
      <c r="K352" s="232"/>
      <c r="L352" s="233"/>
      <c r="M352" s="233"/>
      <c r="N352" s="274"/>
      <c r="O352" s="232"/>
      <c r="P352" s="232"/>
      <c r="Q352" s="275"/>
    </row>
    <row r="353" spans="1:17" ht="17.25" hidden="1" x14ac:dyDescent="0.3">
      <c r="B353" s="608"/>
      <c r="C353" s="609"/>
      <c r="D353" s="609"/>
      <c r="E353" s="610"/>
      <c r="F353" s="611"/>
      <c r="G353" s="264">
        <v>47500</v>
      </c>
      <c r="H353" s="608"/>
      <c r="I353" s="232" t="s">
        <v>11</v>
      </c>
      <c r="J353" s="232" t="s">
        <v>181</v>
      </c>
      <c r="K353" s="232"/>
      <c r="L353" s="233"/>
      <c r="M353" s="233"/>
      <c r="N353" s="274"/>
      <c r="O353" s="232"/>
      <c r="P353" s="232"/>
      <c r="Q353" s="275"/>
    </row>
    <row r="354" spans="1:17" ht="17.25" hidden="1" x14ac:dyDescent="0.3">
      <c r="B354" s="261" t="s">
        <v>496</v>
      </c>
      <c r="C354" s="262">
        <v>45903.333333333336</v>
      </c>
      <c r="D354" s="262">
        <v>45905.32916666667</v>
      </c>
      <c r="E354" s="232" t="s">
        <v>166</v>
      </c>
      <c r="F354" s="263" t="s">
        <v>14</v>
      </c>
      <c r="G354" s="264">
        <v>20000</v>
      </c>
      <c r="H354" s="261" t="s">
        <v>41</v>
      </c>
      <c r="I354" s="232" t="s">
        <v>17</v>
      </c>
      <c r="J354" s="232" t="s">
        <v>1091</v>
      </c>
      <c r="K354" s="232"/>
      <c r="L354" s="233"/>
      <c r="M354" s="233" t="s">
        <v>16</v>
      </c>
      <c r="N354" s="274"/>
      <c r="O354" s="232"/>
      <c r="P354" s="232"/>
      <c r="Q354" s="275"/>
    </row>
    <row r="355" spans="1:17" ht="17.25" hidden="1" x14ac:dyDescent="0.3">
      <c r="B355" s="608" t="s">
        <v>1089</v>
      </c>
      <c r="C355" s="609">
        <v>45903.375</v>
      </c>
      <c r="D355" s="609">
        <v>45906.913194444445</v>
      </c>
      <c r="E355" s="610" t="s">
        <v>166</v>
      </c>
      <c r="F355" s="611" t="s">
        <v>1060</v>
      </c>
      <c r="G355" s="264">
        <f>5000+25550+5000</f>
        <v>35550</v>
      </c>
      <c r="H355" s="608" t="s">
        <v>710</v>
      </c>
      <c r="I355" s="232" t="s">
        <v>11</v>
      </c>
      <c r="J355" s="232" t="s">
        <v>1090</v>
      </c>
      <c r="K355" s="232"/>
      <c r="L355" s="233"/>
      <c r="M355" s="606" t="s">
        <v>1092</v>
      </c>
      <c r="N355" s="274"/>
      <c r="O355" s="232"/>
      <c r="P355" s="232"/>
      <c r="Q355" s="275"/>
    </row>
    <row r="356" spans="1:17" ht="17.25" hidden="1" x14ac:dyDescent="0.3">
      <c r="B356" s="608"/>
      <c r="C356" s="609"/>
      <c r="D356" s="609"/>
      <c r="E356" s="610"/>
      <c r="F356" s="611"/>
      <c r="G356" s="264">
        <v>35000</v>
      </c>
      <c r="H356" s="608"/>
      <c r="I356" s="232" t="s">
        <v>17</v>
      </c>
      <c r="J356" s="232" t="s">
        <v>28</v>
      </c>
      <c r="K356" s="232"/>
      <c r="L356" s="233"/>
      <c r="M356" s="606"/>
      <c r="N356" s="274"/>
      <c r="O356" s="232"/>
      <c r="P356" s="232"/>
      <c r="Q356" s="275"/>
    </row>
    <row r="357" spans="1:17" s="279" customFormat="1" ht="17.25" hidden="1" x14ac:dyDescent="0.3">
      <c r="A357" s="278"/>
      <c r="B357" s="486" t="s">
        <v>1115</v>
      </c>
      <c r="C357" s="489">
        <v>45925.875</v>
      </c>
      <c r="D357" s="489">
        <v>45930.237500000003</v>
      </c>
      <c r="E357" s="457" t="s">
        <v>166</v>
      </c>
      <c r="F357" s="607" t="s">
        <v>1124</v>
      </c>
      <c r="G357" s="264">
        <f>73054-25000</f>
        <v>48054</v>
      </c>
      <c r="H357" s="486" t="s">
        <v>710</v>
      </c>
      <c r="I357" s="232" t="s">
        <v>11</v>
      </c>
      <c r="J357" s="232" t="s">
        <v>1122</v>
      </c>
      <c r="K357" s="232"/>
      <c r="L357" s="233"/>
      <c r="M357" s="448" t="s">
        <v>16</v>
      </c>
      <c r="N357" s="274"/>
      <c r="O357" s="232"/>
      <c r="P357" s="232"/>
      <c r="Q357" s="594" t="s">
        <v>1130</v>
      </c>
    </row>
    <row r="358" spans="1:17" s="279" customFormat="1" ht="17.25" hidden="1" x14ac:dyDescent="0.3">
      <c r="A358" s="278"/>
      <c r="B358" s="488"/>
      <c r="C358" s="491"/>
      <c r="D358" s="491"/>
      <c r="E358" s="458"/>
      <c r="F358" s="593"/>
      <c r="G358" s="300">
        <v>25000</v>
      </c>
      <c r="H358" s="488"/>
      <c r="I358" s="232" t="s">
        <v>17</v>
      </c>
      <c r="J358" s="232" t="s">
        <v>1121</v>
      </c>
      <c r="K358" s="232"/>
      <c r="L358" s="233"/>
      <c r="M358" s="449"/>
      <c r="N358" s="274"/>
      <c r="O358" s="232"/>
      <c r="P358" s="232"/>
      <c r="Q358" s="597"/>
    </row>
    <row r="359" spans="1:17" s="279" customFormat="1" ht="33" hidden="1" x14ac:dyDescent="0.3">
      <c r="A359" s="278"/>
      <c r="B359" s="598" t="s">
        <v>1127</v>
      </c>
      <c r="C359" s="600">
        <v>45933.916666666664</v>
      </c>
      <c r="D359" s="600">
        <v>45937</v>
      </c>
      <c r="E359" s="602" t="s">
        <v>166</v>
      </c>
      <c r="F359" s="302" t="s">
        <v>1140</v>
      </c>
      <c r="G359" s="284">
        <v>32998</v>
      </c>
      <c r="H359" s="598" t="s">
        <v>710</v>
      </c>
      <c r="I359" s="229" t="s">
        <v>11</v>
      </c>
      <c r="J359" s="229" t="s">
        <v>1135</v>
      </c>
      <c r="K359" s="229"/>
      <c r="L359" s="230"/>
      <c r="M359" s="465" t="s">
        <v>16</v>
      </c>
      <c r="N359" s="285"/>
      <c r="O359" s="229"/>
      <c r="P359" s="229"/>
      <c r="Q359" s="604" t="s">
        <v>1137</v>
      </c>
    </row>
    <row r="360" spans="1:17" s="279" customFormat="1" ht="33" hidden="1" x14ac:dyDescent="0.3">
      <c r="A360" s="278"/>
      <c r="B360" s="599"/>
      <c r="C360" s="601"/>
      <c r="D360" s="601"/>
      <c r="E360" s="603"/>
      <c r="F360" s="302" t="s">
        <v>1141</v>
      </c>
      <c r="G360" s="284">
        <v>32902</v>
      </c>
      <c r="H360" s="599"/>
      <c r="I360" s="229" t="s">
        <v>17</v>
      </c>
      <c r="J360" s="229" t="s">
        <v>413</v>
      </c>
      <c r="K360" s="229"/>
      <c r="L360" s="230"/>
      <c r="M360" s="466"/>
      <c r="N360" s="285"/>
      <c r="O360" s="229"/>
      <c r="P360" s="229"/>
      <c r="Q360" s="605"/>
    </row>
    <row r="361" spans="1:17" s="279" customFormat="1" ht="17.25" hidden="1" x14ac:dyDescent="0.3">
      <c r="A361" s="278"/>
      <c r="B361" s="486" t="s">
        <v>1128</v>
      </c>
      <c r="C361" s="489">
        <v>45932.666666666664</v>
      </c>
      <c r="D361" s="489">
        <v>45939.75</v>
      </c>
      <c r="E361" s="457" t="s">
        <v>166</v>
      </c>
      <c r="F361" s="592" t="s">
        <v>1142</v>
      </c>
      <c r="G361" s="264">
        <v>15000</v>
      </c>
      <c r="H361" s="486" t="s">
        <v>621</v>
      </c>
      <c r="I361" s="232" t="s">
        <v>11</v>
      </c>
      <c r="J361" s="232" t="s">
        <v>414</v>
      </c>
      <c r="K361" s="232"/>
      <c r="L361" s="472" t="s">
        <v>957</v>
      </c>
      <c r="M361" s="448" t="s">
        <v>16</v>
      </c>
      <c r="N361" s="274"/>
      <c r="O361" s="232"/>
      <c r="P361" s="232"/>
      <c r="Q361" s="275"/>
    </row>
    <row r="362" spans="1:17" s="279" customFormat="1" ht="17.25" hidden="1" x14ac:dyDescent="0.3">
      <c r="A362" s="278"/>
      <c r="B362" s="488"/>
      <c r="C362" s="491"/>
      <c r="D362" s="491"/>
      <c r="E362" s="458"/>
      <c r="F362" s="593"/>
      <c r="G362" s="264">
        <v>45000</v>
      </c>
      <c r="H362" s="488"/>
      <c r="I362" s="232" t="s">
        <v>17</v>
      </c>
      <c r="J362" s="232" t="s">
        <v>237</v>
      </c>
      <c r="K362" s="232"/>
      <c r="L362" s="474"/>
      <c r="M362" s="449"/>
      <c r="N362" s="274"/>
      <c r="O362" s="232"/>
      <c r="P362" s="232"/>
      <c r="Q362" s="275"/>
    </row>
    <row r="363" spans="1:17" s="279" customFormat="1" ht="33" hidden="1" x14ac:dyDescent="0.3">
      <c r="A363" s="278"/>
      <c r="B363" s="486" t="s">
        <v>1127</v>
      </c>
      <c r="C363" s="489">
        <v>45934.427083333336</v>
      </c>
      <c r="D363" s="489">
        <v>45938.57916666667</v>
      </c>
      <c r="E363" s="457" t="s">
        <v>166</v>
      </c>
      <c r="F363" s="303" t="s">
        <v>1140</v>
      </c>
      <c r="G363" s="264">
        <v>13000</v>
      </c>
      <c r="H363" s="486" t="s">
        <v>710</v>
      </c>
      <c r="I363" s="232" t="s">
        <v>17</v>
      </c>
      <c r="J363" s="232" t="s">
        <v>1143</v>
      </c>
      <c r="K363" s="232"/>
      <c r="L363" s="233"/>
      <c r="M363" s="448" t="s">
        <v>16</v>
      </c>
      <c r="N363" s="274"/>
      <c r="O363" s="232"/>
      <c r="P363" s="232"/>
      <c r="Q363" s="596"/>
    </row>
    <row r="364" spans="1:17" s="279" customFormat="1" ht="33" hidden="1" x14ac:dyDescent="0.3">
      <c r="A364" s="278"/>
      <c r="B364" s="488"/>
      <c r="C364" s="491"/>
      <c r="D364" s="491"/>
      <c r="E364" s="458"/>
      <c r="F364" s="303" t="s">
        <v>1141</v>
      </c>
      <c r="G364" s="264">
        <v>21000</v>
      </c>
      <c r="H364" s="488"/>
      <c r="I364" s="232" t="s">
        <v>11</v>
      </c>
      <c r="J364" s="232" t="s">
        <v>1145</v>
      </c>
      <c r="K364" s="232"/>
      <c r="L364" s="233"/>
      <c r="M364" s="449"/>
      <c r="N364" s="274"/>
      <c r="O364" s="232"/>
      <c r="P364" s="232"/>
      <c r="Q364" s="597"/>
    </row>
    <row r="365" spans="1:17" ht="33" hidden="1" x14ac:dyDescent="0.3">
      <c r="B365" s="261" t="s">
        <v>1153</v>
      </c>
      <c r="C365" s="262">
        <v>45945</v>
      </c>
      <c r="D365" s="262">
        <v>45951.583333333336</v>
      </c>
      <c r="E365" s="232" t="s">
        <v>166</v>
      </c>
      <c r="F365" s="303" t="s">
        <v>1154</v>
      </c>
      <c r="G365" s="264">
        <v>24300</v>
      </c>
      <c r="H365" s="261" t="s">
        <v>41</v>
      </c>
      <c r="I365" s="232" t="s">
        <v>17</v>
      </c>
      <c r="J365" s="232" t="s">
        <v>398</v>
      </c>
      <c r="K365" s="232"/>
      <c r="L365" s="233" t="s">
        <v>1000</v>
      </c>
      <c r="M365" s="233" t="s">
        <v>16</v>
      </c>
      <c r="N365" s="274"/>
      <c r="O365" s="232"/>
      <c r="P365" s="232"/>
      <c r="Q365" s="275" t="s">
        <v>1158</v>
      </c>
    </row>
    <row r="366" spans="1:17" ht="33" hidden="1" x14ac:dyDescent="0.3">
      <c r="B366" s="261" t="s">
        <v>680</v>
      </c>
      <c r="C366" s="262">
        <v>45948.940972222219</v>
      </c>
      <c r="D366" s="262">
        <v>45955.991666666669</v>
      </c>
      <c r="E366" s="232" t="s">
        <v>166</v>
      </c>
      <c r="F366" s="303" t="s">
        <v>1162</v>
      </c>
      <c r="G366" s="264">
        <v>27000</v>
      </c>
      <c r="H366" s="261" t="s">
        <v>47</v>
      </c>
      <c r="I366" s="232" t="s">
        <v>11</v>
      </c>
      <c r="J366" s="232" t="s">
        <v>25</v>
      </c>
      <c r="K366" s="232"/>
      <c r="L366" s="233"/>
      <c r="M366" s="233"/>
      <c r="N366" s="274"/>
      <c r="O366" s="232" t="s">
        <v>1161</v>
      </c>
      <c r="P366" s="232" t="s">
        <v>16</v>
      </c>
      <c r="Q366" s="275"/>
    </row>
    <row r="367" spans="1:17" ht="33" hidden="1" x14ac:dyDescent="0.3">
      <c r="B367" s="306" t="s">
        <v>1173</v>
      </c>
      <c r="C367" s="307">
        <v>45953.841666666667</v>
      </c>
      <c r="D367" s="307">
        <v>45965.041666666664</v>
      </c>
      <c r="E367" s="308" t="s">
        <v>166</v>
      </c>
      <c r="F367" s="309" t="s">
        <v>1175</v>
      </c>
      <c r="G367" s="264">
        <v>70000</v>
      </c>
      <c r="H367" s="306" t="s">
        <v>621</v>
      </c>
      <c r="I367" s="232" t="s">
        <v>17</v>
      </c>
      <c r="J367" s="232" t="s">
        <v>1037</v>
      </c>
      <c r="K367" s="232"/>
      <c r="L367" s="233"/>
      <c r="M367" s="233"/>
      <c r="N367" s="274"/>
      <c r="O367" s="232"/>
      <c r="P367" s="232"/>
      <c r="Q367" s="304"/>
    </row>
    <row r="368" spans="1:17" ht="33" hidden="1" x14ac:dyDescent="0.3">
      <c r="B368" s="296" t="s">
        <v>1176</v>
      </c>
      <c r="C368" s="297">
        <v>45961.75</v>
      </c>
      <c r="D368" s="297">
        <v>45967.625</v>
      </c>
      <c r="E368" s="229" t="s">
        <v>166</v>
      </c>
      <c r="F368" s="302" t="s">
        <v>1178</v>
      </c>
      <c r="G368" s="284">
        <f>8558.34+4000+5614.76</f>
        <v>18173.099999999999</v>
      </c>
      <c r="H368" s="296" t="s">
        <v>122</v>
      </c>
      <c r="I368" s="229" t="s">
        <v>17</v>
      </c>
      <c r="J368" s="229" t="s">
        <v>249</v>
      </c>
      <c r="K368" s="229"/>
      <c r="L368" s="230" t="s">
        <v>1003</v>
      </c>
      <c r="M368" s="230" t="s">
        <v>16</v>
      </c>
      <c r="N368" s="285"/>
      <c r="O368" s="229"/>
      <c r="P368" s="229"/>
      <c r="Q368" s="286" t="s">
        <v>1181</v>
      </c>
    </row>
    <row r="369" spans="1:17" ht="33" hidden="1" x14ac:dyDescent="0.3">
      <c r="B369" s="261" t="s">
        <v>1177</v>
      </c>
      <c r="C369" s="262">
        <v>45964.458333333336</v>
      </c>
      <c r="D369" s="262">
        <v>45968.541666666664</v>
      </c>
      <c r="E369" s="232" t="s">
        <v>166</v>
      </c>
      <c r="F369" s="303" t="s">
        <v>1179</v>
      </c>
      <c r="G369" s="264">
        <v>55000</v>
      </c>
      <c r="H369" s="261" t="s">
        <v>39</v>
      </c>
      <c r="I369" s="232" t="s">
        <v>11</v>
      </c>
      <c r="J369" s="232" t="s">
        <v>576</v>
      </c>
      <c r="K369" s="232"/>
      <c r="L369" s="233"/>
      <c r="M369" s="233"/>
      <c r="N369" s="274"/>
      <c r="O369" s="232"/>
      <c r="P369" s="232"/>
      <c r="Q369" s="275" t="s">
        <v>1183</v>
      </c>
    </row>
    <row r="370" spans="1:17" ht="17.25" hidden="1" x14ac:dyDescent="0.3">
      <c r="B370" s="486" t="s">
        <v>1177</v>
      </c>
      <c r="C370" s="489">
        <v>45968</v>
      </c>
      <c r="D370" s="489">
        <v>45980.958333333336</v>
      </c>
      <c r="E370" s="457" t="s">
        <v>166</v>
      </c>
      <c r="F370" s="493" t="s">
        <v>1194</v>
      </c>
      <c r="G370" s="264">
        <v>20000</v>
      </c>
      <c r="H370" s="486" t="s">
        <v>39</v>
      </c>
      <c r="I370" s="232" t="s">
        <v>11</v>
      </c>
      <c r="J370" s="232" t="s">
        <v>1198</v>
      </c>
      <c r="K370" s="232"/>
      <c r="L370" s="314"/>
      <c r="M370" s="314"/>
      <c r="N370" s="315"/>
      <c r="O370" s="308"/>
      <c r="P370" s="308"/>
      <c r="Q370" s="594" t="s">
        <v>1195</v>
      </c>
    </row>
    <row r="371" spans="1:17" ht="17.25" hidden="1" x14ac:dyDescent="0.3">
      <c r="B371" s="488"/>
      <c r="C371" s="491"/>
      <c r="D371" s="491"/>
      <c r="E371" s="458"/>
      <c r="F371" s="495"/>
      <c r="G371" s="264">
        <v>15000</v>
      </c>
      <c r="H371" s="488"/>
      <c r="I371" s="232" t="s">
        <v>17</v>
      </c>
      <c r="J371" s="232" t="s">
        <v>337</v>
      </c>
      <c r="K371" s="232"/>
      <c r="L371" s="314"/>
      <c r="M371" s="314"/>
      <c r="N371" s="315"/>
      <c r="O371" s="308"/>
      <c r="P371" s="308"/>
      <c r="Q371" s="595"/>
    </row>
    <row r="372" spans="1:17" ht="17.25" hidden="1" x14ac:dyDescent="0.3">
      <c r="B372" s="486" t="s">
        <v>1205</v>
      </c>
      <c r="C372" s="489">
        <v>45983.791666666664</v>
      </c>
      <c r="D372" s="489">
        <v>45987.128472222219</v>
      </c>
      <c r="E372" s="457" t="s">
        <v>218</v>
      </c>
      <c r="F372" s="493" t="s">
        <v>1208</v>
      </c>
      <c r="G372" s="264">
        <v>10000</v>
      </c>
      <c r="H372" s="486" t="s">
        <v>13</v>
      </c>
      <c r="I372" s="232" t="s">
        <v>17</v>
      </c>
      <c r="J372" s="232" t="s">
        <v>1082</v>
      </c>
      <c r="K372" s="232"/>
      <c r="L372" s="472" t="s">
        <v>1209</v>
      </c>
      <c r="M372" s="472" t="s">
        <v>16</v>
      </c>
      <c r="N372" s="274"/>
      <c r="O372" s="232"/>
      <c r="P372" s="232"/>
      <c r="Q372" s="472" t="s">
        <v>1213</v>
      </c>
    </row>
    <row r="373" spans="1:17" ht="17.25" hidden="1" x14ac:dyDescent="0.3">
      <c r="B373" s="488"/>
      <c r="C373" s="491"/>
      <c r="D373" s="491"/>
      <c r="E373" s="458"/>
      <c r="F373" s="495"/>
      <c r="G373" s="264">
        <v>25000</v>
      </c>
      <c r="H373" s="488"/>
      <c r="I373" s="231" t="s">
        <v>9</v>
      </c>
      <c r="J373" s="232" t="s">
        <v>1210</v>
      </c>
      <c r="K373" s="232"/>
      <c r="L373" s="474"/>
      <c r="M373" s="474"/>
      <c r="N373" s="274"/>
      <c r="O373" s="232"/>
      <c r="P373" s="232"/>
      <c r="Q373" s="458"/>
    </row>
    <row r="374" spans="1:17" ht="33" hidden="1" x14ac:dyDescent="0.3">
      <c r="B374" s="296" t="s">
        <v>1214</v>
      </c>
      <c r="C374" s="297">
        <v>45996.25</v>
      </c>
      <c r="D374" s="297" t="s">
        <v>1222</v>
      </c>
      <c r="E374" s="229" t="s">
        <v>166</v>
      </c>
      <c r="F374" s="302" t="s">
        <v>1154</v>
      </c>
      <c r="G374" s="284">
        <v>17160</v>
      </c>
      <c r="H374" s="296" t="s">
        <v>41</v>
      </c>
      <c r="I374" s="229" t="s">
        <v>11</v>
      </c>
      <c r="J374" s="229" t="s">
        <v>819</v>
      </c>
      <c r="K374" s="229"/>
      <c r="L374" s="230" t="s">
        <v>1000</v>
      </c>
      <c r="M374" s="230" t="s">
        <v>16</v>
      </c>
      <c r="N374" s="285"/>
      <c r="O374" s="229"/>
      <c r="P374" s="229"/>
      <c r="Q374" s="316" t="s">
        <v>1215</v>
      </c>
    </row>
    <row r="375" spans="1:17" ht="33" hidden="1" x14ac:dyDescent="0.3">
      <c r="B375" s="261" t="s">
        <v>1217</v>
      </c>
      <c r="C375" s="262">
        <v>45997.991666666669</v>
      </c>
      <c r="D375" s="262">
        <v>46000.804166666669</v>
      </c>
      <c r="E375" s="232" t="s">
        <v>166</v>
      </c>
      <c r="F375" s="303" t="s">
        <v>1218</v>
      </c>
      <c r="G375" s="264">
        <v>77000</v>
      </c>
      <c r="H375" s="261" t="s">
        <v>13</v>
      </c>
      <c r="I375" s="232" t="s">
        <v>1219</v>
      </c>
      <c r="J375" s="232" t="s">
        <v>1220</v>
      </c>
      <c r="K375" s="232"/>
      <c r="L375" s="233"/>
      <c r="M375" s="233"/>
      <c r="N375" s="274"/>
      <c r="O375" s="232"/>
      <c r="P375" s="232"/>
      <c r="Q375" s="317"/>
    </row>
    <row r="376" spans="1:17" ht="33" hidden="1" x14ac:dyDescent="0.3">
      <c r="B376" s="261" t="s">
        <v>1228</v>
      </c>
      <c r="C376" s="262">
        <v>46005.583333333336</v>
      </c>
      <c r="D376" s="262">
        <v>46012.595833333333</v>
      </c>
      <c r="E376" s="232" t="s">
        <v>166</v>
      </c>
      <c r="F376" s="303" t="s">
        <v>1236</v>
      </c>
      <c r="G376" s="264">
        <v>72700</v>
      </c>
      <c r="H376" s="261" t="s">
        <v>94</v>
      </c>
      <c r="I376" s="232" t="s">
        <v>11</v>
      </c>
      <c r="J376" s="232" t="s">
        <v>36</v>
      </c>
      <c r="K376" s="232"/>
      <c r="L376" s="233"/>
      <c r="M376" s="233"/>
      <c r="N376" s="274"/>
      <c r="O376" s="232"/>
      <c r="P376" s="232"/>
      <c r="Q376" s="275"/>
    </row>
    <row r="377" spans="1:17" s="279" customFormat="1" ht="33" hidden="1" x14ac:dyDescent="0.3">
      <c r="A377" s="278"/>
      <c r="B377" s="261" t="s">
        <v>1235</v>
      </c>
      <c r="C377" s="262">
        <v>46016.508333333331</v>
      </c>
      <c r="D377" s="262" t="s">
        <v>1232</v>
      </c>
      <c r="E377" s="232" t="s">
        <v>166</v>
      </c>
      <c r="F377" s="303" t="s">
        <v>1237</v>
      </c>
      <c r="G377" s="264">
        <v>55000</v>
      </c>
      <c r="H377" s="261" t="s">
        <v>710</v>
      </c>
      <c r="I377" s="232" t="s">
        <v>17</v>
      </c>
      <c r="J377" s="232" t="s">
        <v>843</v>
      </c>
      <c r="K377" s="232"/>
      <c r="L377" s="233"/>
      <c r="M377" s="233" t="s">
        <v>16</v>
      </c>
      <c r="N377" s="274"/>
      <c r="O377" s="232"/>
      <c r="P377" s="232"/>
      <c r="Q377" s="267"/>
    </row>
    <row r="378" spans="1:17" s="279" customFormat="1" ht="33" hidden="1" x14ac:dyDescent="0.3">
      <c r="A378" s="278"/>
      <c r="B378" s="261" t="s">
        <v>1242</v>
      </c>
      <c r="C378" s="262">
        <v>46008.712500000001</v>
      </c>
      <c r="D378" s="262">
        <v>46020.1875</v>
      </c>
      <c r="E378" s="232" t="s">
        <v>166</v>
      </c>
      <c r="F378" s="303" t="s">
        <v>1243</v>
      </c>
      <c r="G378" s="264">
        <v>22000</v>
      </c>
      <c r="H378" s="261" t="s">
        <v>39</v>
      </c>
      <c r="I378" s="232" t="s">
        <v>11</v>
      </c>
      <c r="J378" s="232" t="s">
        <v>398</v>
      </c>
      <c r="K378" s="232"/>
      <c r="L378" s="233"/>
      <c r="M378" s="233"/>
      <c r="N378" s="274"/>
      <c r="O378" s="232"/>
      <c r="P378" s="232"/>
      <c r="Q378" s="267"/>
    </row>
    <row r="379" spans="1:17" s="279" customFormat="1" ht="27" hidden="1" x14ac:dyDescent="0.3">
      <c r="A379" s="278"/>
      <c r="B379" s="486" t="s">
        <v>1247</v>
      </c>
      <c r="C379" s="489">
        <v>46016.275000000001</v>
      </c>
      <c r="D379" s="489">
        <v>46026.333333333336</v>
      </c>
      <c r="E379" s="457" t="s">
        <v>166</v>
      </c>
      <c r="F379" s="324" t="s">
        <v>1248</v>
      </c>
      <c r="G379" s="264">
        <v>47250</v>
      </c>
      <c r="H379" s="486" t="s">
        <v>710</v>
      </c>
      <c r="I379" s="232" t="s">
        <v>11</v>
      </c>
      <c r="J379" s="232" t="s">
        <v>1252</v>
      </c>
      <c r="K379" s="232"/>
      <c r="L379" s="472"/>
      <c r="M379" s="472" t="s">
        <v>16</v>
      </c>
      <c r="N379" s="455"/>
      <c r="O379" s="457"/>
      <c r="P379" s="457"/>
      <c r="Q379" s="267" t="s">
        <v>1250</v>
      </c>
    </row>
    <row r="380" spans="1:17" s="279" customFormat="1" ht="27" hidden="1" x14ac:dyDescent="0.3">
      <c r="A380" s="278"/>
      <c r="B380" s="488"/>
      <c r="C380" s="491"/>
      <c r="D380" s="491"/>
      <c r="E380" s="458"/>
      <c r="F380" s="324" t="s">
        <v>1249</v>
      </c>
      <c r="G380" s="264">
        <v>28562</v>
      </c>
      <c r="H380" s="488"/>
      <c r="I380" s="232" t="s">
        <v>17</v>
      </c>
      <c r="J380" s="232" t="s">
        <v>1253</v>
      </c>
      <c r="K380" s="232"/>
      <c r="L380" s="474"/>
      <c r="M380" s="474"/>
      <c r="N380" s="456"/>
      <c r="O380" s="458"/>
      <c r="P380" s="458"/>
      <c r="Q380" s="325" t="s">
        <v>1251</v>
      </c>
    </row>
    <row r="381" spans="1:17" s="279" customFormat="1" ht="17.25" hidden="1" x14ac:dyDescent="0.3">
      <c r="A381" s="278"/>
      <c r="B381" s="486" t="s">
        <v>1262</v>
      </c>
      <c r="C381" s="489">
        <v>46385.262499999997</v>
      </c>
      <c r="D381" s="489">
        <v>46030.0625</v>
      </c>
      <c r="E381" s="457" t="s">
        <v>166</v>
      </c>
      <c r="F381" s="493" t="s">
        <v>1263</v>
      </c>
      <c r="G381" s="264">
        <v>33000</v>
      </c>
      <c r="H381" s="486" t="s">
        <v>39</v>
      </c>
      <c r="I381" s="232" t="s">
        <v>17</v>
      </c>
      <c r="J381" s="232" t="s">
        <v>720</v>
      </c>
      <c r="K381" s="232"/>
      <c r="L381" s="326"/>
      <c r="M381" s="326"/>
      <c r="N381" s="327"/>
      <c r="O381" s="231"/>
      <c r="P381" s="231"/>
      <c r="Q381" s="325"/>
    </row>
    <row r="382" spans="1:17" s="279" customFormat="1" ht="17.25" hidden="1" x14ac:dyDescent="0.3">
      <c r="A382" s="278"/>
      <c r="B382" s="488"/>
      <c r="C382" s="491"/>
      <c r="D382" s="491"/>
      <c r="E382" s="458"/>
      <c r="F382" s="495"/>
      <c r="G382" s="264">
        <v>13000</v>
      </c>
      <c r="H382" s="488"/>
      <c r="I382" s="232" t="s">
        <v>11</v>
      </c>
      <c r="J382" s="232" t="s">
        <v>1082</v>
      </c>
      <c r="K382" s="232"/>
      <c r="L382" s="326"/>
      <c r="M382" s="326"/>
      <c r="N382" s="327"/>
      <c r="O382" s="231"/>
      <c r="P382" s="231"/>
      <c r="Q382" s="325"/>
    </row>
    <row r="383" spans="1:17" s="279" customFormat="1" hidden="1" x14ac:dyDescent="0.3">
      <c r="A383" s="278"/>
      <c r="B383" s="486" t="s">
        <v>1280</v>
      </c>
      <c r="C383" s="489">
        <v>46035.166666666664</v>
      </c>
      <c r="D383" s="489">
        <v>46049.241666666669</v>
      </c>
      <c r="E383" s="457" t="s">
        <v>166</v>
      </c>
      <c r="F383" s="493" t="s">
        <v>1142</v>
      </c>
      <c r="G383" s="264">
        <v>41000</v>
      </c>
      <c r="H383" s="486" t="s">
        <v>13</v>
      </c>
      <c r="I383" s="232" t="s">
        <v>11</v>
      </c>
      <c r="J383" s="232" t="s">
        <v>430</v>
      </c>
      <c r="K383" s="232"/>
      <c r="L383" s="472" t="s">
        <v>1287</v>
      </c>
      <c r="M383" s="472" t="s">
        <v>16</v>
      </c>
      <c r="N383" s="455"/>
      <c r="O383" s="457"/>
      <c r="P383" s="457"/>
      <c r="Q383" s="459"/>
    </row>
    <row r="384" spans="1:17" s="279" customFormat="1" hidden="1" x14ac:dyDescent="0.3">
      <c r="A384" s="278"/>
      <c r="B384" s="488"/>
      <c r="C384" s="491"/>
      <c r="D384" s="491"/>
      <c r="E384" s="458"/>
      <c r="F384" s="495"/>
      <c r="G384" s="264">
        <v>26000</v>
      </c>
      <c r="H384" s="488"/>
      <c r="I384" s="232" t="s">
        <v>17</v>
      </c>
      <c r="J384" s="232" t="s">
        <v>318</v>
      </c>
      <c r="K384" s="232"/>
      <c r="L384" s="474"/>
      <c r="M384" s="474"/>
      <c r="N384" s="456"/>
      <c r="O384" s="458"/>
      <c r="P384" s="458"/>
      <c r="Q384" s="460"/>
    </row>
    <row r="385" spans="1:17" s="279" customFormat="1" ht="17.25" hidden="1" x14ac:dyDescent="0.3">
      <c r="A385" s="278"/>
      <c r="B385" s="608" t="s">
        <v>1281</v>
      </c>
      <c r="C385" s="489">
        <v>46035.826388888891</v>
      </c>
      <c r="D385" s="489">
        <v>46052.25</v>
      </c>
      <c r="E385" s="457" t="s">
        <v>166</v>
      </c>
      <c r="F385" s="493" t="s">
        <v>1282</v>
      </c>
      <c r="G385" s="264">
        <v>50000</v>
      </c>
      <c r="H385" s="486" t="s">
        <v>20</v>
      </c>
      <c r="I385" s="232" t="s">
        <v>17</v>
      </c>
      <c r="J385" s="232" t="s">
        <v>43</v>
      </c>
      <c r="K385" s="232"/>
      <c r="L385" s="233"/>
      <c r="M385" s="233"/>
      <c r="N385" s="274"/>
      <c r="O385" s="232"/>
      <c r="P385" s="232"/>
      <c r="Q385" s="267"/>
    </row>
    <row r="386" spans="1:17" s="279" customFormat="1" ht="17.25" hidden="1" x14ac:dyDescent="0.3">
      <c r="A386" s="278"/>
      <c r="B386" s="608"/>
      <c r="C386" s="491"/>
      <c r="D386" s="491"/>
      <c r="E386" s="458"/>
      <c r="F386" s="495"/>
      <c r="G386" s="264">
        <v>23000</v>
      </c>
      <c r="H386" s="488"/>
      <c r="I386" s="232" t="s">
        <v>11</v>
      </c>
      <c r="J386" s="232" t="s">
        <v>1290</v>
      </c>
      <c r="K386" s="232"/>
      <c r="L386" s="233"/>
      <c r="M386" s="233"/>
      <c r="N386" s="274"/>
      <c r="O386" s="232"/>
      <c r="P386" s="232"/>
      <c r="Q386" s="267"/>
    </row>
    <row r="387" spans="1:17" s="279" customFormat="1" ht="27" hidden="1" x14ac:dyDescent="0.3">
      <c r="A387" s="278"/>
      <c r="B387" s="261" t="s">
        <v>91</v>
      </c>
      <c r="C387" s="262">
        <v>46061.411805555559</v>
      </c>
      <c r="D387" s="262">
        <v>46061.5</v>
      </c>
      <c r="E387" s="232" t="s">
        <v>166</v>
      </c>
      <c r="F387" s="324" t="s">
        <v>1295</v>
      </c>
      <c r="G387" s="264">
        <v>40000</v>
      </c>
      <c r="H387" s="261" t="s">
        <v>13</v>
      </c>
      <c r="I387" s="232" t="s">
        <v>17</v>
      </c>
      <c r="J387" s="232" t="s">
        <v>1298</v>
      </c>
      <c r="K387" s="232"/>
      <c r="L387" s="233" t="s">
        <v>1296</v>
      </c>
      <c r="M387" s="233" t="s">
        <v>16</v>
      </c>
      <c r="N387" s="274"/>
      <c r="O387" s="232"/>
      <c r="P387" s="232"/>
      <c r="Q387" s="267"/>
    </row>
    <row r="388" spans="1:17" s="279" customFormat="1" ht="27" hidden="1" x14ac:dyDescent="0.3">
      <c r="A388" s="278"/>
      <c r="B388" s="329" t="s">
        <v>1297</v>
      </c>
      <c r="C388" s="330">
        <v>46064</v>
      </c>
      <c r="D388" s="330" t="s">
        <v>1323</v>
      </c>
      <c r="E388" s="331" t="s">
        <v>166</v>
      </c>
      <c r="F388" s="332" t="s">
        <v>1305</v>
      </c>
      <c r="G388" s="336">
        <v>24785</v>
      </c>
      <c r="H388" s="329" t="s">
        <v>710</v>
      </c>
      <c r="I388" s="229" t="s">
        <v>17</v>
      </c>
      <c r="J388" s="229" t="s">
        <v>1313</v>
      </c>
      <c r="K388" s="229"/>
      <c r="L388" s="333"/>
      <c r="M388" s="333" t="s">
        <v>16</v>
      </c>
      <c r="N388" s="334"/>
      <c r="O388" s="331"/>
      <c r="P388" s="331"/>
      <c r="Q388" s="333" t="s">
        <v>1302</v>
      </c>
    </row>
    <row r="389" spans="1:17" s="279" customFormat="1" ht="27" hidden="1" x14ac:dyDescent="0.3">
      <c r="A389" s="278"/>
      <c r="B389" s="296" t="s">
        <v>1311</v>
      </c>
      <c r="C389" s="297">
        <v>46066.708333333336</v>
      </c>
      <c r="D389" s="297" t="s">
        <v>1324</v>
      </c>
      <c r="E389" s="229" t="s">
        <v>166</v>
      </c>
      <c r="F389" s="328" t="s">
        <v>1312</v>
      </c>
      <c r="G389" s="284">
        <v>40000</v>
      </c>
      <c r="H389" s="296" t="s">
        <v>710</v>
      </c>
      <c r="I389" s="229" t="s">
        <v>11</v>
      </c>
      <c r="J389" s="229" t="s">
        <v>48</v>
      </c>
      <c r="K389" s="229"/>
      <c r="L389" s="230"/>
      <c r="M389" s="230" t="s">
        <v>16</v>
      </c>
      <c r="N389" s="285"/>
      <c r="O389" s="229"/>
      <c r="P389" s="229"/>
      <c r="Q389" s="299"/>
    </row>
    <row r="390" spans="1:17" s="279" customFormat="1" ht="27" hidden="1" x14ac:dyDescent="0.3">
      <c r="A390" s="278"/>
      <c r="B390" s="296" t="s">
        <v>1320</v>
      </c>
      <c r="C390" s="297">
        <v>46069.020833333336</v>
      </c>
      <c r="D390" s="297" t="s">
        <v>1322</v>
      </c>
      <c r="E390" s="229" t="s">
        <v>166</v>
      </c>
      <c r="F390" s="328" t="s">
        <v>1282</v>
      </c>
      <c r="G390" s="284">
        <v>20000</v>
      </c>
      <c r="H390" s="296" t="s">
        <v>41</v>
      </c>
      <c r="I390" s="229" t="s">
        <v>17</v>
      </c>
      <c r="J390" s="229" t="s">
        <v>1313</v>
      </c>
      <c r="K390" s="229"/>
      <c r="L390" s="230" t="s">
        <v>1000</v>
      </c>
      <c r="M390" s="230" t="s">
        <v>16</v>
      </c>
      <c r="N390" s="285"/>
      <c r="O390" s="229"/>
      <c r="P390" s="229"/>
      <c r="Q390" s="299"/>
    </row>
    <row r="391" spans="1:17" s="279" customFormat="1" ht="27" hidden="1" x14ac:dyDescent="0.3">
      <c r="A391" s="278"/>
      <c r="B391" s="261" t="s">
        <v>1321</v>
      </c>
      <c r="C391" s="262">
        <v>46070.691666666666</v>
      </c>
      <c r="D391" s="262">
        <v>46070.783333333333</v>
      </c>
      <c r="E391" s="232" t="s">
        <v>166</v>
      </c>
      <c r="F391" s="324" t="s">
        <v>1142</v>
      </c>
      <c r="G391" s="264">
        <v>70000</v>
      </c>
      <c r="H391" s="261" t="s">
        <v>94</v>
      </c>
      <c r="I391" s="232" t="s">
        <v>17</v>
      </c>
      <c r="J391" s="232" t="s">
        <v>716</v>
      </c>
      <c r="K391" s="232"/>
      <c r="L391" s="233"/>
      <c r="M391" s="233"/>
      <c r="N391" s="274"/>
      <c r="O391" s="232"/>
      <c r="P391" s="232"/>
      <c r="Q391" s="267"/>
    </row>
    <row r="392" spans="1:17" s="279" customFormat="1" ht="27" hidden="1" x14ac:dyDescent="0.3">
      <c r="A392" s="278"/>
      <c r="B392" s="296" t="s">
        <v>1303</v>
      </c>
      <c r="C392" s="297">
        <v>46070.083333333336</v>
      </c>
      <c r="D392" s="297" t="s">
        <v>1328</v>
      </c>
      <c r="E392" s="229" t="s">
        <v>166</v>
      </c>
      <c r="F392" s="328" t="s">
        <v>1304</v>
      </c>
      <c r="G392" s="284">
        <v>40000</v>
      </c>
      <c r="H392" s="296" t="s">
        <v>710</v>
      </c>
      <c r="I392" s="229" t="s">
        <v>11</v>
      </c>
      <c r="J392" s="229" t="s">
        <v>1331</v>
      </c>
      <c r="K392" s="229"/>
      <c r="L392" s="230"/>
      <c r="M392" s="230" t="s">
        <v>16</v>
      </c>
      <c r="N392" s="285"/>
      <c r="O392" s="229"/>
      <c r="P392" s="229"/>
      <c r="Q392" s="299"/>
    </row>
    <row r="393" spans="1:17" s="279" customFormat="1" ht="27" hidden="1" x14ac:dyDescent="0.3">
      <c r="A393" s="278"/>
      <c r="B393" s="261" t="s">
        <v>1326</v>
      </c>
      <c r="C393" s="262">
        <v>46071.479166666664</v>
      </c>
      <c r="D393" s="262" t="s">
        <v>1329</v>
      </c>
      <c r="E393" s="232" t="s">
        <v>166</v>
      </c>
      <c r="F393" s="324" t="s">
        <v>1330</v>
      </c>
      <c r="G393" s="264">
        <v>35000</v>
      </c>
      <c r="H393" s="261" t="s">
        <v>710</v>
      </c>
      <c r="I393" s="232" t="s">
        <v>11</v>
      </c>
      <c r="J393" s="232" t="s">
        <v>1335</v>
      </c>
      <c r="K393" s="232"/>
      <c r="L393" s="233"/>
      <c r="M393" s="233" t="s">
        <v>16</v>
      </c>
      <c r="N393" s="274"/>
      <c r="O393" s="232"/>
      <c r="P393" s="232"/>
      <c r="Q393" s="267"/>
    </row>
    <row r="394" spans="1:17" s="279" customFormat="1" ht="27" hidden="1" x14ac:dyDescent="0.3">
      <c r="A394" s="278"/>
      <c r="B394" s="608" t="s">
        <v>1337</v>
      </c>
      <c r="C394" s="489">
        <v>46083.895833333336</v>
      </c>
      <c r="D394" s="489">
        <v>46084.79583333333</v>
      </c>
      <c r="E394" s="457" t="s">
        <v>166</v>
      </c>
      <c r="F394" s="324" t="s">
        <v>1340</v>
      </c>
      <c r="G394" s="264">
        <v>32999</v>
      </c>
      <c r="H394" s="486" t="s">
        <v>710</v>
      </c>
      <c r="I394" s="457" t="s">
        <v>11</v>
      </c>
      <c r="J394" s="232" t="s">
        <v>1342</v>
      </c>
      <c r="K394" s="232"/>
      <c r="L394" s="233"/>
      <c r="M394" s="472" t="s">
        <v>16</v>
      </c>
      <c r="N394" s="274"/>
      <c r="O394" s="232"/>
      <c r="P394" s="232"/>
      <c r="Q394" s="267"/>
    </row>
    <row r="395" spans="1:17" s="279" customFormat="1" ht="27" hidden="1" x14ac:dyDescent="0.3">
      <c r="A395" s="278"/>
      <c r="B395" s="608"/>
      <c r="C395" s="491"/>
      <c r="D395" s="491"/>
      <c r="E395" s="458"/>
      <c r="F395" s="324" t="s">
        <v>1341</v>
      </c>
      <c r="G395" s="264">
        <v>30263</v>
      </c>
      <c r="H395" s="488"/>
      <c r="I395" s="458"/>
      <c r="J395" s="232" t="s">
        <v>82</v>
      </c>
      <c r="K395" s="232"/>
      <c r="L395" s="233"/>
      <c r="M395" s="474"/>
      <c r="N395" s="274"/>
      <c r="O395" s="232"/>
      <c r="P395" s="232"/>
      <c r="Q395" s="267"/>
    </row>
    <row r="396" spans="1:17" s="279" customFormat="1" ht="17.25" hidden="1" x14ac:dyDescent="0.3">
      <c r="A396" s="278"/>
      <c r="B396" s="608" t="s">
        <v>1327</v>
      </c>
      <c r="C396" s="489">
        <v>46085.533333333333</v>
      </c>
      <c r="D396" s="489">
        <v>46087.666666666664</v>
      </c>
      <c r="E396" s="457" t="s">
        <v>166</v>
      </c>
      <c r="F396" s="672" t="s">
        <v>1304</v>
      </c>
      <c r="G396" s="264">
        <v>15000</v>
      </c>
      <c r="H396" s="486" t="s">
        <v>710</v>
      </c>
      <c r="I396" s="232" t="s">
        <v>11</v>
      </c>
      <c r="J396" s="232" t="s">
        <v>1317</v>
      </c>
      <c r="K396" s="232"/>
      <c r="L396" s="233"/>
      <c r="M396" s="472" t="s">
        <v>16</v>
      </c>
      <c r="N396" s="274"/>
      <c r="O396" s="232"/>
      <c r="P396" s="232"/>
      <c r="Q396" s="267"/>
    </row>
    <row r="397" spans="1:17" s="279" customFormat="1" ht="17.25" hidden="1" x14ac:dyDescent="0.3">
      <c r="A397" s="278"/>
      <c r="B397" s="608"/>
      <c r="C397" s="491"/>
      <c r="D397" s="491"/>
      <c r="E397" s="458"/>
      <c r="F397" s="672"/>
      <c r="G397" s="264">
        <v>45000</v>
      </c>
      <c r="H397" s="488"/>
      <c r="I397" s="232" t="s">
        <v>17</v>
      </c>
      <c r="J397" s="232" t="s">
        <v>1331</v>
      </c>
      <c r="K397" s="232"/>
      <c r="L397" s="233"/>
      <c r="M397" s="474"/>
      <c r="N397" s="274"/>
      <c r="O397" s="232"/>
      <c r="P397" s="232"/>
      <c r="Q397" s="267"/>
    </row>
    <row r="398" spans="1:17" s="279" customFormat="1" ht="17.25" hidden="1" x14ac:dyDescent="0.3">
      <c r="A398" s="278"/>
      <c r="B398" s="486" t="s">
        <v>738</v>
      </c>
      <c r="C398" s="489">
        <v>46088.404166666667</v>
      </c>
      <c r="D398" s="489">
        <v>46093.76666666667</v>
      </c>
      <c r="E398" s="457" t="s">
        <v>166</v>
      </c>
      <c r="F398" s="493" t="s">
        <v>1357</v>
      </c>
      <c r="G398" s="264">
        <v>12000</v>
      </c>
      <c r="H398" s="486" t="s">
        <v>94</v>
      </c>
      <c r="I398" s="232" t="s">
        <v>11</v>
      </c>
      <c r="J398" s="232" t="s">
        <v>1358</v>
      </c>
      <c r="K398" s="232"/>
      <c r="L398" s="233"/>
      <c r="M398" s="233"/>
      <c r="N398" s="274"/>
      <c r="O398" s="232"/>
      <c r="P398" s="232"/>
      <c r="Q398" s="267"/>
    </row>
    <row r="399" spans="1:17" s="279" customFormat="1" ht="17.25" hidden="1" x14ac:dyDescent="0.3">
      <c r="A399" s="278"/>
      <c r="B399" s="487"/>
      <c r="C399" s="490"/>
      <c r="D399" s="490"/>
      <c r="E399" s="492"/>
      <c r="F399" s="494"/>
      <c r="G399" s="264">
        <v>12000</v>
      </c>
      <c r="H399" s="487"/>
      <c r="I399" s="232" t="s">
        <v>11</v>
      </c>
      <c r="J399" s="232" t="s">
        <v>1317</v>
      </c>
      <c r="K399" s="232"/>
      <c r="L399" s="233"/>
      <c r="M399" s="233"/>
      <c r="N399" s="274"/>
      <c r="O399" s="232"/>
      <c r="P399" s="232"/>
      <c r="Q399" s="267"/>
    </row>
    <row r="400" spans="1:17" s="279" customFormat="1" ht="17.25" hidden="1" x14ac:dyDescent="0.3">
      <c r="A400" s="278"/>
      <c r="B400" s="488"/>
      <c r="C400" s="491"/>
      <c r="D400" s="491"/>
      <c r="E400" s="458"/>
      <c r="F400" s="495"/>
      <c r="G400" s="264">
        <v>50600</v>
      </c>
      <c r="H400" s="488"/>
      <c r="I400" s="232" t="s">
        <v>17</v>
      </c>
      <c r="J400" s="232" t="s">
        <v>1359</v>
      </c>
      <c r="K400" s="232"/>
      <c r="L400" s="233"/>
      <c r="M400" s="233"/>
      <c r="N400" s="274"/>
      <c r="O400" s="232"/>
      <c r="P400" s="232"/>
      <c r="Q400" s="267"/>
    </row>
    <row r="401" spans="1:20" ht="17.25" hidden="1" x14ac:dyDescent="0.3">
      <c r="B401" s="486" t="s">
        <v>1362</v>
      </c>
      <c r="C401" s="489">
        <v>46091.145833333336</v>
      </c>
      <c r="D401" s="489">
        <v>46096.7</v>
      </c>
      <c r="E401" s="457" t="s">
        <v>1366</v>
      </c>
      <c r="F401" s="493" t="s">
        <v>1142</v>
      </c>
      <c r="G401" s="264">
        <v>15000</v>
      </c>
      <c r="H401" s="486" t="s">
        <v>1367</v>
      </c>
      <c r="I401" s="232" t="s">
        <v>1368</v>
      </c>
      <c r="J401" s="232" t="s">
        <v>1370</v>
      </c>
      <c r="K401" s="232"/>
      <c r="L401" s="472" t="s">
        <v>1373</v>
      </c>
      <c r="M401" s="472" t="s">
        <v>1372</v>
      </c>
      <c r="N401" s="274"/>
      <c r="O401" s="232"/>
      <c r="P401" s="232"/>
      <c r="Q401" s="267"/>
    </row>
    <row r="402" spans="1:20" ht="17.25" hidden="1" x14ac:dyDescent="0.3">
      <c r="B402" s="488"/>
      <c r="C402" s="491"/>
      <c r="D402" s="491"/>
      <c r="E402" s="458"/>
      <c r="F402" s="495"/>
      <c r="G402" s="264">
        <v>15000</v>
      </c>
      <c r="H402" s="488"/>
      <c r="I402" s="232" t="s">
        <v>1369</v>
      </c>
      <c r="J402" s="232" t="s">
        <v>1371</v>
      </c>
      <c r="K402" s="232"/>
      <c r="L402" s="474"/>
      <c r="M402" s="474"/>
      <c r="N402" s="274"/>
      <c r="O402" s="232"/>
      <c r="P402" s="232"/>
      <c r="Q402" s="267"/>
    </row>
    <row r="403" spans="1:20" ht="17.25" hidden="1" x14ac:dyDescent="0.3">
      <c r="B403" s="486" t="s">
        <v>1375</v>
      </c>
      <c r="C403" s="489">
        <v>46091.083333333336</v>
      </c>
      <c r="D403" s="489">
        <v>46097.662499999999</v>
      </c>
      <c r="E403" s="457" t="s">
        <v>166</v>
      </c>
      <c r="F403" s="493" t="s">
        <v>1379</v>
      </c>
      <c r="G403" s="264">
        <v>20000</v>
      </c>
      <c r="H403" s="475" t="s">
        <v>710</v>
      </c>
      <c r="I403" s="457" t="s">
        <v>11</v>
      </c>
      <c r="J403" s="232" t="s">
        <v>30</v>
      </c>
      <c r="K403" s="232"/>
      <c r="L403" s="233"/>
      <c r="M403" s="472" t="s">
        <v>16</v>
      </c>
      <c r="N403" s="274"/>
      <c r="O403" s="232"/>
      <c r="P403" s="232"/>
      <c r="Q403" s="267"/>
    </row>
    <row r="404" spans="1:20" ht="17.25" hidden="1" x14ac:dyDescent="0.3">
      <c r="B404" s="487"/>
      <c r="C404" s="490"/>
      <c r="D404" s="490"/>
      <c r="E404" s="492"/>
      <c r="F404" s="494"/>
      <c r="G404" s="264">
        <v>20000</v>
      </c>
      <c r="H404" s="476"/>
      <c r="I404" s="458"/>
      <c r="J404" s="232" t="s">
        <v>1377</v>
      </c>
      <c r="K404" s="232"/>
      <c r="L404" s="233"/>
      <c r="M404" s="473"/>
      <c r="N404" s="274"/>
      <c r="O404" s="232"/>
      <c r="P404" s="232"/>
      <c r="Q404" s="267"/>
    </row>
    <row r="405" spans="1:20" ht="17.25" hidden="1" x14ac:dyDescent="0.3">
      <c r="B405" s="488"/>
      <c r="C405" s="491"/>
      <c r="D405" s="491"/>
      <c r="E405" s="458"/>
      <c r="F405" s="495"/>
      <c r="G405" s="264">
        <v>15000</v>
      </c>
      <c r="H405" s="477"/>
      <c r="I405" s="232" t="s">
        <v>17</v>
      </c>
      <c r="J405" s="232" t="s">
        <v>1143</v>
      </c>
      <c r="K405" s="232"/>
      <c r="L405" s="233"/>
      <c r="M405" s="474"/>
      <c r="N405" s="274"/>
      <c r="O405" s="232"/>
      <c r="P405" s="232"/>
      <c r="Q405" s="267"/>
    </row>
    <row r="406" spans="1:20" hidden="1" x14ac:dyDescent="0.3">
      <c r="B406" s="486" t="s">
        <v>1376</v>
      </c>
      <c r="C406" s="489">
        <v>46093.375</v>
      </c>
      <c r="D406" s="489">
        <v>46100</v>
      </c>
      <c r="E406" s="457" t="s">
        <v>166</v>
      </c>
      <c r="F406" s="493" t="s">
        <v>1378</v>
      </c>
      <c r="G406" s="264">
        <v>25000</v>
      </c>
      <c r="H406" s="486" t="s">
        <v>710</v>
      </c>
      <c r="I406" s="457" t="s">
        <v>17</v>
      </c>
      <c r="J406" s="232" t="s">
        <v>440</v>
      </c>
      <c r="K406" s="232"/>
      <c r="L406" s="472"/>
      <c r="M406" s="472" t="s">
        <v>16</v>
      </c>
      <c r="N406" s="455"/>
      <c r="O406" s="457"/>
      <c r="P406" s="457"/>
      <c r="Q406" s="459"/>
    </row>
    <row r="407" spans="1:20" ht="17.25" hidden="1" customHeight="1" x14ac:dyDescent="0.3">
      <c r="B407" s="488"/>
      <c r="C407" s="491"/>
      <c r="D407" s="491"/>
      <c r="E407" s="458"/>
      <c r="F407" s="495"/>
      <c r="G407" s="264">
        <v>5000</v>
      </c>
      <c r="H407" s="488"/>
      <c r="I407" s="458"/>
      <c r="J407" s="232" t="s">
        <v>559</v>
      </c>
      <c r="K407" s="232"/>
      <c r="L407" s="474"/>
      <c r="M407" s="474"/>
      <c r="N407" s="456"/>
      <c r="O407" s="458"/>
      <c r="P407" s="458"/>
      <c r="Q407" s="460"/>
    </row>
    <row r="408" spans="1:20" ht="17.25" hidden="1" customHeight="1" x14ac:dyDescent="0.3">
      <c r="B408" s="486" t="s">
        <v>1386</v>
      </c>
      <c r="C408" s="489">
        <v>46111.604166666664</v>
      </c>
      <c r="D408" s="489">
        <v>46122.75</v>
      </c>
      <c r="E408" s="457" t="s">
        <v>166</v>
      </c>
      <c r="F408" s="493" t="s">
        <v>1382</v>
      </c>
      <c r="G408" s="264">
        <v>30000</v>
      </c>
      <c r="H408" s="486" t="s">
        <v>710</v>
      </c>
      <c r="I408" s="232" t="s">
        <v>11</v>
      </c>
      <c r="J408" s="232" t="s">
        <v>986</v>
      </c>
      <c r="K408" s="232"/>
      <c r="L408" s="472" t="s">
        <v>1385</v>
      </c>
      <c r="M408" s="472" t="s">
        <v>16</v>
      </c>
      <c r="N408" s="695"/>
      <c r="O408" s="697"/>
      <c r="P408" s="457"/>
      <c r="Q408" s="459"/>
    </row>
    <row r="409" spans="1:20" ht="17.25" hidden="1" customHeight="1" x14ac:dyDescent="0.3">
      <c r="B409" s="488"/>
      <c r="C409" s="491"/>
      <c r="D409" s="491"/>
      <c r="E409" s="458"/>
      <c r="F409" s="495"/>
      <c r="G409" s="369">
        <v>31000</v>
      </c>
      <c r="H409" s="488"/>
      <c r="I409" s="232" t="s">
        <v>17</v>
      </c>
      <c r="J409" s="232" t="s">
        <v>82</v>
      </c>
      <c r="K409" s="232"/>
      <c r="L409" s="474"/>
      <c r="M409" s="474"/>
      <c r="N409" s="696"/>
      <c r="O409" s="698"/>
      <c r="P409" s="458"/>
      <c r="Q409" s="460"/>
    </row>
    <row r="410" spans="1:20" ht="17.25" hidden="1" customHeight="1" x14ac:dyDescent="0.3">
      <c r="B410" s="436" t="s">
        <v>1386</v>
      </c>
      <c r="C410" s="438">
        <v>46113.9375</v>
      </c>
      <c r="D410" s="438">
        <v>46131.5</v>
      </c>
      <c r="E410" s="440" t="s">
        <v>166</v>
      </c>
      <c r="F410" s="442" t="s">
        <v>1387</v>
      </c>
      <c r="G410" s="444">
        <v>42595</v>
      </c>
      <c r="H410" s="436" t="s">
        <v>710</v>
      </c>
      <c r="I410" s="127"/>
      <c r="J410" s="127"/>
      <c r="K410" s="127"/>
      <c r="L410" s="446" t="s">
        <v>1385</v>
      </c>
      <c r="M410" s="446"/>
      <c r="N410" s="415"/>
      <c r="O410" s="416"/>
      <c r="P410" s="440"/>
      <c r="Q410" s="470"/>
    </row>
    <row r="411" spans="1:20" ht="17.25" hidden="1" customHeight="1" x14ac:dyDescent="0.3">
      <c r="B411" s="437"/>
      <c r="C411" s="439"/>
      <c r="D411" s="439"/>
      <c r="E411" s="441"/>
      <c r="F411" s="443"/>
      <c r="G411" s="445"/>
      <c r="H411" s="437"/>
      <c r="I411" s="127"/>
      <c r="J411" s="127"/>
      <c r="K411" s="127"/>
      <c r="L411" s="447"/>
      <c r="M411" s="447"/>
      <c r="N411" s="417"/>
      <c r="O411" s="418"/>
      <c r="P411" s="441"/>
      <c r="Q411" s="471"/>
    </row>
    <row r="412" spans="1:20" ht="17.25" customHeight="1" x14ac:dyDescent="0.3">
      <c r="B412" s="391" t="s">
        <v>1386</v>
      </c>
      <c r="C412" s="392">
        <v>46136.074999999997</v>
      </c>
      <c r="D412" s="307">
        <v>46136.087500000001</v>
      </c>
      <c r="E412" s="392" t="s">
        <v>166</v>
      </c>
      <c r="F412" s="393" t="s">
        <v>1325</v>
      </c>
      <c r="G412" s="264">
        <v>29655</v>
      </c>
      <c r="H412" s="370" t="s">
        <v>710</v>
      </c>
      <c r="I412" s="232" t="s">
        <v>17</v>
      </c>
      <c r="J412" s="232" t="s">
        <v>1397</v>
      </c>
      <c r="K412" s="232"/>
      <c r="L412" s="314" t="s">
        <v>1385</v>
      </c>
      <c r="M412" s="164" t="s">
        <v>16</v>
      </c>
      <c r="N412" s="274"/>
      <c r="O412" s="372"/>
      <c r="P412" s="231"/>
      <c r="Q412" s="325"/>
    </row>
    <row r="413" spans="1:20" s="1" customFormat="1" ht="19.5" customHeight="1" x14ac:dyDescent="0.3">
      <c r="A413" s="18"/>
      <c r="B413" s="276" t="s">
        <v>1391</v>
      </c>
      <c r="C413" s="319">
        <v>46131.697916666664</v>
      </c>
      <c r="D413" s="297">
        <v>46138</v>
      </c>
      <c r="E413" s="319" t="s">
        <v>166</v>
      </c>
      <c r="F413" s="387" t="s">
        <v>1392</v>
      </c>
      <c r="G413" s="388">
        <v>30532</v>
      </c>
      <c r="H413" s="239" t="s">
        <v>122</v>
      </c>
      <c r="I413" s="389" t="s">
        <v>11</v>
      </c>
      <c r="J413" s="390" t="s">
        <v>1019</v>
      </c>
      <c r="K413" s="276"/>
      <c r="L413" s="230" t="s">
        <v>1003</v>
      </c>
      <c r="M413" s="85" t="s">
        <v>16</v>
      </c>
      <c r="N413" s="242"/>
      <c r="O413" s="69"/>
      <c r="P413" s="85"/>
      <c r="Q413" s="340" t="s">
        <v>1393</v>
      </c>
      <c r="S413" s="8"/>
    </row>
    <row r="414" spans="1:20" s="1" customFormat="1" ht="19.5" customHeight="1" x14ac:dyDescent="0.3">
      <c r="A414" s="18"/>
      <c r="B414" s="45"/>
      <c r="C414" s="344"/>
      <c r="D414" s="382"/>
      <c r="E414" s="344"/>
      <c r="F414" s="383"/>
      <c r="G414" s="46"/>
      <c r="H414" s="346"/>
      <c r="I414" s="50"/>
      <c r="J414" s="384"/>
      <c r="K414" s="45"/>
      <c r="L414" s="385"/>
      <c r="M414" s="343"/>
      <c r="N414" s="347"/>
      <c r="O414" s="4"/>
      <c r="P414" s="343"/>
      <c r="Q414" s="386"/>
      <c r="S414" s="8"/>
    </row>
    <row r="415" spans="1:20" s="1" customFormat="1" ht="24" x14ac:dyDescent="0.3">
      <c r="A415" s="157"/>
      <c r="B415" s="6" t="s">
        <v>93</v>
      </c>
      <c r="C415" s="44"/>
      <c r="D415" s="44"/>
      <c r="E415" s="44"/>
      <c r="F415" s="45"/>
      <c r="G415" s="44"/>
      <c r="H415" s="47"/>
      <c r="I415" s="4"/>
      <c r="J415" s="48"/>
      <c r="K415" s="45"/>
      <c r="L415" s="45" t="s">
        <v>27</v>
      </c>
      <c r="M415" s="49"/>
      <c r="N415" s="50"/>
      <c r="O415" s="50"/>
      <c r="P415" s="50"/>
      <c r="Q415" s="50"/>
      <c r="T415" s="8"/>
    </row>
    <row r="416" spans="1:20" s="1" customFormat="1" ht="20.25" x14ac:dyDescent="0.3">
      <c r="A416" s="157"/>
      <c r="B416" s="7" t="s">
        <v>157</v>
      </c>
      <c r="C416" s="44"/>
      <c r="D416" s="44"/>
      <c r="E416" s="44"/>
      <c r="F416" s="45"/>
      <c r="G416" s="46"/>
      <c r="H416" s="47"/>
      <c r="I416" s="50"/>
      <c r="J416" s="50"/>
      <c r="K416" s="45"/>
      <c r="L416" s="45"/>
      <c r="M416" s="45"/>
      <c r="N416" s="50"/>
      <c r="O416" s="50"/>
      <c r="P416" s="50"/>
      <c r="Q416" s="50"/>
    </row>
    <row r="417" spans="1:21" s="1" customFormat="1" ht="18" customHeight="1" x14ac:dyDescent="0.3">
      <c r="A417" s="158"/>
      <c r="B417" s="9" t="s">
        <v>0</v>
      </c>
      <c r="C417" s="671" t="s">
        <v>33</v>
      </c>
      <c r="D417" s="671"/>
      <c r="E417" s="671"/>
      <c r="F417" s="94" t="s">
        <v>159</v>
      </c>
      <c r="G417" s="10" t="s">
        <v>3</v>
      </c>
      <c r="H417" s="9" t="s">
        <v>2</v>
      </c>
      <c r="I417" s="94" t="s">
        <v>6</v>
      </c>
      <c r="J417" s="94" t="s">
        <v>5</v>
      </c>
      <c r="K417" s="9" t="s">
        <v>52</v>
      </c>
      <c r="L417" s="9" t="s">
        <v>7</v>
      </c>
      <c r="M417" s="9" t="s">
        <v>8</v>
      </c>
      <c r="N417" s="94" t="s">
        <v>1389</v>
      </c>
      <c r="O417" s="94" t="s">
        <v>1390</v>
      </c>
      <c r="P417" s="94" t="s">
        <v>508</v>
      </c>
      <c r="Q417" s="94" t="s">
        <v>10</v>
      </c>
      <c r="U417"/>
    </row>
    <row r="418" spans="1:21" s="1" customFormat="1" ht="19.5" hidden="1" customHeight="1" x14ac:dyDescent="0.3">
      <c r="A418" s="18"/>
      <c r="B418" s="429" t="s">
        <v>31</v>
      </c>
      <c r="C418" s="586">
        <v>45461.791666666664</v>
      </c>
      <c r="D418" s="586"/>
      <c r="E418" s="586"/>
      <c r="F418" s="146" t="s">
        <v>531</v>
      </c>
      <c r="G418" s="78">
        <v>9000</v>
      </c>
      <c r="H418" s="587" t="s">
        <v>94</v>
      </c>
      <c r="I418" s="73" t="s">
        <v>17</v>
      </c>
      <c r="J418" s="105" t="s">
        <v>547</v>
      </c>
      <c r="K418" s="75"/>
      <c r="L418" s="75"/>
      <c r="M418" s="587" t="s">
        <v>16</v>
      </c>
      <c r="N418" s="148"/>
      <c r="O418" s="145"/>
      <c r="P418" s="532" t="s">
        <v>16</v>
      </c>
      <c r="Q418" s="147"/>
    </row>
    <row r="419" spans="1:21" s="1" customFormat="1" ht="19.5" hidden="1" customHeight="1" x14ac:dyDescent="0.3">
      <c r="A419" s="18"/>
      <c r="B419" s="429"/>
      <c r="C419" s="586"/>
      <c r="D419" s="586"/>
      <c r="E419" s="586"/>
      <c r="F419" s="146" t="s">
        <v>511</v>
      </c>
      <c r="G419" s="78">
        <v>5000</v>
      </c>
      <c r="H419" s="587"/>
      <c r="I419" s="73" t="s">
        <v>23</v>
      </c>
      <c r="J419" s="105" t="s">
        <v>545</v>
      </c>
      <c r="K419" s="75"/>
      <c r="L419" s="75"/>
      <c r="M419" s="587"/>
      <c r="N419" s="148"/>
      <c r="O419" s="145"/>
      <c r="P419" s="532"/>
      <c r="Q419" s="147"/>
    </row>
    <row r="420" spans="1:21" s="1" customFormat="1" ht="19.5" hidden="1" customHeight="1" x14ac:dyDescent="0.3">
      <c r="A420" s="18"/>
      <c r="B420" s="75" t="s">
        <v>540</v>
      </c>
      <c r="C420" s="586">
        <v>45462.833333333336</v>
      </c>
      <c r="D420" s="586"/>
      <c r="E420" s="586"/>
      <c r="F420" s="146" t="s">
        <v>446</v>
      </c>
      <c r="G420" s="78">
        <v>8500</v>
      </c>
      <c r="H420" s="150" t="s">
        <v>13</v>
      </c>
      <c r="I420" s="73" t="s">
        <v>17</v>
      </c>
      <c r="J420" s="105" t="s">
        <v>543</v>
      </c>
      <c r="K420" s="75"/>
      <c r="L420" s="75"/>
      <c r="M420" s="150"/>
      <c r="N420" s="148"/>
      <c r="O420" s="145"/>
      <c r="P420" s="145" t="s">
        <v>11</v>
      </c>
      <c r="Q420" s="147" t="s">
        <v>544</v>
      </c>
    </row>
    <row r="421" spans="1:21" s="1" customFormat="1" ht="19.5" hidden="1" customHeight="1" x14ac:dyDescent="0.3">
      <c r="A421" s="18"/>
      <c r="B421" s="75" t="s">
        <v>541</v>
      </c>
      <c r="C421" s="586">
        <v>45464.333333333336</v>
      </c>
      <c r="D421" s="586"/>
      <c r="E421" s="586"/>
      <c r="F421" s="146" t="s">
        <v>446</v>
      </c>
      <c r="G421" s="78">
        <v>8500</v>
      </c>
      <c r="H421" s="150" t="s">
        <v>13</v>
      </c>
      <c r="I421" s="73" t="s">
        <v>17</v>
      </c>
      <c r="J421" s="105" t="s">
        <v>125</v>
      </c>
      <c r="K421" s="75"/>
      <c r="L421" s="75"/>
      <c r="M421" s="150"/>
      <c r="N421" s="148"/>
      <c r="O421" s="145"/>
      <c r="P421" s="145" t="s">
        <v>16</v>
      </c>
      <c r="Q421" s="147" t="s">
        <v>554</v>
      </c>
    </row>
    <row r="422" spans="1:21" s="1" customFormat="1" ht="19.5" hidden="1" customHeight="1" x14ac:dyDescent="0.3">
      <c r="A422" s="18"/>
      <c r="B422" s="450" t="s">
        <v>542</v>
      </c>
      <c r="C422" s="584">
        <v>45464.916666666664</v>
      </c>
      <c r="D422" s="584"/>
      <c r="E422" s="584"/>
      <c r="F422" s="584" t="s">
        <v>446</v>
      </c>
      <c r="G422" s="96">
        <v>3000</v>
      </c>
      <c r="H422" s="585" t="s">
        <v>13</v>
      </c>
      <c r="I422" s="86" t="s">
        <v>17</v>
      </c>
      <c r="J422" s="64" t="s">
        <v>81</v>
      </c>
      <c r="K422" s="95"/>
      <c r="L422" s="95"/>
      <c r="M422" s="125"/>
      <c r="N422" s="126" t="s">
        <v>254</v>
      </c>
      <c r="O422" s="124" t="s">
        <v>239</v>
      </c>
      <c r="P422" s="430" t="s">
        <v>16</v>
      </c>
      <c r="Q422" s="589" t="s">
        <v>553</v>
      </c>
    </row>
    <row r="423" spans="1:21" s="1" customFormat="1" ht="19.5" hidden="1" customHeight="1" x14ac:dyDescent="0.3">
      <c r="A423" s="18"/>
      <c r="B423" s="450"/>
      <c r="C423" s="584"/>
      <c r="D423" s="584"/>
      <c r="E423" s="584"/>
      <c r="F423" s="584"/>
      <c r="G423" s="96">
        <v>5500</v>
      </c>
      <c r="H423" s="585"/>
      <c r="I423" s="86" t="s">
        <v>17</v>
      </c>
      <c r="J423" s="64" t="s">
        <v>555</v>
      </c>
      <c r="K423" s="95"/>
      <c r="L423" s="95"/>
      <c r="M423" s="125"/>
      <c r="N423" s="126"/>
      <c r="O423" s="124"/>
      <c r="P423" s="430"/>
      <c r="Q423" s="589"/>
    </row>
    <row r="424" spans="1:21" s="1" customFormat="1" ht="19.5" hidden="1" customHeight="1" x14ac:dyDescent="0.3">
      <c r="A424" s="18"/>
      <c r="B424" s="450" t="s">
        <v>478</v>
      </c>
      <c r="C424" s="584">
        <v>45465.75</v>
      </c>
      <c r="D424" s="584"/>
      <c r="E424" s="584"/>
      <c r="F424" s="143" t="s">
        <v>550</v>
      </c>
      <c r="G424" s="96">
        <v>13009</v>
      </c>
      <c r="H424" s="585" t="s">
        <v>224</v>
      </c>
      <c r="I424" s="86" t="s">
        <v>23</v>
      </c>
      <c r="J424" s="64" t="s">
        <v>77</v>
      </c>
      <c r="K424" s="95"/>
      <c r="L424" s="95"/>
      <c r="M424" s="585" t="s">
        <v>16</v>
      </c>
      <c r="N424" s="126" t="s">
        <v>254</v>
      </c>
      <c r="O424" s="124" t="s">
        <v>239</v>
      </c>
      <c r="P424" s="430" t="s">
        <v>16</v>
      </c>
      <c r="Q424" s="149" t="s">
        <v>551</v>
      </c>
    </row>
    <row r="425" spans="1:21" s="1" customFormat="1" ht="19.5" hidden="1" customHeight="1" x14ac:dyDescent="0.3">
      <c r="A425" s="18"/>
      <c r="B425" s="450"/>
      <c r="C425" s="584"/>
      <c r="D425" s="584"/>
      <c r="E425" s="584"/>
      <c r="F425" s="143" t="s">
        <v>550</v>
      </c>
      <c r="G425" s="96">
        <v>3641</v>
      </c>
      <c r="H425" s="585"/>
      <c r="I425" s="86" t="s">
        <v>23</v>
      </c>
      <c r="J425" s="64" t="s">
        <v>45</v>
      </c>
      <c r="K425" s="95"/>
      <c r="L425" s="95"/>
      <c r="M425" s="585"/>
      <c r="N425" s="126"/>
      <c r="O425" s="124"/>
      <c r="P425" s="430"/>
      <c r="Q425" s="149" t="s">
        <v>552</v>
      </c>
    </row>
    <row r="426" spans="1:21" s="1" customFormat="1" ht="19.5" hidden="1" customHeight="1" x14ac:dyDescent="0.3">
      <c r="A426" s="18"/>
      <c r="B426" s="95" t="s">
        <v>31</v>
      </c>
      <c r="C426" s="584">
        <v>45468</v>
      </c>
      <c r="D426" s="584"/>
      <c r="E426" s="584"/>
      <c r="F426" s="143" t="s">
        <v>531</v>
      </c>
      <c r="G426" s="96">
        <v>9000</v>
      </c>
      <c r="H426" s="125" t="s">
        <v>94</v>
      </c>
      <c r="I426" s="86" t="s">
        <v>17</v>
      </c>
      <c r="J426" s="64" t="s">
        <v>547</v>
      </c>
      <c r="K426" s="95"/>
      <c r="L426" s="95"/>
      <c r="M426" s="125" t="s">
        <v>16</v>
      </c>
      <c r="N426" s="126"/>
      <c r="O426" s="124"/>
      <c r="P426" s="124" t="s">
        <v>16</v>
      </c>
      <c r="Q426" s="144"/>
    </row>
    <row r="427" spans="1:21" s="1" customFormat="1" ht="19.5" hidden="1" customHeight="1" x14ac:dyDescent="0.3">
      <c r="A427" s="18"/>
      <c r="B427" s="429" t="s">
        <v>546</v>
      </c>
      <c r="C427" s="586">
        <v>45468.319444444445</v>
      </c>
      <c r="D427" s="586"/>
      <c r="E427" s="586"/>
      <c r="F427" s="146" t="s">
        <v>22</v>
      </c>
      <c r="G427" s="78">
        <v>6500</v>
      </c>
      <c r="H427" s="587" t="s">
        <v>13</v>
      </c>
      <c r="I427" s="73" t="s">
        <v>11</v>
      </c>
      <c r="J427" s="105" t="s">
        <v>36</v>
      </c>
      <c r="K427" s="75"/>
      <c r="L427" s="75"/>
      <c r="M427" s="587" t="s">
        <v>16</v>
      </c>
      <c r="N427" s="148"/>
      <c r="O427" s="145"/>
      <c r="P427" s="532" t="s">
        <v>11</v>
      </c>
      <c r="Q427" s="588" t="s">
        <v>557</v>
      </c>
    </row>
    <row r="428" spans="1:21" s="1" customFormat="1" ht="19.5" hidden="1" customHeight="1" x14ac:dyDescent="0.3">
      <c r="A428" s="18"/>
      <c r="B428" s="429"/>
      <c r="C428" s="586"/>
      <c r="D428" s="586"/>
      <c r="E428" s="586"/>
      <c r="F428" s="146" t="s">
        <v>531</v>
      </c>
      <c r="G428" s="78">
        <v>2000</v>
      </c>
      <c r="H428" s="587"/>
      <c r="I428" s="73" t="s">
        <v>17</v>
      </c>
      <c r="J428" s="105" t="s">
        <v>559</v>
      </c>
      <c r="K428" s="75"/>
      <c r="L428" s="75"/>
      <c r="M428" s="587"/>
      <c r="N428" s="148"/>
      <c r="O428" s="145"/>
      <c r="P428" s="532"/>
      <c r="Q428" s="588"/>
    </row>
    <row r="429" spans="1:21" s="1" customFormat="1" ht="19.5" hidden="1" customHeight="1" x14ac:dyDescent="0.3">
      <c r="A429" s="18"/>
      <c r="B429" s="75" t="s">
        <v>563</v>
      </c>
      <c r="C429" s="586">
        <v>45471.333333333336</v>
      </c>
      <c r="D429" s="586"/>
      <c r="E429" s="586"/>
      <c r="F429" s="146" t="s">
        <v>22</v>
      </c>
      <c r="G429" s="78">
        <v>8500</v>
      </c>
      <c r="H429" s="150" t="s">
        <v>13</v>
      </c>
      <c r="I429" s="73" t="s">
        <v>11</v>
      </c>
      <c r="J429" s="105" t="s">
        <v>36</v>
      </c>
      <c r="K429" s="75"/>
      <c r="L429" s="75"/>
      <c r="M429" s="150"/>
      <c r="N429" s="148"/>
      <c r="O429" s="145"/>
      <c r="P429" s="145" t="s">
        <v>11</v>
      </c>
      <c r="Q429" s="147" t="s">
        <v>561</v>
      </c>
    </row>
    <row r="430" spans="1:21" s="1" customFormat="1" ht="19.5" hidden="1" customHeight="1" x14ac:dyDescent="0.3">
      <c r="A430" s="18"/>
      <c r="B430" s="95" t="s">
        <v>31</v>
      </c>
      <c r="C430" s="584">
        <v>45472.416666666664</v>
      </c>
      <c r="D430" s="584"/>
      <c r="E430" s="584"/>
      <c r="F430" s="143" t="s">
        <v>511</v>
      </c>
      <c r="G430" s="96">
        <v>5000</v>
      </c>
      <c r="H430" s="125" t="s">
        <v>94</v>
      </c>
      <c r="I430" s="86" t="s">
        <v>23</v>
      </c>
      <c r="J430" s="64" t="s">
        <v>567</v>
      </c>
      <c r="K430" s="95"/>
      <c r="L430" s="95"/>
      <c r="M430" s="125" t="s">
        <v>16</v>
      </c>
      <c r="N430" s="126"/>
      <c r="O430" s="124"/>
      <c r="P430" s="124" t="s">
        <v>16</v>
      </c>
      <c r="Q430" s="144"/>
    </row>
    <row r="431" spans="1:21" s="1" customFormat="1" ht="19.5" hidden="1" customHeight="1" x14ac:dyDescent="0.3">
      <c r="A431" s="18"/>
      <c r="B431" s="75" t="s">
        <v>564</v>
      </c>
      <c r="C431" s="586">
        <v>45474.916666666664</v>
      </c>
      <c r="D431" s="586"/>
      <c r="E431" s="586"/>
      <c r="F431" s="146" t="s">
        <v>22</v>
      </c>
      <c r="G431" s="78">
        <v>8500</v>
      </c>
      <c r="H431" s="150" t="s">
        <v>13</v>
      </c>
      <c r="I431" s="73" t="s">
        <v>11</v>
      </c>
      <c r="J431" s="105" t="s">
        <v>223</v>
      </c>
      <c r="K431" s="75"/>
      <c r="L431" s="75"/>
      <c r="M431" s="150"/>
      <c r="N431" s="148"/>
      <c r="O431" s="145"/>
      <c r="P431" s="145" t="s">
        <v>11</v>
      </c>
      <c r="Q431" s="147" t="s">
        <v>562</v>
      </c>
    </row>
    <row r="432" spans="1:21" s="1" customFormat="1" ht="19.5" hidden="1" customHeight="1" x14ac:dyDescent="0.3">
      <c r="A432" s="18"/>
      <c r="B432" s="75" t="s">
        <v>565</v>
      </c>
      <c r="C432" s="586">
        <v>45476.333333333336</v>
      </c>
      <c r="D432" s="586"/>
      <c r="E432" s="586"/>
      <c r="F432" s="146" t="s">
        <v>22</v>
      </c>
      <c r="G432" s="78">
        <v>8500</v>
      </c>
      <c r="H432" s="150" t="s">
        <v>13</v>
      </c>
      <c r="I432" s="73" t="s">
        <v>11</v>
      </c>
      <c r="J432" s="105" t="s">
        <v>223</v>
      </c>
      <c r="K432" s="75"/>
      <c r="L432" s="75"/>
      <c r="M432" s="150"/>
      <c r="N432" s="148"/>
      <c r="O432" s="145"/>
      <c r="P432" s="145" t="s">
        <v>11</v>
      </c>
      <c r="Q432" s="147" t="s">
        <v>566</v>
      </c>
    </row>
    <row r="433" spans="1:17" s="1" customFormat="1" ht="19.5" hidden="1" customHeight="1" x14ac:dyDescent="0.3">
      <c r="A433" s="18"/>
      <c r="B433" s="429" t="s">
        <v>31</v>
      </c>
      <c r="C433" s="586">
        <v>45477.916666666664</v>
      </c>
      <c r="D433" s="586"/>
      <c r="E433" s="586"/>
      <c r="F433" s="146" t="s">
        <v>531</v>
      </c>
      <c r="G433" s="78">
        <v>9000</v>
      </c>
      <c r="H433" s="587" t="s">
        <v>94</v>
      </c>
      <c r="I433" s="73" t="s">
        <v>17</v>
      </c>
      <c r="J433" s="105" t="s">
        <v>576</v>
      </c>
      <c r="K433" s="75"/>
      <c r="L433" s="75"/>
      <c r="M433" s="587" t="s">
        <v>16</v>
      </c>
      <c r="N433" s="148"/>
      <c r="O433" s="145"/>
      <c r="P433" s="532" t="s">
        <v>16</v>
      </c>
      <c r="Q433" s="147"/>
    </row>
    <row r="434" spans="1:17" s="1" customFormat="1" ht="19.5" hidden="1" customHeight="1" x14ac:dyDescent="0.3">
      <c r="A434" s="18"/>
      <c r="B434" s="429"/>
      <c r="C434" s="586"/>
      <c r="D434" s="586"/>
      <c r="E434" s="586"/>
      <c r="F434" s="146" t="s">
        <v>511</v>
      </c>
      <c r="G434" s="78">
        <v>5000</v>
      </c>
      <c r="H434" s="587"/>
      <c r="I434" s="73" t="s">
        <v>23</v>
      </c>
      <c r="J434" s="105" t="s">
        <v>575</v>
      </c>
      <c r="K434" s="75"/>
      <c r="L434" s="75"/>
      <c r="M434" s="587"/>
      <c r="N434" s="148"/>
      <c r="O434" s="145"/>
      <c r="P434" s="532"/>
      <c r="Q434" s="147"/>
    </row>
    <row r="435" spans="1:17" s="1" customFormat="1" ht="19.5" hidden="1" customHeight="1" x14ac:dyDescent="0.3">
      <c r="A435" s="18"/>
      <c r="B435" s="95" t="s">
        <v>558</v>
      </c>
      <c r="C435" s="584">
        <v>45478.916666666664</v>
      </c>
      <c r="D435" s="584"/>
      <c r="E435" s="584"/>
      <c r="F435" s="143" t="s">
        <v>448</v>
      </c>
      <c r="G435" s="96">
        <v>11000</v>
      </c>
      <c r="H435" s="125" t="s">
        <v>224</v>
      </c>
      <c r="I435" s="86" t="s">
        <v>23</v>
      </c>
      <c r="J435" s="64" t="s">
        <v>211</v>
      </c>
      <c r="K435" s="95"/>
      <c r="L435" s="95"/>
      <c r="M435" s="125" t="s">
        <v>16</v>
      </c>
      <c r="N435" s="126"/>
      <c r="O435" s="124"/>
      <c r="P435" s="124" t="s">
        <v>16</v>
      </c>
      <c r="Q435" s="144"/>
    </row>
    <row r="436" spans="1:17" s="1" customFormat="1" ht="19.5" hidden="1" customHeight="1" x14ac:dyDescent="0.3">
      <c r="A436" s="18"/>
      <c r="B436" s="95" t="s">
        <v>579</v>
      </c>
      <c r="C436" s="584">
        <v>45481.333333333336</v>
      </c>
      <c r="D436" s="584"/>
      <c r="E436" s="584"/>
      <c r="F436" s="143" t="s">
        <v>22</v>
      </c>
      <c r="G436" s="96">
        <v>8500</v>
      </c>
      <c r="H436" s="125" t="s">
        <v>13</v>
      </c>
      <c r="I436" s="86" t="s">
        <v>23</v>
      </c>
      <c r="J436" s="64" t="s">
        <v>583</v>
      </c>
      <c r="K436" s="95"/>
      <c r="L436" s="95"/>
      <c r="M436" s="125"/>
      <c r="N436" s="126"/>
      <c r="O436" s="124"/>
      <c r="P436" s="124" t="s">
        <v>11</v>
      </c>
      <c r="Q436" s="144" t="s">
        <v>577</v>
      </c>
    </row>
    <row r="437" spans="1:17" s="1" customFormat="1" ht="19.5" hidden="1" customHeight="1" x14ac:dyDescent="0.3">
      <c r="A437" s="18"/>
      <c r="B437" s="95" t="s">
        <v>31</v>
      </c>
      <c r="C437" s="584">
        <v>45482.791666666664</v>
      </c>
      <c r="D437" s="584"/>
      <c r="E437" s="584"/>
      <c r="F437" s="143" t="s">
        <v>511</v>
      </c>
      <c r="G437" s="96">
        <v>5000</v>
      </c>
      <c r="H437" s="125" t="s">
        <v>94</v>
      </c>
      <c r="I437" s="86" t="s">
        <v>23</v>
      </c>
      <c r="J437" s="64" t="s">
        <v>584</v>
      </c>
      <c r="K437" s="95"/>
      <c r="L437" s="95"/>
      <c r="M437" s="125" t="s">
        <v>16</v>
      </c>
      <c r="N437" s="126"/>
      <c r="O437" s="124"/>
      <c r="P437" s="124" t="s">
        <v>16</v>
      </c>
      <c r="Q437" s="144"/>
    </row>
    <row r="438" spans="1:17" s="1" customFormat="1" ht="19.5" hidden="1" customHeight="1" x14ac:dyDescent="0.3">
      <c r="A438" s="18"/>
      <c r="B438" s="75" t="s">
        <v>585</v>
      </c>
      <c r="C438" s="586">
        <v>45485.333333333336</v>
      </c>
      <c r="D438" s="586"/>
      <c r="E438" s="586"/>
      <c r="F438" s="146" t="s">
        <v>22</v>
      </c>
      <c r="G438" s="78">
        <v>8500</v>
      </c>
      <c r="H438" s="150" t="s">
        <v>13</v>
      </c>
      <c r="I438" s="73" t="s">
        <v>23</v>
      </c>
      <c r="J438" s="105" t="s">
        <v>583</v>
      </c>
      <c r="K438" s="75"/>
      <c r="L438" s="75"/>
      <c r="M438" s="150"/>
      <c r="N438" s="148"/>
      <c r="O438" s="145"/>
      <c r="P438" s="145" t="s">
        <v>11</v>
      </c>
      <c r="Q438" s="147" t="s">
        <v>580</v>
      </c>
    </row>
    <row r="439" spans="1:17" s="1" customFormat="1" ht="19.5" hidden="1" customHeight="1" x14ac:dyDescent="0.3">
      <c r="A439" s="18"/>
      <c r="B439" s="95" t="s">
        <v>587</v>
      </c>
      <c r="C439" s="584">
        <v>45486.833333333336</v>
      </c>
      <c r="D439" s="584"/>
      <c r="E439" s="584"/>
      <c r="F439" s="143" t="s">
        <v>22</v>
      </c>
      <c r="G439" s="96">
        <v>8500</v>
      </c>
      <c r="H439" s="125" t="s">
        <v>13</v>
      </c>
      <c r="I439" s="86" t="s">
        <v>23</v>
      </c>
      <c r="J439" s="64" t="s">
        <v>583</v>
      </c>
      <c r="K439" s="95"/>
      <c r="L439" s="95"/>
      <c r="M439" s="125"/>
      <c r="N439" s="126"/>
      <c r="O439" s="124"/>
      <c r="P439" s="124" t="s">
        <v>11</v>
      </c>
      <c r="Q439" s="144" t="s">
        <v>590</v>
      </c>
    </row>
    <row r="440" spans="1:17" s="1" customFormat="1" ht="19.5" hidden="1" customHeight="1" x14ac:dyDescent="0.3">
      <c r="A440" s="18"/>
      <c r="B440" s="429" t="s">
        <v>31</v>
      </c>
      <c r="C440" s="586">
        <v>45487.75</v>
      </c>
      <c r="D440" s="586"/>
      <c r="E440" s="586"/>
      <c r="F440" s="146" t="s">
        <v>531</v>
      </c>
      <c r="G440" s="78">
        <v>9000</v>
      </c>
      <c r="H440" s="587" t="s">
        <v>94</v>
      </c>
      <c r="I440" s="73" t="s">
        <v>17</v>
      </c>
      <c r="J440" s="105" t="s">
        <v>576</v>
      </c>
      <c r="K440" s="75"/>
      <c r="L440" s="75"/>
      <c r="M440" s="587" t="s">
        <v>16</v>
      </c>
      <c r="N440" s="148"/>
      <c r="O440" s="145"/>
      <c r="P440" s="532" t="s">
        <v>16</v>
      </c>
      <c r="Q440" s="147"/>
    </row>
    <row r="441" spans="1:17" s="1" customFormat="1" ht="19.5" hidden="1" customHeight="1" x14ac:dyDescent="0.3">
      <c r="A441" s="18"/>
      <c r="B441" s="429"/>
      <c r="C441" s="586"/>
      <c r="D441" s="586"/>
      <c r="E441" s="586"/>
      <c r="F441" s="146" t="s">
        <v>511</v>
      </c>
      <c r="G441" s="78">
        <v>5000</v>
      </c>
      <c r="H441" s="587"/>
      <c r="I441" s="73" t="s">
        <v>23</v>
      </c>
      <c r="J441" s="105" t="s">
        <v>589</v>
      </c>
      <c r="K441" s="75"/>
      <c r="L441" s="75"/>
      <c r="M441" s="587"/>
      <c r="N441" s="148"/>
      <c r="O441" s="145"/>
      <c r="P441" s="532"/>
      <c r="Q441" s="147"/>
    </row>
    <row r="442" spans="1:17" s="1" customFormat="1" ht="19.5" hidden="1" customHeight="1" x14ac:dyDescent="0.3">
      <c r="A442" s="18"/>
      <c r="B442" s="95" t="s">
        <v>588</v>
      </c>
      <c r="C442" s="584">
        <v>45496.333333333336</v>
      </c>
      <c r="D442" s="584"/>
      <c r="E442" s="584"/>
      <c r="F442" s="143" t="s">
        <v>22</v>
      </c>
      <c r="G442" s="96">
        <v>600</v>
      </c>
      <c r="H442" s="125" t="s">
        <v>13</v>
      </c>
      <c r="I442" s="86" t="s">
        <v>23</v>
      </c>
      <c r="J442" s="64" t="s">
        <v>592</v>
      </c>
      <c r="K442" s="95"/>
      <c r="L442" s="95" t="s">
        <v>593</v>
      </c>
      <c r="M442" s="125" t="s">
        <v>16</v>
      </c>
      <c r="N442" s="126" t="s">
        <v>254</v>
      </c>
      <c r="O442" s="124" t="s">
        <v>239</v>
      </c>
      <c r="P442" s="124" t="s">
        <v>11</v>
      </c>
      <c r="Q442" s="144" t="s">
        <v>594</v>
      </c>
    </row>
    <row r="443" spans="1:17" s="1" customFormat="1" ht="19.5" hidden="1" customHeight="1" x14ac:dyDescent="0.3">
      <c r="A443" s="18"/>
      <c r="B443" s="75" t="s">
        <v>598</v>
      </c>
      <c r="C443" s="586">
        <v>45498.375</v>
      </c>
      <c r="D443" s="586"/>
      <c r="E443" s="586"/>
      <c r="F443" s="146" t="s">
        <v>448</v>
      </c>
      <c r="G443" s="78">
        <v>17030</v>
      </c>
      <c r="H443" s="150" t="s">
        <v>224</v>
      </c>
      <c r="I443" s="73" t="s">
        <v>23</v>
      </c>
      <c r="J443" s="105" t="s">
        <v>604</v>
      </c>
      <c r="K443" s="75"/>
      <c r="L443" s="75"/>
      <c r="M443" s="150" t="s">
        <v>16</v>
      </c>
      <c r="N443" s="148"/>
      <c r="O443" s="145"/>
      <c r="P443" s="145" t="s">
        <v>16</v>
      </c>
      <c r="Q443" s="147"/>
    </row>
    <row r="444" spans="1:17" s="1" customFormat="1" ht="19.5" hidden="1" customHeight="1" x14ac:dyDescent="0.3">
      <c r="A444" s="18"/>
      <c r="B444" s="429" t="s">
        <v>31</v>
      </c>
      <c r="C444" s="586">
        <v>45499.4375</v>
      </c>
      <c r="D444" s="586"/>
      <c r="E444" s="586"/>
      <c r="F444" s="146" t="s">
        <v>531</v>
      </c>
      <c r="G444" s="78">
        <v>9000</v>
      </c>
      <c r="H444" s="587" t="s">
        <v>94</v>
      </c>
      <c r="I444" s="73" t="s">
        <v>23</v>
      </c>
      <c r="J444" s="105" t="s">
        <v>596</v>
      </c>
      <c r="K444" s="75"/>
      <c r="L444" s="75"/>
      <c r="M444" s="587" t="s">
        <v>16</v>
      </c>
      <c r="N444" s="148" t="s">
        <v>254</v>
      </c>
      <c r="O444" s="145"/>
      <c r="P444" s="532" t="s">
        <v>16</v>
      </c>
      <c r="Q444" s="147"/>
    </row>
    <row r="445" spans="1:17" s="1" customFormat="1" ht="19.5" hidden="1" customHeight="1" x14ac:dyDescent="0.3">
      <c r="A445" s="18"/>
      <c r="B445" s="429"/>
      <c r="C445" s="586"/>
      <c r="D445" s="586"/>
      <c r="E445" s="586"/>
      <c r="F445" s="146" t="s">
        <v>511</v>
      </c>
      <c r="G445" s="78">
        <v>5000</v>
      </c>
      <c r="H445" s="587"/>
      <c r="I445" s="73" t="s">
        <v>17</v>
      </c>
      <c r="J445" s="105" t="s">
        <v>599</v>
      </c>
      <c r="K445" s="75"/>
      <c r="L445" s="75"/>
      <c r="M445" s="587"/>
      <c r="N445" s="148"/>
      <c r="O445" s="145"/>
      <c r="P445" s="532"/>
      <c r="Q445" s="147"/>
    </row>
    <row r="446" spans="1:17" s="1" customFormat="1" ht="19.5" hidden="1" customHeight="1" x14ac:dyDescent="0.3">
      <c r="A446" s="18"/>
      <c r="B446" s="450" t="s">
        <v>31</v>
      </c>
      <c r="C446" s="584">
        <v>45504.75</v>
      </c>
      <c r="D446" s="584"/>
      <c r="E446" s="584"/>
      <c r="F446" s="143" t="s">
        <v>531</v>
      </c>
      <c r="G446" s="96">
        <v>5000</v>
      </c>
      <c r="H446" s="585" t="s">
        <v>94</v>
      </c>
      <c r="I446" s="86" t="s">
        <v>23</v>
      </c>
      <c r="J446" s="64" t="s">
        <v>29</v>
      </c>
      <c r="K446" s="95"/>
      <c r="L446" s="95"/>
      <c r="M446" s="585" t="s">
        <v>16</v>
      </c>
      <c r="N446" s="126"/>
      <c r="O446" s="124"/>
      <c r="P446" s="430" t="s">
        <v>16</v>
      </c>
      <c r="Q446" s="589"/>
    </row>
    <row r="447" spans="1:17" s="1" customFormat="1" ht="19.5" hidden="1" customHeight="1" x14ac:dyDescent="0.3">
      <c r="A447" s="18"/>
      <c r="B447" s="450"/>
      <c r="C447" s="584"/>
      <c r="D447" s="584"/>
      <c r="E447" s="584"/>
      <c r="F447" s="143" t="s">
        <v>511</v>
      </c>
      <c r="G447" s="96">
        <v>9000</v>
      </c>
      <c r="H447" s="585"/>
      <c r="I447" s="86" t="s">
        <v>17</v>
      </c>
      <c r="J447" s="64" t="s">
        <v>607</v>
      </c>
      <c r="K447" s="95"/>
      <c r="L447" s="95"/>
      <c r="M447" s="585"/>
      <c r="N447" s="126"/>
      <c r="O447" s="124"/>
      <c r="P447" s="430"/>
      <c r="Q447" s="589"/>
    </row>
    <row r="448" spans="1:17" s="1" customFormat="1" ht="19.5" hidden="1" customHeight="1" x14ac:dyDescent="0.3">
      <c r="A448" s="18"/>
      <c r="B448" s="95" t="s">
        <v>600</v>
      </c>
      <c r="C448" s="584">
        <v>45505.625</v>
      </c>
      <c r="D448" s="584"/>
      <c r="E448" s="584"/>
      <c r="F448" s="143" t="s">
        <v>602</v>
      </c>
      <c r="G448" s="96">
        <v>8500</v>
      </c>
      <c r="H448" s="125" t="s">
        <v>13</v>
      </c>
      <c r="I448" s="86" t="s">
        <v>17</v>
      </c>
      <c r="J448" s="64" t="s">
        <v>30</v>
      </c>
      <c r="K448" s="95"/>
      <c r="L448" s="95"/>
      <c r="M448" s="125"/>
      <c r="N448" s="126"/>
      <c r="O448" s="124"/>
      <c r="P448" s="124" t="s">
        <v>11</v>
      </c>
      <c r="Q448" s="144" t="s">
        <v>601</v>
      </c>
    </row>
    <row r="449" spans="1:17" s="1" customFormat="1" ht="19.5" hidden="1" customHeight="1" x14ac:dyDescent="0.3">
      <c r="A449" s="18"/>
      <c r="B449" s="95" t="s">
        <v>605</v>
      </c>
      <c r="C449" s="584">
        <v>45506.541666666664</v>
      </c>
      <c r="D449" s="584"/>
      <c r="E449" s="584"/>
      <c r="F449" s="143" t="s">
        <v>602</v>
      </c>
      <c r="G449" s="96">
        <v>8200</v>
      </c>
      <c r="H449" s="125" t="s">
        <v>13</v>
      </c>
      <c r="I449" s="86" t="s">
        <v>17</v>
      </c>
      <c r="J449" s="64" t="s">
        <v>30</v>
      </c>
      <c r="K449" s="95"/>
      <c r="L449" s="95"/>
      <c r="M449" s="125"/>
      <c r="N449" s="126"/>
      <c r="O449" s="124"/>
      <c r="P449" s="124" t="s">
        <v>11</v>
      </c>
      <c r="Q449" s="144" t="s">
        <v>611</v>
      </c>
    </row>
    <row r="450" spans="1:17" s="1" customFormat="1" ht="19.5" hidden="1" customHeight="1" x14ac:dyDescent="0.3">
      <c r="A450" s="18"/>
      <c r="B450" s="95" t="s">
        <v>31</v>
      </c>
      <c r="C450" s="584">
        <v>45509.8125</v>
      </c>
      <c r="D450" s="584"/>
      <c r="E450" s="584"/>
      <c r="F450" s="143" t="s">
        <v>511</v>
      </c>
      <c r="G450" s="96">
        <v>3900</v>
      </c>
      <c r="H450" s="125" t="s">
        <v>94</v>
      </c>
      <c r="I450" s="86" t="s">
        <v>17</v>
      </c>
      <c r="J450" s="64" t="s">
        <v>607</v>
      </c>
      <c r="K450" s="95"/>
      <c r="L450" s="95"/>
      <c r="M450" s="125" t="s">
        <v>16</v>
      </c>
      <c r="N450" s="126"/>
      <c r="O450" s="124"/>
      <c r="P450" s="124" t="s">
        <v>16</v>
      </c>
      <c r="Q450" s="144"/>
    </row>
    <row r="451" spans="1:17" s="1" customFormat="1" ht="19.5" hidden="1" customHeight="1" x14ac:dyDescent="0.3">
      <c r="A451" s="18"/>
      <c r="B451" s="429" t="s">
        <v>610</v>
      </c>
      <c r="C451" s="586">
        <v>45511.333333333336</v>
      </c>
      <c r="D451" s="586"/>
      <c r="E451" s="586"/>
      <c r="F451" s="586" t="s">
        <v>602</v>
      </c>
      <c r="G451" s="78">
        <v>5000</v>
      </c>
      <c r="H451" s="587" t="s">
        <v>13</v>
      </c>
      <c r="I451" s="73" t="s">
        <v>17</v>
      </c>
      <c r="J451" s="105" t="s">
        <v>614</v>
      </c>
      <c r="K451" s="75"/>
      <c r="L451" s="75"/>
      <c r="M451" s="150"/>
      <c r="N451" s="148" t="s">
        <v>254</v>
      </c>
      <c r="O451" s="145" t="s">
        <v>239</v>
      </c>
      <c r="P451" s="532"/>
      <c r="Q451" s="588" t="s">
        <v>612</v>
      </c>
    </row>
    <row r="452" spans="1:17" s="1" customFormat="1" ht="19.5" hidden="1" customHeight="1" x14ac:dyDescent="0.3">
      <c r="A452" s="18"/>
      <c r="B452" s="429"/>
      <c r="C452" s="586"/>
      <c r="D452" s="586"/>
      <c r="E452" s="586"/>
      <c r="F452" s="586"/>
      <c r="G452" s="78">
        <v>3150</v>
      </c>
      <c r="H452" s="587"/>
      <c r="I452" s="73" t="s">
        <v>11</v>
      </c>
      <c r="J452" s="105" t="s">
        <v>237</v>
      </c>
      <c r="K452" s="75"/>
      <c r="L452" s="75"/>
      <c r="M452" s="150"/>
      <c r="N452" s="148" t="s">
        <v>615</v>
      </c>
      <c r="O452" s="145"/>
      <c r="P452" s="532"/>
      <c r="Q452" s="588"/>
    </row>
    <row r="453" spans="1:17" s="1" customFormat="1" ht="19.5" hidden="1" customHeight="1" x14ac:dyDescent="0.3">
      <c r="A453" s="18"/>
      <c r="B453" s="450" t="s">
        <v>31</v>
      </c>
      <c r="C453" s="584">
        <v>45514.333333333336</v>
      </c>
      <c r="D453" s="584"/>
      <c r="E453" s="584"/>
      <c r="F453" s="143" t="s">
        <v>511</v>
      </c>
      <c r="G453" s="96">
        <v>9000</v>
      </c>
      <c r="H453" s="585" t="s">
        <v>94</v>
      </c>
      <c r="I453" s="86" t="s">
        <v>17</v>
      </c>
      <c r="J453" s="64" t="s">
        <v>619</v>
      </c>
      <c r="K453" s="95"/>
      <c r="L453" s="95"/>
      <c r="M453" s="585" t="s">
        <v>16</v>
      </c>
      <c r="N453" s="126" t="s">
        <v>615</v>
      </c>
      <c r="O453" s="124"/>
      <c r="P453" s="430" t="s">
        <v>16</v>
      </c>
      <c r="Q453" s="144"/>
    </row>
    <row r="454" spans="1:17" s="1" customFormat="1" ht="19.5" hidden="1" customHeight="1" x14ac:dyDescent="0.3">
      <c r="A454" s="18"/>
      <c r="B454" s="450"/>
      <c r="C454" s="584"/>
      <c r="D454" s="584"/>
      <c r="E454" s="584"/>
      <c r="F454" s="143" t="s">
        <v>531</v>
      </c>
      <c r="G454" s="96">
        <v>5000</v>
      </c>
      <c r="H454" s="585"/>
      <c r="I454" s="86" t="s">
        <v>23</v>
      </c>
      <c r="J454" s="64" t="s">
        <v>620</v>
      </c>
      <c r="K454" s="95"/>
      <c r="L454" s="95"/>
      <c r="M454" s="585"/>
      <c r="N454" s="126"/>
      <c r="O454" s="124"/>
      <c r="P454" s="430"/>
      <c r="Q454" s="144"/>
    </row>
    <row r="455" spans="1:17" s="1" customFormat="1" ht="19.5" hidden="1" customHeight="1" x14ac:dyDescent="0.3">
      <c r="A455" s="18"/>
      <c r="B455" s="75" t="s">
        <v>617</v>
      </c>
      <c r="C455" s="586">
        <v>45516.333333333336</v>
      </c>
      <c r="D455" s="586"/>
      <c r="E455" s="586"/>
      <c r="F455" s="146" t="s">
        <v>602</v>
      </c>
      <c r="G455" s="78">
        <v>8900</v>
      </c>
      <c r="H455" s="150" t="s">
        <v>621</v>
      </c>
      <c r="I455" s="73" t="s">
        <v>11</v>
      </c>
      <c r="J455" s="105" t="s">
        <v>237</v>
      </c>
      <c r="K455" s="75"/>
      <c r="L455" s="75"/>
      <c r="M455" s="150"/>
      <c r="N455" s="162" t="s">
        <v>615</v>
      </c>
      <c r="O455" s="145"/>
      <c r="P455" s="145" t="s">
        <v>11</v>
      </c>
      <c r="Q455" s="147" t="s">
        <v>618</v>
      </c>
    </row>
    <row r="456" spans="1:17" s="1" customFormat="1" ht="19.5" hidden="1" customHeight="1" x14ac:dyDescent="0.3">
      <c r="A456" s="18"/>
      <c r="B456" s="429" t="s">
        <v>616</v>
      </c>
      <c r="C456" s="586">
        <v>45518.583333333336</v>
      </c>
      <c r="D456" s="586"/>
      <c r="E456" s="586"/>
      <c r="F456" s="146" t="s">
        <v>448</v>
      </c>
      <c r="G456" s="78">
        <v>4905</v>
      </c>
      <c r="H456" s="587" t="s">
        <v>224</v>
      </c>
      <c r="I456" s="73" t="s">
        <v>23</v>
      </c>
      <c r="J456" s="105" t="s">
        <v>625</v>
      </c>
      <c r="K456" s="75"/>
      <c r="L456" s="75"/>
      <c r="M456" s="587" t="s">
        <v>16</v>
      </c>
      <c r="N456" s="148" t="s">
        <v>623</v>
      </c>
      <c r="O456" s="145"/>
      <c r="P456" s="532" t="s">
        <v>16</v>
      </c>
      <c r="Q456" s="590" t="s">
        <v>627</v>
      </c>
    </row>
    <row r="457" spans="1:17" s="1" customFormat="1" ht="19.5" hidden="1" customHeight="1" x14ac:dyDescent="0.3">
      <c r="A457" s="18"/>
      <c r="B457" s="429"/>
      <c r="C457" s="586"/>
      <c r="D457" s="586"/>
      <c r="E457" s="586"/>
      <c r="F457" s="146" t="s">
        <v>550</v>
      </c>
      <c r="G457" s="78">
        <v>3000</v>
      </c>
      <c r="H457" s="587"/>
      <c r="I457" s="73" t="s">
        <v>17</v>
      </c>
      <c r="J457" s="105" t="s">
        <v>630</v>
      </c>
      <c r="K457" s="75"/>
      <c r="L457" s="75"/>
      <c r="M457" s="587"/>
      <c r="N457" s="591" t="s">
        <v>624</v>
      </c>
      <c r="O457" s="145"/>
      <c r="P457" s="532"/>
      <c r="Q457" s="590"/>
    </row>
    <row r="458" spans="1:17" s="1" customFormat="1" ht="19.5" hidden="1" customHeight="1" x14ac:dyDescent="0.3">
      <c r="A458" s="18"/>
      <c r="B458" s="429"/>
      <c r="C458" s="586"/>
      <c r="D458" s="586"/>
      <c r="E458" s="586"/>
      <c r="F458" s="146" t="s">
        <v>550</v>
      </c>
      <c r="G458" s="78">
        <v>6700</v>
      </c>
      <c r="H458" s="587"/>
      <c r="I458" s="73" t="s">
        <v>23</v>
      </c>
      <c r="J458" s="105" t="s">
        <v>629</v>
      </c>
      <c r="K458" s="75"/>
      <c r="L458" s="75"/>
      <c r="M458" s="587"/>
      <c r="N458" s="591"/>
      <c r="O458" s="145"/>
      <c r="P458" s="532"/>
      <c r="Q458" s="590"/>
    </row>
    <row r="459" spans="1:17" s="1" customFormat="1" ht="19.5" hidden="1" customHeight="1" x14ac:dyDescent="0.3">
      <c r="A459" s="18"/>
      <c r="B459" s="429"/>
      <c r="C459" s="586"/>
      <c r="D459" s="586"/>
      <c r="E459" s="586"/>
      <c r="F459" s="146" t="s">
        <v>550</v>
      </c>
      <c r="G459" s="78">
        <v>3000</v>
      </c>
      <c r="H459" s="587"/>
      <c r="I459" s="73" t="s">
        <v>18</v>
      </c>
      <c r="J459" s="105" t="s">
        <v>626</v>
      </c>
      <c r="K459" s="75"/>
      <c r="L459" s="75"/>
      <c r="M459" s="587"/>
      <c r="N459" s="591"/>
      <c r="O459" s="145"/>
      <c r="P459" s="532"/>
      <c r="Q459" s="590"/>
    </row>
    <row r="460" spans="1:17" s="1" customFormat="1" ht="19.5" hidden="1" customHeight="1" x14ac:dyDescent="0.3">
      <c r="A460" s="18"/>
      <c r="B460" s="95" t="s">
        <v>31</v>
      </c>
      <c r="C460" s="584">
        <v>45519.75</v>
      </c>
      <c r="D460" s="584"/>
      <c r="E460" s="584"/>
      <c r="F460" s="143" t="s">
        <v>511</v>
      </c>
      <c r="G460" s="96">
        <v>5000</v>
      </c>
      <c r="H460" s="125" t="s">
        <v>94</v>
      </c>
      <c r="I460" s="86" t="s">
        <v>17</v>
      </c>
      <c r="J460" s="64" t="s">
        <v>622</v>
      </c>
      <c r="K460" s="95"/>
      <c r="L460" s="95" t="s">
        <v>628</v>
      </c>
      <c r="M460" s="125" t="s">
        <v>16</v>
      </c>
      <c r="N460" s="163" t="s">
        <v>615</v>
      </c>
      <c r="O460" s="124"/>
      <c r="P460" s="124" t="s">
        <v>16</v>
      </c>
      <c r="Q460" s="144"/>
    </row>
    <row r="461" spans="1:17" s="1" customFormat="1" ht="19.5" hidden="1" customHeight="1" x14ac:dyDescent="0.3">
      <c r="A461" s="18"/>
      <c r="B461" s="95" t="s">
        <v>632</v>
      </c>
      <c r="C461" s="584">
        <v>45524</v>
      </c>
      <c r="D461" s="584"/>
      <c r="E461" s="584"/>
      <c r="F461" s="143" t="s">
        <v>602</v>
      </c>
      <c r="G461" s="96">
        <v>8900</v>
      </c>
      <c r="H461" s="125" t="s">
        <v>621</v>
      </c>
      <c r="I461" s="86" t="s">
        <v>11</v>
      </c>
      <c r="J461" s="64" t="s">
        <v>56</v>
      </c>
      <c r="K461" s="95"/>
      <c r="L461" s="95"/>
      <c r="M461" s="125"/>
      <c r="N461" s="163" t="s">
        <v>615</v>
      </c>
      <c r="O461" s="124"/>
      <c r="P461" s="124" t="s">
        <v>16</v>
      </c>
      <c r="Q461" s="144" t="s">
        <v>633</v>
      </c>
    </row>
    <row r="462" spans="1:17" s="1" customFormat="1" ht="19.5" hidden="1" customHeight="1" x14ac:dyDescent="0.3">
      <c r="A462" s="18"/>
      <c r="B462" s="75" t="s">
        <v>31</v>
      </c>
      <c r="C462" s="586">
        <v>45524.625</v>
      </c>
      <c r="D462" s="586"/>
      <c r="E462" s="586"/>
      <c r="F462" s="146" t="s">
        <v>511</v>
      </c>
      <c r="G462" s="78">
        <v>5000</v>
      </c>
      <c r="H462" s="150" t="s">
        <v>94</v>
      </c>
      <c r="I462" s="73" t="s">
        <v>17</v>
      </c>
      <c r="J462" s="105" t="s">
        <v>634</v>
      </c>
      <c r="K462" s="75"/>
      <c r="L462" s="75" t="s">
        <v>593</v>
      </c>
      <c r="M462" s="150" t="s">
        <v>16</v>
      </c>
      <c r="N462" s="162" t="s">
        <v>615</v>
      </c>
      <c r="O462" s="145"/>
      <c r="P462" s="145" t="s">
        <v>16</v>
      </c>
      <c r="Q462" s="147"/>
    </row>
    <row r="463" spans="1:17" s="1" customFormat="1" ht="19.5" hidden="1" customHeight="1" x14ac:dyDescent="0.3">
      <c r="A463" s="18"/>
      <c r="B463" s="95" t="s">
        <v>638</v>
      </c>
      <c r="C463" s="584">
        <v>45525.583333333336</v>
      </c>
      <c r="D463" s="584"/>
      <c r="E463" s="584"/>
      <c r="F463" s="143" t="s">
        <v>602</v>
      </c>
      <c r="G463" s="96">
        <v>4000</v>
      </c>
      <c r="H463" s="125" t="s">
        <v>621</v>
      </c>
      <c r="I463" s="86" t="s">
        <v>11</v>
      </c>
      <c r="J463" s="64" t="s">
        <v>35</v>
      </c>
      <c r="K463" s="95"/>
      <c r="L463" s="95"/>
      <c r="M463" s="125" t="s">
        <v>16</v>
      </c>
      <c r="N463" s="163"/>
      <c r="O463" s="124"/>
      <c r="P463" s="124" t="s">
        <v>16</v>
      </c>
      <c r="Q463" s="144"/>
    </row>
    <row r="464" spans="1:17" s="1" customFormat="1" ht="19.5" hidden="1" customHeight="1" x14ac:dyDescent="0.3">
      <c r="A464" s="18"/>
      <c r="B464" s="95" t="s">
        <v>638</v>
      </c>
      <c r="C464" s="584">
        <v>45528.333333333336</v>
      </c>
      <c r="D464" s="584"/>
      <c r="E464" s="584"/>
      <c r="F464" s="143" t="s">
        <v>602</v>
      </c>
      <c r="G464" s="96">
        <v>8600</v>
      </c>
      <c r="H464" s="125" t="s">
        <v>621</v>
      </c>
      <c r="I464" s="86" t="s">
        <v>11</v>
      </c>
      <c r="J464" s="64" t="s">
        <v>35</v>
      </c>
      <c r="K464" s="95"/>
      <c r="L464" s="95"/>
      <c r="M464" s="125"/>
      <c r="N464" s="163"/>
      <c r="O464" s="124"/>
      <c r="P464" s="124" t="s">
        <v>11</v>
      </c>
      <c r="Q464" s="144" t="s">
        <v>641</v>
      </c>
    </row>
    <row r="465" spans="1:20" s="1" customFormat="1" ht="19.5" hidden="1" customHeight="1" x14ac:dyDescent="0.3">
      <c r="A465" s="18"/>
      <c r="B465" s="450" t="s">
        <v>31</v>
      </c>
      <c r="C465" s="584">
        <v>45530.666666666664</v>
      </c>
      <c r="D465" s="584"/>
      <c r="E465" s="584"/>
      <c r="F465" s="143" t="s">
        <v>511</v>
      </c>
      <c r="G465" s="96">
        <v>5000</v>
      </c>
      <c r="H465" s="585" t="s">
        <v>94</v>
      </c>
      <c r="I465" s="86" t="s">
        <v>17</v>
      </c>
      <c r="J465" s="64" t="s">
        <v>648</v>
      </c>
      <c r="K465" s="95"/>
      <c r="L465" s="95"/>
      <c r="M465" s="585" t="s">
        <v>16</v>
      </c>
      <c r="N465" s="163"/>
      <c r="O465" s="124"/>
      <c r="P465" s="430" t="s">
        <v>16</v>
      </c>
      <c r="Q465" s="144"/>
    </row>
    <row r="466" spans="1:20" s="1" customFormat="1" ht="19.5" hidden="1" customHeight="1" x14ac:dyDescent="0.3">
      <c r="A466" s="18"/>
      <c r="B466" s="450"/>
      <c r="C466" s="584"/>
      <c r="D466" s="584"/>
      <c r="E466" s="584"/>
      <c r="F466" s="143" t="s">
        <v>531</v>
      </c>
      <c r="G466" s="96">
        <v>1500</v>
      </c>
      <c r="H466" s="585"/>
      <c r="I466" s="86" t="s">
        <v>23</v>
      </c>
      <c r="J466" s="64" t="s">
        <v>640</v>
      </c>
      <c r="K466" s="95"/>
      <c r="L466" s="95"/>
      <c r="M466" s="585"/>
      <c r="N466" s="163" t="s">
        <v>254</v>
      </c>
      <c r="O466" s="124" t="s">
        <v>239</v>
      </c>
      <c r="P466" s="430"/>
      <c r="Q466" s="144"/>
    </row>
    <row r="467" spans="1:20" s="1" customFormat="1" ht="19.5" hidden="1" customHeight="1" x14ac:dyDescent="0.3">
      <c r="A467" s="18"/>
      <c r="B467" s="450"/>
      <c r="C467" s="584"/>
      <c r="D467" s="584"/>
      <c r="E467" s="584"/>
      <c r="F467" s="143" t="s">
        <v>531</v>
      </c>
      <c r="G467" s="96">
        <v>7500</v>
      </c>
      <c r="H467" s="585"/>
      <c r="I467" s="86" t="s">
        <v>23</v>
      </c>
      <c r="J467" s="64" t="s">
        <v>25</v>
      </c>
      <c r="K467" s="95"/>
      <c r="L467" s="95"/>
      <c r="M467" s="585"/>
      <c r="N467" s="163"/>
      <c r="O467" s="124"/>
      <c r="P467" s="430"/>
      <c r="Q467" s="144"/>
    </row>
    <row r="468" spans="1:20" s="1" customFormat="1" ht="19.5" hidden="1" customHeight="1" x14ac:dyDescent="0.3">
      <c r="A468" s="18"/>
      <c r="B468" s="75" t="s">
        <v>657</v>
      </c>
      <c r="C468" s="586">
        <v>45532.3125</v>
      </c>
      <c r="D468" s="586"/>
      <c r="E468" s="586"/>
      <c r="F468" s="146" t="s">
        <v>22</v>
      </c>
      <c r="G468" s="78">
        <v>8600</v>
      </c>
      <c r="H468" s="150" t="s">
        <v>621</v>
      </c>
      <c r="I468" s="73" t="s">
        <v>11</v>
      </c>
      <c r="J468" s="105" t="s">
        <v>649</v>
      </c>
      <c r="K468" s="75"/>
      <c r="L468" s="75"/>
      <c r="M468" s="150"/>
      <c r="N468" s="162"/>
      <c r="O468" s="145"/>
      <c r="P468" s="145" t="s">
        <v>16</v>
      </c>
      <c r="Q468" s="167" t="s">
        <v>652</v>
      </c>
    </row>
    <row r="469" spans="1:20" s="1" customFormat="1" ht="19.5" hidden="1" customHeight="1" x14ac:dyDescent="0.3">
      <c r="A469" s="18"/>
      <c r="B469" s="95" t="s">
        <v>656</v>
      </c>
      <c r="C469" s="584">
        <v>45533.333333333336</v>
      </c>
      <c r="D469" s="584"/>
      <c r="E469" s="584"/>
      <c r="F469" s="143" t="s">
        <v>22</v>
      </c>
      <c r="G469" s="96">
        <v>8600</v>
      </c>
      <c r="H469" s="125" t="s">
        <v>621</v>
      </c>
      <c r="I469" s="86" t="s">
        <v>11</v>
      </c>
      <c r="J469" s="64" t="s">
        <v>649</v>
      </c>
      <c r="K469" s="95"/>
      <c r="L469" s="95"/>
      <c r="M469" s="125"/>
      <c r="N469" s="163"/>
      <c r="O469" s="124"/>
      <c r="P469" s="124" t="s">
        <v>11</v>
      </c>
      <c r="Q469" s="166" t="s">
        <v>652</v>
      </c>
    </row>
    <row r="470" spans="1:20" s="1" customFormat="1" ht="19.5" hidden="1" customHeight="1" x14ac:dyDescent="0.3">
      <c r="A470" s="18"/>
      <c r="B470" s="95" t="s">
        <v>655</v>
      </c>
      <c r="C470" s="584">
        <v>45535.333333333336</v>
      </c>
      <c r="D470" s="584"/>
      <c r="E470" s="584"/>
      <c r="F470" s="143" t="s">
        <v>602</v>
      </c>
      <c r="G470" s="96">
        <v>5500</v>
      </c>
      <c r="H470" s="125" t="s">
        <v>621</v>
      </c>
      <c r="I470" s="86" t="s">
        <v>11</v>
      </c>
      <c r="J470" s="64" t="s">
        <v>614</v>
      </c>
      <c r="K470" s="95"/>
      <c r="L470" s="95" t="s">
        <v>628</v>
      </c>
      <c r="M470" s="125" t="s">
        <v>16</v>
      </c>
      <c r="N470" s="163" t="s">
        <v>254</v>
      </c>
      <c r="O470" s="124" t="s">
        <v>239</v>
      </c>
      <c r="P470" s="124" t="s">
        <v>11</v>
      </c>
      <c r="Q470" s="166"/>
    </row>
    <row r="471" spans="1:20" s="1" customFormat="1" ht="19.5" hidden="1" customHeight="1" x14ac:dyDescent="0.3">
      <c r="A471" s="18"/>
      <c r="B471" s="429" t="s">
        <v>31</v>
      </c>
      <c r="C471" s="586">
        <v>45537.083333333336</v>
      </c>
      <c r="D471" s="586"/>
      <c r="E471" s="586"/>
      <c r="F471" s="146" t="s">
        <v>511</v>
      </c>
      <c r="G471" s="78">
        <v>5000</v>
      </c>
      <c r="H471" s="587" t="s">
        <v>94</v>
      </c>
      <c r="I471" s="73" t="s">
        <v>9</v>
      </c>
      <c r="J471" s="105" t="s">
        <v>650</v>
      </c>
      <c r="K471" s="75"/>
      <c r="L471" s="75"/>
      <c r="M471" s="587" t="s">
        <v>16</v>
      </c>
      <c r="N471" s="162"/>
      <c r="O471" s="145"/>
      <c r="P471" s="532" t="s">
        <v>16</v>
      </c>
      <c r="Q471" s="147"/>
    </row>
    <row r="472" spans="1:20" s="1" customFormat="1" ht="19.5" hidden="1" customHeight="1" x14ac:dyDescent="0.3">
      <c r="A472" s="18"/>
      <c r="B472" s="429"/>
      <c r="C472" s="586"/>
      <c r="D472" s="586"/>
      <c r="E472" s="586"/>
      <c r="F472" s="146" t="s">
        <v>531</v>
      </c>
      <c r="G472" s="78">
        <v>4000</v>
      </c>
      <c r="H472" s="587"/>
      <c r="I472" s="73" t="s">
        <v>23</v>
      </c>
      <c r="J472" s="105" t="s">
        <v>651</v>
      </c>
      <c r="K472" s="75"/>
      <c r="L472" s="75"/>
      <c r="M472" s="587"/>
      <c r="N472" s="162"/>
      <c r="O472" s="145"/>
      <c r="P472" s="532"/>
      <c r="Q472" s="147"/>
    </row>
    <row r="473" spans="1:20" s="1" customFormat="1" ht="19.5" hidden="1" customHeight="1" x14ac:dyDescent="0.3">
      <c r="A473" s="18"/>
      <c r="B473" s="429" t="s">
        <v>478</v>
      </c>
      <c r="C473" s="586">
        <v>45537.916666666664</v>
      </c>
      <c r="D473" s="586"/>
      <c r="E473" s="586"/>
      <c r="F473" s="146" t="s">
        <v>448</v>
      </c>
      <c r="G473" s="78">
        <v>1000</v>
      </c>
      <c r="H473" s="587" t="s">
        <v>224</v>
      </c>
      <c r="I473" s="73" t="s">
        <v>23</v>
      </c>
      <c r="J473" s="105" t="s">
        <v>643</v>
      </c>
      <c r="K473" s="75">
        <v>2</v>
      </c>
      <c r="L473" s="75"/>
      <c r="M473" s="587" t="s">
        <v>16</v>
      </c>
      <c r="N473" s="162" t="s">
        <v>254</v>
      </c>
      <c r="O473" s="145" t="s">
        <v>239</v>
      </c>
      <c r="P473" s="532" t="s">
        <v>16</v>
      </c>
      <c r="Q473" s="147" t="s">
        <v>645</v>
      </c>
    </row>
    <row r="474" spans="1:20" s="1" customFormat="1" ht="19.5" hidden="1" customHeight="1" x14ac:dyDescent="0.3">
      <c r="A474" s="18"/>
      <c r="B474" s="429"/>
      <c r="C474" s="586"/>
      <c r="D474" s="586"/>
      <c r="E474" s="586"/>
      <c r="F474" s="146" t="s">
        <v>448</v>
      </c>
      <c r="G474" s="78">
        <f>5688-G473</f>
        <v>4688</v>
      </c>
      <c r="H474" s="587"/>
      <c r="I474" s="73" t="s">
        <v>18</v>
      </c>
      <c r="J474" s="105" t="s">
        <v>644</v>
      </c>
      <c r="K474" s="75">
        <v>1</v>
      </c>
      <c r="L474" s="75"/>
      <c r="M474" s="587"/>
      <c r="N474" s="162" t="s">
        <v>254</v>
      </c>
      <c r="O474" s="145" t="s">
        <v>239</v>
      </c>
      <c r="P474" s="532"/>
      <c r="Q474" s="147" t="s">
        <v>645</v>
      </c>
      <c r="T474" s="8"/>
    </row>
    <row r="475" spans="1:20" s="1" customFormat="1" ht="19.5" hidden="1" customHeight="1" x14ac:dyDescent="0.3">
      <c r="A475" s="18"/>
      <c r="B475" s="429"/>
      <c r="C475" s="586"/>
      <c r="D475" s="586"/>
      <c r="E475" s="586"/>
      <c r="F475" s="146" t="s">
        <v>550</v>
      </c>
      <c r="G475" s="78">
        <v>9750</v>
      </c>
      <c r="H475" s="587"/>
      <c r="I475" s="73" t="s">
        <v>23</v>
      </c>
      <c r="J475" s="105" t="s">
        <v>280</v>
      </c>
      <c r="K475" s="75">
        <v>3</v>
      </c>
      <c r="L475" s="75"/>
      <c r="M475" s="587"/>
      <c r="N475" s="162" t="s">
        <v>615</v>
      </c>
      <c r="O475" s="145"/>
      <c r="P475" s="532"/>
      <c r="Q475" s="147" t="s">
        <v>646</v>
      </c>
    </row>
    <row r="476" spans="1:20" s="1" customFormat="1" ht="19.5" hidden="1" customHeight="1" x14ac:dyDescent="0.3">
      <c r="A476" s="18"/>
      <c r="B476" s="429" t="s">
        <v>638</v>
      </c>
      <c r="C476" s="586">
        <v>45539.333333333336</v>
      </c>
      <c r="D476" s="586"/>
      <c r="E476" s="586"/>
      <c r="F476" s="146" t="s">
        <v>22</v>
      </c>
      <c r="G476" s="78">
        <v>6600</v>
      </c>
      <c r="H476" s="587" t="s">
        <v>13</v>
      </c>
      <c r="I476" s="73" t="s">
        <v>23</v>
      </c>
      <c r="J476" s="105" t="s">
        <v>659</v>
      </c>
      <c r="K476" s="75"/>
      <c r="L476" s="75"/>
      <c r="M476" s="150"/>
      <c r="N476" s="162"/>
      <c r="O476" s="145"/>
      <c r="P476" s="145"/>
      <c r="Q476" s="588" t="s">
        <v>660</v>
      </c>
    </row>
    <row r="477" spans="1:20" s="1" customFormat="1" ht="19.5" hidden="1" customHeight="1" x14ac:dyDescent="0.3">
      <c r="A477" s="18"/>
      <c r="B477" s="429"/>
      <c r="C477" s="586"/>
      <c r="D477" s="586"/>
      <c r="E477" s="586"/>
      <c r="F477" s="146" t="s">
        <v>22</v>
      </c>
      <c r="G477" s="78">
        <v>2000</v>
      </c>
      <c r="H477" s="587"/>
      <c r="I477" s="73" t="s">
        <v>17</v>
      </c>
      <c r="J477" s="105" t="s">
        <v>86</v>
      </c>
      <c r="K477" s="75"/>
      <c r="L477" s="75"/>
      <c r="M477" s="150"/>
      <c r="N477" s="162"/>
      <c r="O477" s="145"/>
      <c r="P477" s="145"/>
      <c r="Q477" s="588"/>
    </row>
    <row r="478" spans="1:20" s="1" customFormat="1" ht="19.5" hidden="1" customHeight="1" x14ac:dyDescent="0.3">
      <c r="A478" s="18"/>
      <c r="B478" s="95" t="s">
        <v>632</v>
      </c>
      <c r="C478" s="584">
        <v>45541.833333333336</v>
      </c>
      <c r="D478" s="584"/>
      <c r="E478" s="584"/>
      <c r="F478" s="143" t="s">
        <v>22</v>
      </c>
      <c r="G478" s="96">
        <v>8600</v>
      </c>
      <c r="H478" s="125" t="s">
        <v>13</v>
      </c>
      <c r="I478" s="86" t="s">
        <v>17</v>
      </c>
      <c r="J478" s="64" t="s">
        <v>86</v>
      </c>
      <c r="K478" s="95"/>
      <c r="L478" s="95"/>
      <c r="M478" s="125"/>
      <c r="N478" s="163"/>
      <c r="O478" s="124"/>
      <c r="P478" s="124" t="s">
        <v>16</v>
      </c>
      <c r="Q478" s="144" t="s">
        <v>662</v>
      </c>
    </row>
    <row r="479" spans="1:20" s="1" customFormat="1" ht="19.5" hidden="1" customHeight="1" x14ac:dyDescent="0.3">
      <c r="A479" s="18"/>
      <c r="B479" s="450" t="s">
        <v>31</v>
      </c>
      <c r="C479" s="584">
        <v>45542.541666666664</v>
      </c>
      <c r="D479" s="584"/>
      <c r="E479" s="584"/>
      <c r="F479" s="143" t="s">
        <v>511</v>
      </c>
      <c r="G479" s="96">
        <v>5000</v>
      </c>
      <c r="H479" s="585" t="s">
        <v>94</v>
      </c>
      <c r="I479" s="86" t="s">
        <v>23</v>
      </c>
      <c r="J479" s="64" t="s">
        <v>659</v>
      </c>
      <c r="K479" s="95"/>
      <c r="L479" s="95"/>
      <c r="M479" s="585" t="s">
        <v>16</v>
      </c>
      <c r="N479" s="163"/>
      <c r="O479" s="124"/>
      <c r="P479" s="430" t="s">
        <v>16</v>
      </c>
      <c r="Q479" s="144"/>
    </row>
    <row r="480" spans="1:20" s="1" customFormat="1" ht="19.5" hidden="1" customHeight="1" x14ac:dyDescent="0.3">
      <c r="A480" s="18"/>
      <c r="B480" s="450"/>
      <c r="C480" s="584"/>
      <c r="D480" s="584"/>
      <c r="E480" s="584"/>
      <c r="F480" s="143" t="s">
        <v>531</v>
      </c>
      <c r="G480" s="96">
        <v>1500</v>
      </c>
      <c r="H480" s="585"/>
      <c r="I480" s="86" t="s">
        <v>23</v>
      </c>
      <c r="J480" s="64" t="s">
        <v>661</v>
      </c>
      <c r="K480" s="95"/>
      <c r="L480" s="95"/>
      <c r="M480" s="585"/>
      <c r="N480" s="163" t="s">
        <v>254</v>
      </c>
      <c r="O480" s="124" t="s">
        <v>239</v>
      </c>
      <c r="P480" s="430"/>
      <c r="Q480" s="144"/>
    </row>
    <row r="481" spans="1:17" s="1" customFormat="1" ht="19.5" hidden="1" customHeight="1" x14ac:dyDescent="0.3">
      <c r="A481" s="18"/>
      <c r="B481" s="75" t="s">
        <v>638</v>
      </c>
      <c r="C481" s="586">
        <v>45546.333333333336</v>
      </c>
      <c r="D481" s="586"/>
      <c r="E481" s="586"/>
      <c r="F481" s="146" t="s">
        <v>22</v>
      </c>
      <c r="G481" s="78">
        <v>8600</v>
      </c>
      <c r="H481" s="150" t="s">
        <v>13</v>
      </c>
      <c r="I481" s="73" t="s">
        <v>17</v>
      </c>
      <c r="J481" s="105" t="s">
        <v>86</v>
      </c>
      <c r="K481" s="75"/>
      <c r="L481" s="75"/>
      <c r="M481" s="150"/>
      <c r="N481" s="162"/>
      <c r="O481" s="145"/>
      <c r="P481" s="145" t="s">
        <v>11</v>
      </c>
      <c r="Q481" s="147"/>
    </row>
    <row r="482" spans="1:17" s="1" customFormat="1" ht="19.5" hidden="1" customHeight="1" x14ac:dyDescent="0.3">
      <c r="A482" s="18"/>
      <c r="B482" s="75" t="s">
        <v>31</v>
      </c>
      <c r="C482" s="586">
        <v>45547.291666666664</v>
      </c>
      <c r="D482" s="586"/>
      <c r="E482" s="586"/>
      <c r="F482" s="146" t="s">
        <v>511</v>
      </c>
      <c r="G482" s="78">
        <v>9000</v>
      </c>
      <c r="H482" s="150" t="s">
        <v>94</v>
      </c>
      <c r="I482" s="73" t="s">
        <v>23</v>
      </c>
      <c r="J482" s="105" t="s">
        <v>663</v>
      </c>
      <c r="K482" s="75"/>
      <c r="L482" s="75" t="s">
        <v>593</v>
      </c>
      <c r="M482" s="150" t="s">
        <v>16</v>
      </c>
      <c r="N482" s="162"/>
      <c r="O482" s="145"/>
      <c r="P482" s="145" t="s">
        <v>11</v>
      </c>
      <c r="Q482" s="147"/>
    </row>
    <row r="483" spans="1:17" s="1" customFormat="1" ht="19.5" hidden="1" customHeight="1" x14ac:dyDescent="0.3">
      <c r="A483" s="18"/>
      <c r="B483" s="450" t="s">
        <v>665</v>
      </c>
      <c r="C483" s="584">
        <v>45548.791666666664</v>
      </c>
      <c r="D483" s="584"/>
      <c r="E483" s="584"/>
      <c r="F483" s="143" t="s">
        <v>666</v>
      </c>
      <c r="G483" s="96">
        <v>6000</v>
      </c>
      <c r="H483" s="585" t="s">
        <v>241</v>
      </c>
      <c r="I483" s="86" t="s">
        <v>17</v>
      </c>
      <c r="J483" s="64" t="s">
        <v>66</v>
      </c>
      <c r="K483" s="95"/>
      <c r="L483" s="450" t="s">
        <v>642</v>
      </c>
      <c r="M483" s="585" t="s">
        <v>16</v>
      </c>
      <c r="N483" s="163"/>
      <c r="O483" s="124"/>
      <c r="P483" s="430" t="s">
        <v>16</v>
      </c>
      <c r="Q483" s="144"/>
    </row>
    <row r="484" spans="1:17" s="1" customFormat="1" ht="19.5" hidden="1" customHeight="1" x14ac:dyDescent="0.3">
      <c r="A484" s="18"/>
      <c r="B484" s="450"/>
      <c r="C484" s="584"/>
      <c r="D484" s="584"/>
      <c r="E484" s="584"/>
      <c r="F484" s="143" t="s">
        <v>666</v>
      </c>
      <c r="G484" s="96">
        <v>6000</v>
      </c>
      <c r="H484" s="585"/>
      <c r="I484" s="86" t="s">
        <v>23</v>
      </c>
      <c r="J484" s="64" t="s">
        <v>667</v>
      </c>
      <c r="K484" s="95"/>
      <c r="L484" s="450"/>
      <c r="M484" s="585"/>
      <c r="N484" s="163"/>
      <c r="O484" s="124"/>
      <c r="P484" s="430"/>
      <c r="Q484" s="144"/>
    </row>
    <row r="485" spans="1:17" s="1" customFormat="1" ht="19.5" hidden="1" customHeight="1" x14ac:dyDescent="0.3">
      <c r="A485" s="18"/>
      <c r="B485" s="450" t="s">
        <v>671</v>
      </c>
      <c r="C485" s="584">
        <v>45549.875</v>
      </c>
      <c r="D485" s="584"/>
      <c r="E485" s="584"/>
      <c r="F485" s="143" t="s">
        <v>666</v>
      </c>
      <c r="G485" s="96">
        <v>6000</v>
      </c>
      <c r="H485" s="585" t="s">
        <v>241</v>
      </c>
      <c r="I485" s="86" t="s">
        <v>23</v>
      </c>
      <c r="J485" s="64" t="s">
        <v>672</v>
      </c>
      <c r="K485" s="95"/>
      <c r="L485" s="450" t="s">
        <v>642</v>
      </c>
      <c r="M485" s="585" t="s">
        <v>16</v>
      </c>
      <c r="N485" s="163"/>
      <c r="O485" s="124"/>
      <c r="P485" s="430" t="s">
        <v>16</v>
      </c>
      <c r="Q485" s="144"/>
    </row>
    <row r="486" spans="1:17" s="1" customFormat="1" ht="19.5" hidden="1" customHeight="1" x14ac:dyDescent="0.3">
      <c r="A486" s="18"/>
      <c r="B486" s="450"/>
      <c r="C486" s="584"/>
      <c r="D486" s="584"/>
      <c r="E486" s="584"/>
      <c r="F486" s="143" t="s">
        <v>666</v>
      </c>
      <c r="G486" s="96">
        <f>11500-G485</f>
        <v>5500</v>
      </c>
      <c r="H486" s="585"/>
      <c r="I486" s="86" t="s">
        <v>23</v>
      </c>
      <c r="J486" s="64" t="s">
        <v>667</v>
      </c>
      <c r="K486" s="95"/>
      <c r="L486" s="450"/>
      <c r="M486" s="585"/>
      <c r="N486" s="163"/>
      <c r="O486" s="124"/>
      <c r="P486" s="430"/>
      <c r="Q486" s="144"/>
    </row>
    <row r="487" spans="1:17" s="1" customFormat="1" ht="19.5" hidden="1" customHeight="1" x14ac:dyDescent="0.3">
      <c r="A487" s="18"/>
      <c r="B487" s="95" t="s">
        <v>668</v>
      </c>
      <c r="C487" s="584">
        <v>45550.875</v>
      </c>
      <c r="D487" s="584"/>
      <c r="E487" s="584"/>
      <c r="F487" s="143" t="s">
        <v>666</v>
      </c>
      <c r="G487" s="96">
        <v>15400</v>
      </c>
      <c r="H487" s="125" t="s">
        <v>241</v>
      </c>
      <c r="I487" s="86" t="s">
        <v>23</v>
      </c>
      <c r="J487" s="64" t="s">
        <v>667</v>
      </c>
      <c r="K487" s="95"/>
      <c r="L487" s="95" t="s">
        <v>642</v>
      </c>
      <c r="M487" s="125" t="s">
        <v>16</v>
      </c>
      <c r="N487" s="163"/>
      <c r="O487" s="124"/>
      <c r="P487" s="124" t="s">
        <v>16</v>
      </c>
      <c r="Q487" s="144"/>
    </row>
    <row r="488" spans="1:17" s="1" customFormat="1" ht="19.5" hidden="1" customHeight="1" x14ac:dyDescent="0.3">
      <c r="A488" s="18"/>
      <c r="B488" s="95" t="s">
        <v>616</v>
      </c>
      <c r="C488" s="584">
        <v>45555.75</v>
      </c>
      <c r="D488" s="584"/>
      <c r="E488" s="584"/>
      <c r="F488" s="143" t="s">
        <v>550</v>
      </c>
      <c r="G488" s="96">
        <v>17780</v>
      </c>
      <c r="H488" s="125" t="s">
        <v>224</v>
      </c>
      <c r="I488" s="86" t="s">
        <v>23</v>
      </c>
      <c r="J488" s="64" t="s">
        <v>673</v>
      </c>
      <c r="K488" s="95"/>
      <c r="L488" s="95" t="s">
        <v>642</v>
      </c>
      <c r="M488" s="125" t="s">
        <v>16</v>
      </c>
      <c r="N488" s="163"/>
      <c r="O488" s="124"/>
      <c r="P488" s="124" t="s">
        <v>16</v>
      </c>
      <c r="Q488" s="144"/>
    </row>
    <row r="489" spans="1:17" s="1" customFormat="1" ht="19.5" hidden="1" customHeight="1" x14ac:dyDescent="0.3">
      <c r="A489" s="18"/>
      <c r="B489" s="75" t="s">
        <v>671</v>
      </c>
      <c r="C489" s="586">
        <v>45557.791666666664</v>
      </c>
      <c r="D489" s="586"/>
      <c r="E489" s="586"/>
      <c r="F489" s="146" t="s">
        <v>666</v>
      </c>
      <c r="G489" s="78">
        <v>13300</v>
      </c>
      <c r="H489" s="150" t="s">
        <v>241</v>
      </c>
      <c r="I489" s="73" t="s">
        <v>23</v>
      </c>
      <c r="J489" s="105" t="s">
        <v>677</v>
      </c>
      <c r="K489" s="75"/>
      <c r="L489" s="75" t="s">
        <v>642</v>
      </c>
      <c r="M489" s="150" t="s">
        <v>16</v>
      </c>
      <c r="N489" s="162"/>
      <c r="O489" s="145"/>
      <c r="P489" s="145" t="s">
        <v>16</v>
      </c>
      <c r="Q489" s="147"/>
    </row>
    <row r="490" spans="1:17" s="1" customFormat="1" ht="19.5" hidden="1" customHeight="1" x14ac:dyDescent="0.3">
      <c r="A490" s="18"/>
      <c r="B490" s="95" t="s">
        <v>31</v>
      </c>
      <c r="C490" s="584">
        <v>45561.833333333336</v>
      </c>
      <c r="D490" s="584"/>
      <c r="E490" s="584"/>
      <c r="F490" s="143" t="s">
        <v>674</v>
      </c>
      <c r="G490" s="96">
        <v>5000</v>
      </c>
      <c r="H490" s="125" t="s">
        <v>94</v>
      </c>
      <c r="I490" s="86" t="s">
        <v>17</v>
      </c>
      <c r="J490" s="64" t="s">
        <v>619</v>
      </c>
      <c r="K490" s="95"/>
      <c r="L490" s="95" t="s">
        <v>679</v>
      </c>
      <c r="M490" s="125" t="s">
        <v>16</v>
      </c>
      <c r="N490" s="163"/>
      <c r="O490" s="124"/>
      <c r="P490" s="124" t="s">
        <v>16</v>
      </c>
      <c r="Q490" s="144"/>
    </row>
    <row r="491" spans="1:17" s="1" customFormat="1" ht="19.5" hidden="1" customHeight="1" x14ac:dyDescent="0.3">
      <c r="A491" s="18"/>
      <c r="B491" s="95" t="s">
        <v>632</v>
      </c>
      <c r="C491" s="584">
        <v>45566.333333333336</v>
      </c>
      <c r="D491" s="584"/>
      <c r="E491" s="584"/>
      <c r="F491" s="143" t="s">
        <v>602</v>
      </c>
      <c r="G491" s="96">
        <v>8900</v>
      </c>
      <c r="H491" s="125" t="s">
        <v>13</v>
      </c>
      <c r="I491" s="86" t="s">
        <v>17</v>
      </c>
      <c r="J491" s="64" t="s">
        <v>272</v>
      </c>
      <c r="K491" s="95"/>
      <c r="L491" s="95"/>
      <c r="M491" s="125"/>
      <c r="N491" s="163"/>
      <c r="O491" s="124"/>
      <c r="P491" s="124" t="s">
        <v>16</v>
      </c>
      <c r="Q491" s="144" t="s">
        <v>685</v>
      </c>
    </row>
    <row r="492" spans="1:17" s="1" customFormat="1" ht="19.5" hidden="1" customHeight="1" x14ac:dyDescent="0.3">
      <c r="A492" s="18"/>
      <c r="B492" s="75" t="s">
        <v>638</v>
      </c>
      <c r="C492" s="586">
        <v>45567.833333333336</v>
      </c>
      <c r="D492" s="586"/>
      <c r="E492" s="586"/>
      <c r="F492" s="146" t="s">
        <v>602</v>
      </c>
      <c r="G492" s="78">
        <v>8800</v>
      </c>
      <c r="H492" s="150" t="s">
        <v>13</v>
      </c>
      <c r="I492" s="73" t="s">
        <v>17</v>
      </c>
      <c r="J492" s="105" t="s">
        <v>272</v>
      </c>
      <c r="K492" s="75"/>
      <c r="L492" s="75"/>
      <c r="M492" s="150"/>
      <c r="N492" s="162"/>
      <c r="O492" s="145"/>
      <c r="P492" s="145" t="s">
        <v>11</v>
      </c>
      <c r="Q492" s="147" t="s">
        <v>686</v>
      </c>
    </row>
    <row r="493" spans="1:17" s="1" customFormat="1" ht="19.5" hidden="1" customHeight="1" x14ac:dyDescent="0.3">
      <c r="A493" s="18"/>
      <c r="B493" s="95" t="s">
        <v>632</v>
      </c>
      <c r="C493" s="584">
        <v>45568.333333333336</v>
      </c>
      <c r="D493" s="584"/>
      <c r="E493" s="584"/>
      <c r="F493" s="143" t="s">
        <v>602</v>
      </c>
      <c r="G493" s="96">
        <v>8800</v>
      </c>
      <c r="H493" s="125" t="s">
        <v>94</v>
      </c>
      <c r="I493" s="86" t="s">
        <v>17</v>
      </c>
      <c r="J493" s="64" t="s">
        <v>272</v>
      </c>
      <c r="K493" s="95"/>
      <c r="L493" s="95"/>
      <c r="M493" s="125"/>
      <c r="N493" s="163"/>
      <c r="O493" s="124"/>
      <c r="P493" s="124" t="s">
        <v>11</v>
      </c>
      <c r="Q493" s="144"/>
    </row>
    <row r="494" spans="1:17" s="1" customFormat="1" ht="19.5" hidden="1" customHeight="1" x14ac:dyDescent="0.3">
      <c r="A494" s="18"/>
      <c r="B494" s="101" t="s">
        <v>632</v>
      </c>
      <c r="C494" s="479">
        <v>45573.75</v>
      </c>
      <c r="D494" s="479"/>
      <c r="E494" s="479"/>
      <c r="F494" s="175" t="s">
        <v>602</v>
      </c>
      <c r="G494" s="43">
        <v>8800</v>
      </c>
      <c r="H494" s="176" t="s">
        <v>13</v>
      </c>
      <c r="I494" s="100" t="s">
        <v>11</v>
      </c>
      <c r="J494" s="177" t="s">
        <v>690</v>
      </c>
      <c r="K494" s="101"/>
      <c r="L494" s="101"/>
      <c r="M494" s="176"/>
      <c r="N494" s="178"/>
      <c r="O494" s="179"/>
      <c r="P494" s="179" t="s">
        <v>11</v>
      </c>
      <c r="Q494" s="180" t="s">
        <v>692</v>
      </c>
    </row>
    <row r="495" spans="1:17" s="1" customFormat="1" ht="19.5" hidden="1" customHeight="1" x14ac:dyDescent="0.3">
      <c r="A495" s="18"/>
      <c r="B495" s="101" t="s">
        <v>31</v>
      </c>
      <c r="C495" s="479">
        <v>45575.333333333336</v>
      </c>
      <c r="D495" s="479"/>
      <c r="E495" s="479"/>
      <c r="F495" s="175" t="s">
        <v>674</v>
      </c>
      <c r="G495" s="43">
        <v>5000</v>
      </c>
      <c r="H495" s="176" t="s">
        <v>94</v>
      </c>
      <c r="I495" s="100" t="s">
        <v>17</v>
      </c>
      <c r="J495" s="177" t="s">
        <v>691</v>
      </c>
      <c r="K495" s="101"/>
      <c r="L495" s="101" t="s">
        <v>593</v>
      </c>
      <c r="M495" s="176" t="s">
        <v>16</v>
      </c>
      <c r="N495" s="178" t="s">
        <v>615</v>
      </c>
      <c r="O495" s="179"/>
      <c r="P495" s="179" t="s">
        <v>11</v>
      </c>
      <c r="Q495" s="180"/>
    </row>
    <row r="496" spans="1:17" s="1" customFormat="1" ht="19.5" hidden="1" customHeight="1" x14ac:dyDescent="0.3">
      <c r="A496" s="18"/>
      <c r="B496" s="101" t="s">
        <v>671</v>
      </c>
      <c r="C496" s="479">
        <v>45575.833333333336</v>
      </c>
      <c r="D496" s="479"/>
      <c r="E496" s="479"/>
      <c r="F496" s="175" t="s">
        <v>666</v>
      </c>
      <c r="G496" s="43">
        <v>4400</v>
      </c>
      <c r="H496" s="176" t="s">
        <v>241</v>
      </c>
      <c r="I496" s="100" t="s">
        <v>23</v>
      </c>
      <c r="J496" s="177" t="s">
        <v>688</v>
      </c>
      <c r="K496" s="101"/>
      <c r="L496" s="101"/>
      <c r="M496" s="176" t="s">
        <v>16</v>
      </c>
      <c r="N496" s="178" t="s">
        <v>254</v>
      </c>
      <c r="O496" s="179" t="s">
        <v>239</v>
      </c>
      <c r="P496" s="179" t="s">
        <v>11</v>
      </c>
      <c r="Q496" s="180"/>
    </row>
    <row r="497" spans="1:17" s="1" customFormat="1" ht="19.5" hidden="1" customHeight="1" x14ac:dyDescent="0.3">
      <c r="A497" s="18"/>
      <c r="B497" s="101" t="s">
        <v>638</v>
      </c>
      <c r="C497" s="479">
        <v>45578.333333333336</v>
      </c>
      <c r="D497" s="479"/>
      <c r="E497" s="479"/>
      <c r="F497" s="175" t="s">
        <v>22</v>
      </c>
      <c r="G497" s="43">
        <v>8400</v>
      </c>
      <c r="H497" s="176" t="s">
        <v>13</v>
      </c>
      <c r="I497" s="100" t="s">
        <v>23</v>
      </c>
      <c r="J497" s="177" t="s">
        <v>693</v>
      </c>
      <c r="K497" s="101"/>
      <c r="L497" s="101"/>
      <c r="M497" s="176"/>
      <c r="N497" s="178"/>
      <c r="O497" s="179"/>
      <c r="P497" s="179" t="s">
        <v>11</v>
      </c>
      <c r="Q497" s="180" t="s">
        <v>694</v>
      </c>
    </row>
    <row r="498" spans="1:17" s="1" customFormat="1" ht="19.5" hidden="1" customHeight="1" x14ac:dyDescent="0.3">
      <c r="A498" s="18"/>
      <c r="B498" s="104" t="s">
        <v>632</v>
      </c>
      <c r="C498" s="462">
        <v>45576.53125</v>
      </c>
      <c r="D498" s="462"/>
      <c r="E498" s="462"/>
      <c r="F498" s="181" t="s">
        <v>22</v>
      </c>
      <c r="G498" s="62">
        <v>8400</v>
      </c>
      <c r="H498" s="182" t="s">
        <v>13</v>
      </c>
      <c r="I498" s="63" t="s">
        <v>23</v>
      </c>
      <c r="J498" s="183" t="s">
        <v>693</v>
      </c>
      <c r="K498" s="104"/>
      <c r="L498" s="104"/>
      <c r="M498" s="182"/>
      <c r="N498" s="184"/>
      <c r="O498" s="185"/>
      <c r="P498" s="185" t="s">
        <v>11</v>
      </c>
      <c r="Q498" s="186" t="s">
        <v>698</v>
      </c>
    </row>
    <row r="499" spans="1:17" s="1" customFormat="1" ht="19.5" hidden="1" customHeight="1" x14ac:dyDescent="0.3">
      <c r="A499" s="18"/>
      <c r="B499" s="101" t="s">
        <v>31</v>
      </c>
      <c r="C499" s="479">
        <v>45580.791666666664</v>
      </c>
      <c r="D499" s="479"/>
      <c r="E499" s="479"/>
      <c r="F499" s="187" t="s">
        <v>499</v>
      </c>
      <c r="G499" s="43">
        <v>5500</v>
      </c>
      <c r="H499" s="176" t="s">
        <v>94</v>
      </c>
      <c r="I499" s="120" t="s">
        <v>11</v>
      </c>
      <c r="J499" s="188" t="s">
        <v>658</v>
      </c>
      <c r="K499" s="101"/>
      <c r="L499" s="101" t="s">
        <v>628</v>
      </c>
      <c r="M499" s="176" t="s">
        <v>16</v>
      </c>
      <c r="N499" s="178"/>
      <c r="O499" s="179"/>
      <c r="P499" s="179" t="s">
        <v>16</v>
      </c>
      <c r="Q499" s="189" t="s">
        <v>700</v>
      </c>
    </row>
    <row r="500" spans="1:17" s="1" customFormat="1" ht="19.5" hidden="1" customHeight="1" x14ac:dyDescent="0.3">
      <c r="A500" s="18"/>
      <c r="B500" s="101" t="s">
        <v>638</v>
      </c>
      <c r="C500" s="479">
        <v>45581.333333333336</v>
      </c>
      <c r="D500" s="479"/>
      <c r="E500" s="479"/>
      <c r="F500" s="175" t="s">
        <v>22</v>
      </c>
      <c r="G500" s="43">
        <v>8400</v>
      </c>
      <c r="H500" s="176" t="s">
        <v>13</v>
      </c>
      <c r="I500" s="100" t="s">
        <v>23</v>
      </c>
      <c r="J500" s="177" t="s">
        <v>693</v>
      </c>
      <c r="K500" s="101"/>
      <c r="L500" s="101"/>
      <c r="M500" s="176"/>
      <c r="N500" s="178"/>
      <c r="O500" s="179"/>
      <c r="P500" s="179" t="s">
        <v>11</v>
      </c>
      <c r="Q500" s="180" t="s">
        <v>699</v>
      </c>
    </row>
    <row r="501" spans="1:17" s="1" customFormat="1" ht="19.5" hidden="1" customHeight="1" x14ac:dyDescent="0.3">
      <c r="A501" s="18"/>
      <c r="B501" s="101" t="s">
        <v>31</v>
      </c>
      <c r="C501" s="479">
        <v>45585.333333333336</v>
      </c>
      <c r="D501" s="479"/>
      <c r="E501" s="479"/>
      <c r="F501" s="175" t="s">
        <v>674</v>
      </c>
      <c r="G501" s="43">
        <v>5000</v>
      </c>
      <c r="H501" s="176" t="s">
        <v>94</v>
      </c>
      <c r="I501" s="100" t="s">
        <v>17</v>
      </c>
      <c r="J501" s="177" t="s">
        <v>701</v>
      </c>
      <c r="K501" s="101"/>
      <c r="L501" s="101"/>
      <c r="M501" s="176" t="s">
        <v>16</v>
      </c>
      <c r="N501" s="178"/>
      <c r="O501" s="179"/>
      <c r="P501" s="179" t="s">
        <v>16</v>
      </c>
      <c r="Q501" s="180"/>
    </row>
    <row r="502" spans="1:17" s="1" customFormat="1" ht="19.5" hidden="1" customHeight="1" x14ac:dyDescent="0.3">
      <c r="A502" s="18"/>
      <c r="B502" s="101" t="s">
        <v>632</v>
      </c>
      <c r="C502" s="479">
        <v>45587.541666666664</v>
      </c>
      <c r="D502" s="479"/>
      <c r="E502" s="479"/>
      <c r="F502" s="175" t="s">
        <v>22</v>
      </c>
      <c r="G502" s="43">
        <v>8400</v>
      </c>
      <c r="H502" s="176" t="s">
        <v>13</v>
      </c>
      <c r="I502" s="100" t="s">
        <v>23</v>
      </c>
      <c r="J502" s="177" t="s">
        <v>704</v>
      </c>
      <c r="K502" s="101"/>
      <c r="L502" s="101"/>
      <c r="M502" s="176"/>
      <c r="N502" s="178"/>
      <c r="O502" s="179"/>
      <c r="P502" s="179" t="s">
        <v>11</v>
      </c>
      <c r="Q502" s="180" t="s">
        <v>707</v>
      </c>
    </row>
    <row r="503" spans="1:17" s="1" customFormat="1" ht="19.5" hidden="1" customHeight="1" x14ac:dyDescent="0.3">
      <c r="A503" s="18"/>
      <c r="B503" s="569" t="s">
        <v>703</v>
      </c>
      <c r="C503" s="462">
        <v>45588.416666666664</v>
      </c>
      <c r="D503" s="462"/>
      <c r="E503" s="462"/>
      <c r="F503" s="181" t="s">
        <v>550</v>
      </c>
      <c r="G503" s="62">
        <v>7000</v>
      </c>
      <c r="H503" s="182" t="s">
        <v>224</v>
      </c>
      <c r="I503" s="63" t="s">
        <v>11</v>
      </c>
      <c r="J503" s="183" t="s">
        <v>706</v>
      </c>
      <c r="K503" s="104"/>
      <c r="L503" s="104"/>
      <c r="M503" s="572" t="s">
        <v>16</v>
      </c>
      <c r="N503" s="184" t="s">
        <v>254</v>
      </c>
      <c r="O503" s="185" t="s">
        <v>239</v>
      </c>
      <c r="P503" s="529" t="s">
        <v>16</v>
      </c>
      <c r="Q503" s="583" t="s">
        <v>708</v>
      </c>
    </row>
    <row r="504" spans="1:17" s="1" customFormat="1" ht="19.5" hidden="1" customHeight="1" x14ac:dyDescent="0.3">
      <c r="A504" s="18"/>
      <c r="B504" s="569"/>
      <c r="C504" s="462"/>
      <c r="D504" s="462"/>
      <c r="E504" s="462"/>
      <c r="F504" s="181" t="s">
        <v>550</v>
      </c>
      <c r="G504" s="62">
        <f>11129-7000</f>
        <v>4129</v>
      </c>
      <c r="H504" s="182" t="s">
        <v>224</v>
      </c>
      <c r="I504" s="63" t="s">
        <v>23</v>
      </c>
      <c r="J504" s="183" t="s">
        <v>705</v>
      </c>
      <c r="K504" s="104"/>
      <c r="L504" s="104"/>
      <c r="M504" s="572"/>
      <c r="N504" s="184" t="s">
        <v>254</v>
      </c>
      <c r="O504" s="185" t="s">
        <v>239</v>
      </c>
      <c r="P504" s="529"/>
      <c r="Q504" s="583"/>
    </row>
    <row r="505" spans="1:17" s="1" customFormat="1" ht="19.5" hidden="1" customHeight="1" x14ac:dyDescent="0.3">
      <c r="A505" s="18"/>
      <c r="B505" s="566" t="s">
        <v>31</v>
      </c>
      <c r="C505" s="479">
        <v>45595.916666666664</v>
      </c>
      <c r="D505" s="479"/>
      <c r="E505" s="479"/>
      <c r="F505" s="175" t="s">
        <v>499</v>
      </c>
      <c r="G505" s="43">
        <v>7000</v>
      </c>
      <c r="H505" s="176" t="s">
        <v>94</v>
      </c>
      <c r="I505" s="100" t="s">
        <v>11</v>
      </c>
      <c r="J505" s="177" t="s">
        <v>716</v>
      </c>
      <c r="K505" s="101"/>
      <c r="L505" s="101"/>
      <c r="M505" s="568" t="s">
        <v>16</v>
      </c>
      <c r="N505" s="178"/>
      <c r="O505" s="179"/>
      <c r="P505" s="576" t="s">
        <v>16</v>
      </c>
      <c r="Q505" s="180"/>
    </row>
    <row r="506" spans="1:17" s="1" customFormat="1" ht="19.5" hidden="1" customHeight="1" x14ac:dyDescent="0.3">
      <c r="A506" s="18"/>
      <c r="B506" s="566"/>
      <c r="C506" s="479"/>
      <c r="D506" s="479"/>
      <c r="E506" s="479"/>
      <c r="F506" s="175" t="s">
        <v>674</v>
      </c>
      <c r="G506" s="43">
        <v>3200</v>
      </c>
      <c r="H506" s="176" t="s">
        <v>94</v>
      </c>
      <c r="I506" s="100" t="s">
        <v>17</v>
      </c>
      <c r="J506" s="177" t="s">
        <v>659</v>
      </c>
      <c r="K506" s="101"/>
      <c r="L506" s="101"/>
      <c r="M506" s="568"/>
      <c r="N506" s="178"/>
      <c r="O506" s="179"/>
      <c r="P506" s="576"/>
      <c r="Q506" s="180"/>
    </row>
    <row r="507" spans="1:17" s="1" customFormat="1" ht="19.5" hidden="1" customHeight="1" x14ac:dyDescent="0.3">
      <c r="A507" s="18"/>
      <c r="B507" s="101" t="s">
        <v>632</v>
      </c>
      <c r="C507" s="479">
        <v>45606.333333333336</v>
      </c>
      <c r="D507" s="479"/>
      <c r="E507" s="479"/>
      <c r="F507" s="175" t="s">
        <v>22</v>
      </c>
      <c r="G507" s="43">
        <v>2000</v>
      </c>
      <c r="H507" s="176" t="s">
        <v>13</v>
      </c>
      <c r="I507" s="100" t="s">
        <v>23</v>
      </c>
      <c r="J507" s="177" t="s">
        <v>725</v>
      </c>
      <c r="K507" s="101"/>
      <c r="L507" s="101" t="s">
        <v>593</v>
      </c>
      <c r="M507" s="176" t="s">
        <v>16</v>
      </c>
      <c r="N507" s="178" t="s">
        <v>254</v>
      </c>
      <c r="O507" s="179" t="s">
        <v>239</v>
      </c>
      <c r="P507" s="179"/>
      <c r="Q507" s="180" t="s">
        <v>727</v>
      </c>
    </row>
    <row r="508" spans="1:17" s="1" customFormat="1" ht="19.5" hidden="1" customHeight="1" x14ac:dyDescent="0.3">
      <c r="A508" s="18"/>
      <c r="B508" s="566" t="s">
        <v>31</v>
      </c>
      <c r="C508" s="479">
        <v>45611</v>
      </c>
      <c r="D508" s="479"/>
      <c r="E508" s="479"/>
      <c r="F508" s="175" t="s">
        <v>499</v>
      </c>
      <c r="G508" s="43">
        <v>2100</v>
      </c>
      <c r="H508" s="568" t="s">
        <v>94</v>
      </c>
      <c r="I508" s="100" t="s">
        <v>11</v>
      </c>
      <c r="J508" s="177" t="s">
        <v>28</v>
      </c>
      <c r="K508" s="101"/>
      <c r="L508" s="101"/>
      <c r="M508" s="568" t="s">
        <v>16</v>
      </c>
      <c r="N508" s="178"/>
      <c r="O508" s="179"/>
      <c r="P508" s="576" t="s">
        <v>16</v>
      </c>
      <c r="Q508" s="180"/>
    </row>
    <row r="509" spans="1:17" s="1" customFormat="1" ht="19.5" hidden="1" customHeight="1" x14ac:dyDescent="0.3">
      <c r="A509" s="18"/>
      <c r="B509" s="566"/>
      <c r="C509" s="479"/>
      <c r="D509" s="479"/>
      <c r="E509" s="479"/>
      <c r="F509" s="175" t="s">
        <v>674</v>
      </c>
      <c r="G509" s="43">
        <v>7000</v>
      </c>
      <c r="H509" s="568"/>
      <c r="I509" s="100" t="s">
        <v>23</v>
      </c>
      <c r="J509" s="177" t="s">
        <v>45</v>
      </c>
      <c r="K509" s="101"/>
      <c r="L509" s="101"/>
      <c r="M509" s="568"/>
      <c r="N509" s="178" t="s">
        <v>254</v>
      </c>
      <c r="O509" s="179" t="s">
        <v>239</v>
      </c>
      <c r="P509" s="576"/>
      <c r="Q509" s="180"/>
    </row>
    <row r="510" spans="1:17" s="1" customFormat="1" ht="19.5" hidden="1" customHeight="1" x14ac:dyDescent="0.3">
      <c r="A510" s="18"/>
      <c r="B510" s="104" t="s">
        <v>638</v>
      </c>
      <c r="C510" s="462">
        <v>45614.597222222219</v>
      </c>
      <c r="D510" s="462"/>
      <c r="E510" s="462"/>
      <c r="F510" s="181" t="s">
        <v>602</v>
      </c>
      <c r="G510" s="62">
        <v>8800</v>
      </c>
      <c r="H510" s="182" t="s">
        <v>13</v>
      </c>
      <c r="I510" s="63" t="s">
        <v>23</v>
      </c>
      <c r="J510" s="183" t="s">
        <v>726</v>
      </c>
      <c r="K510" s="104"/>
      <c r="L510" s="104"/>
      <c r="M510" s="182"/>
      <c r="N510" s="184"/>
      <c r="O510" s="185"/>
      <c r="P510" s="185"/>
      <c r="Q510" s="186" t="s">
        <v>728</v>
      </c>
    </row>
    <row r="511" spans="1:17" s="1" customFormat="1" ht="19.5" hidden="1" customHeight="1" x14ac:dyDescent="0.3">
      <c r="A511" s="18"/>
      <c r="B511" s="569" t="s">
        <v>31</v>
      </c>
      <c r="C511" s="462">
        <v>45615.402777777781</v>
      </c>
      <c r="D511" s="462"/>
      <c r="E511" s="462"/>
      <c r="F511" s="181" t="s">
        <v>499</v>
      </c>
      <c r="G511" s="62">
        <v>8200</v>
      </c>
      <c r="H511" s="572" t="s">
        <v>94</v>
      </c>
      <c r="I511" s="63" t="s">
        <v>11</v>
      </c>
      <c r="J511" s="183" t="s">
        <v>113</v>
      </c>
      <c r="K511" s="104"/>
      <c r="L511" s="104"/>
      <c r="M511" s="572" t="s">
        <v>16</v>
      </c>
      <c r="N511" s="184"/>
      <c r="O511" s="185"/>
      <c r="P511" s="529" t="s">
        <v>16</v>
      </c>
      <c r="Q511" s="186"/>
    </row>
    <row r="512" spans="1:17" s="1" customFormat="1" ht="19.5" hidden="1" customHeight="1" x14ac:dyDescent="0.3">
      <c r="A512" s="18"/>
      <c r="B512" s="569"/>
      <c r="C512" s="462"/>
      <c r="D512" s="462"/>
      <c r="E512" s="462"/>
      <c r="F512" s="181" t="s">
        <v>736</v>
      </c>
      <c r="G512" s="62">
        <v>5000</v>
      </c>
      <c r="H512" s="572"/>
      <c r="I512" s="63" t="s">
        <v>17</v>
      </c>
      <c r="J512" s="183" t="s">
        <v>737</v>
      </c>
      <c r="K512" s="104"/>
      <c r="L512" s="104"/>
      <c r="M512" s="572"/>
      <c r="N512" s="184"/>
      <c r="O512" s="185"/>
      <c r="P512" s="529"/>
      <c r="Q512" s="186"/>
    </row>
    <row r="513" spans="1:17" s="1" customFormat="1" ht="19.5" hidden="1" customHeight="1" x14ac:dyDescent="0.3">
      <c r="A513" s="18"/>
      <c r="B513" s="566" t="s">
        <v>632</v>
      </c>
      <c r="C513" s="479">
        <v>45619.833333333336</v>
      </c>
      <c r="D513" s="479"/>
      <c r="E513" s="479"/>
      <c r="F513" s="175" t="s">
        <v>602</v>
      </c>
      <c r="G513" s="43">
        <v>5000</v>
      </c>
      <c r="H513" s="568" t="s">
        <v>13</v>
      </c>
      <c r="I513" s="100" t="s">
        <v>23</v>
      </c>
      <c r="J513" s="177" t="s">
        <v>744</v>
      </c>
      <c r="K513" s="101"/>
      <c r="L513" s="101"/>
      <c r="M513" s="568" t="s">
        <v>730</v>
      </c>
      <c r="N513" s="178" t="s">
        <v>254</v>
      </c>
      <c r="O513" s="179" t="s">
        <v>239</v>
      </c>
      <c r="P513" s="576" t="s">
        <v>16</v>
      </c>
      <c r="Q513" s="582" t="s">
        <v>741</v>
      </c>
    </row>
    <row r="514" spans="1:17" s="1" customFormat="1" ht="19.5" hidden="1" customHeight="1" x14ac:dyDescent="0.3">
      <c r="A514" s="18"/>
      <c r="B514" s="566"/>
      <c r="C514" s="479"/>
      <c r="D514" s="479"/>
      <c r="E514" s="479"/>
      <c r="F514" s="175" t="s">
        <v>729</v>
      </c>
      <c r="G514" s="43">
        <v>3600</v>
      </c>
      <c r="H514" s="568"/>
      <c r="I514" s="100" t="s">
        <v>17</v>
      </c>
      <c r="J514" s="177" t="s">
        <v>742</v>
      </c>
      <c r="K514" s="101"/>
      <c r="L514" s="101"/>
      <c r="M514" s="568"/>
      <c r="N514" s="178"/>
      <c r="O514" s="179"/>
      <c r="P514" s="576"/>
      <c r="Q514" s="582"/>
    </row>
    <row r="515" spans="1:17" s="1" customFormat="1" ht="19.5" hidden="1" customHeight="1" x14ac:dyDescent="0.3">
      <c r="A515" s="18"/>
      <c r="B515" s="566" t="s">
        <v>31</v>
      </c>
      <c r="C515" s="479">
        <v>45620.541666666664</v>
      </c>
      <c r="D515" s="479"/>
      <c r="E515" s="479"/>
      <c r="F515" s="175" t="s">
        <v>499</v>
      </c>
      <c r="G515" s="43">
        <v>8000</v>
      </c>
      <c r="H515" s="568" t="s">
        <v>94</v>
      </c>
      <c r="I515" s="100" t="s">
        <v>11</v>
      </c>
      <c r="J515" s="177" t="s">
        <v>113</v>
      </c>
      <c r="K515" s="101"/>
      <c r="L515" s="101"/>
      <c r="M515" s="568" t="s">
        <v>16</v>
      </c>
      <c r="N515" s="178"/>
      <c r="O515" s="179"/>
      <c r="P515" s="576" t="s">
        <v>16</v>
      </c>
      <c r="Q515" s="180"/>
    </row>
    <row r="516" spans="1:17" s="1" customFormat="1" ht="19.5" hidden="1" customHeight="1" x14ac:dyDescent="0.3">
      <c r="A516" s="18"/>
      <c r="B516" s="566"/>
      <c r="C516" s="479"/>
      <c r="D516" s="479"/>
      <c r="E516" s="479"/>
      <c r="F516" s="175" t="s">
        <v>736</v>
      </c>
      <c r="G516" s="43">
        <v>5000</v>
      </c>
      <c r="H516" s="568"/>
      <c r="I516" s="100" t="s">
        <v>17</v>
      </c>
      <c r="J516" s="177" t="s">
        <v>737</v>
      </c>
      <c r="K516" s="101"/>
      <c r="L516" s="101"/>
      <c r="M516" s="568"/>
      <c r="N516" s="178"/>
      <c r="O516" s="179"/>
      <c r="P516" s="576"/>
      <c r="Q516" s="180"/>
    </row>
    <row r="517" spans="1:17" s="1" customFormat="1" ht="19.5" hidden="1" customHeight="1" x14ac:dyDescent="0.3">
      <c r="A517" s="18"/>
      <c r="B517" s="104" t="s">
        <v>638</v>
      </c>
      <c r="C517" s="462">
        <v>45621.333333333336</v>
      </c>
      <c r="D517" s="462"/>
      <c r="E517" s="462"/>
      <c r="F517" s="181" t="s">
        <v>729</v>
      </c>
      <c r="G517" s="62">
        <v>8600</v>
      </c>
      <c r="H517" s="182" t="s">
        <v>13</v>
      </c>
      <c r="I517" s="63" t="s">
        <v>17</v>
      </c>
      <c r="J517" s="183" t="s">
        <v>742</v>
      </c>
      <c r="K517" s="104"/>
      <c r="L517" s="104"/>
      <c r="M517" s="182"/>
      <c r="N517" s="184"/>
      <c r="O517" s="185"/>
      <c r="P517" s="185" t="s">
        <v>11</v>
      </c>
      <c r="Q517" s="186" t="s">
        <v>743</v>
      </c>
    </row>
    <row r="518" spans="1:17" s="1" customFormat="1" ht="19.5" hidden="1" customHeight="1" x14ac:dyDescent="0.3">
      <c r="A518" s="18"/>
      <c r="B518" s="566" t="s">
        <v>31</v>
      </c>
      <c r="C518" s="479">
        <v>45625.625</v>
      </c>
      <c r="D518" s="479"/>
      <c r="E518" s="479"/>
      <c r="F518" s="175" t="s">
        <v>499</v>
      </c>
      <c r="G518" s="43">
        <v>8000</v>
      </c>
      <c r="H518" s="568" t="s">
        <v>94</v>
      </c>
      <c r="I518" s="100" t="s">
        <v>11</v>
      </c>
      <c r="J518" s="177" t="s">
        <v>40</v>
      </c>
      <c r="K518" s="101"/>
      <c r="L518" s="101"/>
      <c r="M518" s="568" t="s">
        <v>16</v>
      </c>
      <c r="N518" s="178"/>
      <c r="O518" s="179"/>
      <c r="P518" s="576" t="s">
        <v>16</v>
      </c>
      <c r="Q518" s="180"/>
    </row>
    <row r="519" spans="1:17" s="1" customFormat="1" ht="19.5" hidden="1" customHeight="1" x14ac:dyDescent="0.3">
      <c r="A519" s="18"/>
      <c r="B519" s="566"/>
      <c r="C519" s="479"/>
      <c r="D519" s="479"/>
      <c r="E519" s="479"/>
      <c r="F519" s="175" t="s">
        <v>736</v>
      </c>
      <c r="G519" s="43">
        <v>5000</v>
      </c>
      <c r="H519" s="568"/>
      <c r="I519" s="100" t="s">
        <v>17</v>
      </c>
      <c r="J519" s="177" t="s">
        <v>737</v>
      </c>
      <c r="K519" s="101"/>
      <c r="L519" s="101"/>
      <c r="M519" s="568"/>
      <c r="N519" s="178"/>
      <c r="O519" s="179"/>
      <c r="P519" s="576"/>
      <c r="Q519" s="180"/>
    </row>
    <row r="520" spans="1:17" s="1" customFormat="1" ht="19.5" hidden="1" customHeight="1" x14ac:dyDescent="0.3">
      <c r="A520" s="18"/>
      <c r="B520" s="104" t="s">
        <v>632</v>
      </c>
      <c r="C520" s="462">
        <v>45628.333333333336</v>
      </c>
      <c r="D520" s="462"/>
      <c r="E520" s="462"/>
      <c r="F520" s="181" t="s">
        <v>729</v>
      </c>
      <c r="G520" s="62">
        <v>8600</v>
      </c>
      <c r="H520" s="182" t="s">
        <v>13</v>
      </c>
      <c r="I520" s="63" t="s">
        <v>17</v>
      </c>
      <c r="J520" s="183" t="s">
        <v>658</v>
      </c>
      <c r="K520" s="104"/>
      <c r="L520" s="104"/>
      <c r="M520" s="182"/>
      <c r="N520" s="184"/>
      <c r="O520" s="185"/>
      <c r="P520" s="185" t="s">
        <v>16</v>
      </c>
      <c r="Q520" s="186" t="s">
        <v>758</v>
      </c>
    </row>
    <row r="521" spans="1:17" s="1" customFormat="1" ht="19.5" hidden="1" customHeight="1" x14ac:dyDescent="0.3">
      <c r="A521" s="18"/>
      <c r="B521" s="101" t="s">
        <v>638</v>
      </c>
      <c r="C521" s="479">
        <v>45628.833333333336</v>
      </c>
      <c r="D521" s="479"/>
      <c r="E521" s="479"/>
      <c r="F521" s="175" t="s">
        <v>729</v>
      </c>
      <c r="G521" s="43">
        <v>8600</v>
      </c>
      <c r="H521" s="176" t="s">
        <v>13</v>
      </c>
      <c r="I521" s="100" t="s">
        <v>17</v>
      </c>
      <c r="J521" s="177" t="s">
        <v>658</v>
      </c>
      <c r="K521" s="101"/>
      <c r="L521" s="101"/>
      <c r="M521" s="176"/>
      <c r="N521" s="178"/>
      <c r="O521" s="179"/>
      <c r="P521" s="179" t="s">
        <v>16</v>
      </c>
      <c r="Q521" s="180" t="s">
        <v>747</v>
      </c>
    </row>
    <row r="522" spans="1:17" s="1" customFormat="1" ht="19.5" hidden="1" customHeight="1" x14ac:dyDescent="0.3">
      <c r="A522" s="18"/>
      <c r="B522" s="569" t="s">
        <v>31</v>
      </c>
      <c r="C522" s="462">
        <v>45629.569444444445</v>
      </c>
      <c r="D522" s="462"/>
      <c r="E522" s="462"/>
      <c r="F522" s="181" t="s">
        <v>499</v>
      </c>
      <c r="G522" s="62">
        <v>4500</v>
      </c>
      <c r="H522" s="572" t="s">
        <v>94</v>
      </c>
      <c r="I522" s="63" t="s">
        <v>11</v>
      </c>
      <c r="J522" s="183" t="s">
        <v>40</v>
      </c>
      <c r="K522" s="104"/>
      <c r="L522" s="104"/>
      <c r="M522" s="572" t="s">
        <v>16</v>
      </c>
      <c r="N522" s="208" t="s">
        <v>763</v>
      </c>
      <c r="O522" s="185"/>
      <c r="P522" s="529" t="s">
        <v>16</v>
      </c>
      <c r="Q522" s="186"/>
    </row>
    <row r="523" spans="1:17" s="1" customFormat="1" ht="19.5" hidden="1" customHeight="1" x14ac:dyDescent="0.3">
      <c r="A523" s="18"/>
      <c r="B523" s="569"/>
      <c r="C523" s="462"/>
      <c r="D523" s="462"/>
      <c r="E523" s="462"/>
      <c r="F523" s="181" t="s">
        <v>761</v>
      </c>
      <c r="G523" s="62">
        <v>2500</v>
      </c>
      <c r="H523" s="572"/>
      <c r="I523" s="63" t="s">
        <v>23</v>
      </c>
      <c r="J523" s="183" t="s">
        <v>762</v>
      </c>
      <c r="K523" s="104"/>
      <c r="L523" s="104"/>
      <c r="M523" s="572"/>
      <c r="N523" s="184"/>
      <c r="O523" s="185"/>
      <c r="P523" s="529"/>
      <c r="Q523" s="186"/>
    </row>
    <row r="524" spans="1:17" s="1" customFormat="1" ht="19.5" hidden="1" customHeight="1" x14ac:dyDescent="0.3">
      <c r="A524" s="18"/>
      <c r="B524" s="569"/>
      <c r="C524" s="462"/>
      <c r="D524" s="462"/>
      <c r="E524" s="462"/>
      <c r="F524" s="181" t="s">
        <v>736</v>
      </c>
      <c r="G524" s="62">
        <v>4000</v>
      </c>
      <c r="H524" s="572"/>
      <c r="I524" s="63" t="s">
        <v>17</v>
      </c>
      <c r="J524" s="183" t="s">
        <v>737</v>
      </c>
      <c r="K524" s="104"/>
      <c r="L524" s="104"/>
      <c r="M524" s="572"/>
      <c r="N524" s="184"/>
      <c r="O524" s="185"/>
      <c r="P524" s="529"/>
      <c r="Q524" s="186"/>
    </row>
    <row r="525" spans="1:17" s="1" customFormat="1" ht="19.5" hidden="1" customHeight="1" x14ac:dyDescent="0.3">
      <c r="A525" s="18"/>
      <c r="B525" s="101" t="s">
        <v>638</v>
      </c>
      <c r="C525" s="479">
        <v>45630.333333333336</v>
      </c>
      <c r="D525" s="479"/>
      <c r="E525" s="479"/>
      <c r="F525" s="175" t="s">
        <v>729</v>
      </c>
      <c r="G525" s="43">
        <v>8600</v>
      </c>
      <c r="H525" s="176" t="s">
        <v>13</v>
      </c>
      <c r="I525" s="100" t="s">
        <v>17</v>
      </c>
      <c r="J525" s="177" t="s">
        <v>658</v>
      </c>
      <c r="K525" s="101"/>
      <c r="L525" s="101"/>
      <c r="M525" s="176"/>
      <c r="N525" s="178"/>
      <c r="O525" s="179"/>
      <c r="P525" s="179" t="s">
        <v>16</v>
      </c>
      <c r="Q525" s="180" t="s">
        <v>755</v>
      </c>
    </row>
    <row r="526" spans="1:17" s="1" customFormat="1" ht="19.5" hidden="1" customHeight="1" x14ac:dyDescent="0.3">
      <c r="A526" s="18"/>
      <c r="B526" s="104" t="s">
        <v>638</v>
      </c>
      <c r="C526" s="462">
        <v>45630.333333333336</v>
      </c>
      <c r="D526" s="462"/>
      <c r="E526" s="462"/>
      <c r="F526" s="181" t="s">
        <v>729</v>
      </c>
      <c r="G526" s="62">
        <v>8800</v>
      </c>
      <c r="H526" s="182" t="s">
        <v>13</v>
      </c>
      <c r="I526" s="63" t="s">
        <v>17</v>
      </c>
      <c r="J526" s="183" t="s">
        <v>770</v>
      </c>
      <c r="K526" s="104"/>
      <c r="L526" s="104"/>
      <c r="M526" s="182"/>
      <c r="N526" s="184"/>
      <c r="O526" s="185"/>
      <c r="P526" s="185" t="s">
        <v>16</v>
      </c>
      <c r="Q526" s="186"/>
    </row>
    <row r="527" spans="1:17" s="1" customFormat="1" ht="19.5" hidden="1" customHeight="1" x14ac:dyDescent="0.3">
      <c r="A527" s="18"/>
      <c r="B527" s="101" t="s">
        <v>638</v>
      </c>
      <c r="C527" s="479">
        <v>45633.5</v>
      </c>
      <c r="D527" s="479"/>
      <c r="E527" s="479"/>
      <c r="F527" s="175" t="s">
        <v>729</v>
      </c>
      <c r="G527" s="43">
        <v>8600</v>
      </c>
      <c r="H527" s="176" t="s">
        <v>13</v>
      </c>
      <c r="I527" s="100" t="s">
        <v>17</v>
      </c>
      <c r="J527" s="177" t="s">
        <v>28</v>
      </c>
      <c r="K527" s="101"/>
      <c r="L527" s="101"/>
      <c r="M527" s="176"/>
      <c r="N527" s="178"/>
      <c r="O527" s="179"/>
      <c r="P527" s="179" t="s">
        <v>16</v>
      </c>
      <c r="Q527" s="180" t="s">
        <v>774</v>
      </c>
    </row>
    <row r="528" spans="1:17" s="1" customFormat="1" ht="19.5" hidden="1" customHeight="1" x14ac:dyDescent="0.3">
      <c r="A528" s="18"/>
      <c r="B528" s="566" t="s">
        <v>31</v>
      </c>
      <c r="C528" s="479">
        <v>45634</v>
      </c>
      <c r="D528" s="479"/>
      <c r="E528" s="479"/>
      <c r="F528" s="175" t="s">
        <v>499</v>
      </c>
      <c r="G528" s="43">
        <v>8000</v>
      </c>
      <c r="H528" s="568" t="s">
        <v>94</v>
      </c>
      <c r="I528" s="100" t="s">
        <v>23</v>
      </c>
      <c r="J528" s="177" t="s">
        <v>777</v>
      </c>
      <c r="K528" s="101"/>
      <c r="L528" s="101"/>
      <c r="M528" s="568" t="s">
        <v>16</v>
      </c>
      <c r="N528" s="178"/>
      <c r="O528" s="179"/>
      <c r="P528" s="576" t="s">
        <v>16</v>
      </c>
      <c r="Q528" s="180"/>
    </row>
    <row r="529" spans="1:19" s="1" customFormat="1" ht="19.5" hidden="1" customHeight="1" x14ac:dyDescent="0.3">
      <c r="A529" s="18"/>
      <c r="B529" s="566"/>
      <c r="C529" s="479"/>
      <c r="D529" s="479"/>
      <c r="E529" s="479"/>
      <c r="F529" s="175" t="s">
        <v>736</v>
      </c>
      <c r="G529" s="43">
        <v>5000</v>
      </c>
      <c r="H529" s="568"/>
      <c r="I529" s="100" t="s">
        <v>11</v>
      </c>
      <c r="J529" s="177" t="s">
        <v>545</v>
      </c>
      <c r="K529" s="101"/>
      <c r="L529" s="101"/>
      <c r="M529" s="568"/>
      <c r="N529" s="178"/>
      <c r="O529" s="179"/>
      <c r="P529" s="576"/>
      <c r="Q529" s="180"/>
    </row>
    <row r="530" spans="1:19" s="1" customFormat="1" ht="19.5" hidden="1" customHeight="1" x14ac:dyDescent="0.3">
      <c r="A530" s="18"/>
      <c r="B530" s="101" t="s">
        <v>671</v>
      </c>
      <c r="C530" s="479">
        <v>45635</v>
      </c>
      <c r="D530" s="479"/>
      <c r="E530" s="479"/>
      <c r="F530" s="175" t="s">
        <v>666</v>
      </c>
      <c r="G530" s="43">
        <v>1000</v>
      </c>
      <c r="H530" s="176" t="s">
        <v>241</v>
      </c>
      <c r="I530" s="100" t="s">
        <v>11</v>
      </c>
      <c r="J530" s="177" t="s">
        <v>780</v>
      </c>
      <c r="K530" s="101"/>
      <c r="L530" s="101"/>
      <c r="M530" s="176" t="s">
        <v>16</v>
      </c>
      <c r="N530" s="178"/>
      <c r="O530" s="179"/>
      <c r="P530" s="179" t="s">
        <v>16</v>
      </c>
      <c r="Q530" s="180" t="s">
        <v>765</v>
      </c>
      <c r="S530" s="8" t="s">
        <v>768</v>
      </c>
    </row>
    <row r="531" spans="1:19" s="1" customFormat="1" ht="19.5" hidden="1" customHeight="1" x14ac:dyDescent="0.3">
      <c r="A531" s="18"/>
      <c r="B531" s="101" t="s">
        <v>632</v>
      </c>
      <c r="C531" s="479">
        <v>45635.333333333336</v>
      </c>
      <c r="D531" s="479"/>
      <c r="E531" s="479"/>
      <c r="F531" s="175" t="s">
        <v>729</v>
      </c>
      <c r="G531" s="43">
        <v>8800</v>
      </c>
      <c r="H531" s="176" t="s">
        <v>13</v>
      </c>
      <c r="I531" s="100" t="s">
        <v>17</v>
      </c>
      <c r="J531" s="177" t="s">
        <v>28</v>
      </c>
      <c r="K531" s="101"/>
      <c r="L531" s="101"/>
      <c r="M531" s="176"/>
      <c r="N531" s="178"/>
      <c r="O531" s="179"/>
      <c r="P531" s="179" t="s">
        <v>16</v>
      </c>
      <c r="Q531" s="180" t="s">
        <v>775</v>
      </c>
    </row>
    <row r="532" spans="1:19" s="1" customFormat="1" ht="19.5" hidden="1" customHeight="1" x14ac:dyDescent="0.3">
      <c r="A532" s="18"/>
      <c r="B532" s="101" t="s">
        <v>638</v>
      </c>
      <c r="C532" s="479">
        <v>45637.666666666664</v>
      </c>
      <c r="D532" s="479"/>
      <c r="E532" s="479"/>
      <c r="F532" s="175" t="s">
        <v>729</v>
      </c>
      <c r="G532" s="43">
        <v>2863</v>
      </c>
      <c r="H532" s="176" t="s">
        <v>13</v>
      </c>
      <c r="I532" s="100" t="s">
        <v>17</v>
      </c>
      <c r="J532" s="177" t="s">
        <v>50</v>
      </c>
      <c r="K532" s="101"/>
      <c r="L532" s="101" t="s">
        <v>628</v>
      </c>
      <c r="M532" s="207" t="s">
        <v>16</v>
      </c>
      <c r="N532" s="178"/>
      <c r="O532" s="179"/>
      <c r="P532" s="179" t="s">
        <v>16</v>
      </c>
      <c r="Q532" s="180" t="s">
        <v>783</v>
      </c>
      <c r="S532" s="8" t="s">
        <v>776</v>
      </c>
    </row>
    <row r="533" spans="1:19" s="1" customFormat="1" ht="19.5" hidden="1" customHeight="1" x14ac:dyDescent="0.3">
      <c r="A533" s="18"/>
      <c r="B533" s="104" t="s">
        <v>773</v>
      </c>
      <c r="C533" s="462">
        <v>45637.916666666664</v>
      </c>
      <c r="D533" s="462"/>
      <c r="E533" s="462"/>
      <c r="F533" s="181" t="s">
        <v>756</v>
      </c>
      <c r="G533" s="62">
        <v>17000</v>
      </c>
      <c r="H533" s="182" t="s">
        <v>224</v>
      </c>
      <c r="I533" s="63" t="s">
        <v>23</v>
      </c>
      <c r="J533" s="183" t="s">
        <v>584</v>
      </c>
      <c r="K533" s="104"/>
      <c r="L533" s="104"/>
      <c r="M533" s="182" t="s">
        <v>16</v>
      </c>
      <c r="N533" s="184"/>
      <c r="O533" s="185"/>
      <c r="P533" s="185" t="s">
        <v>16</v>
      </c>
      <c r="Q533" s="209"/>
    </row>
    <row r="534" spans="1:19" s="1" customFormat="1" ht="19.5" hidden="1" customHeight="1" x14ac:dyDescent="0.3">
      <c r="A534" s="18"/>
      <c r="B534" s="566" t="s">
        <v>31</v>
      </c>
      <c r="C534" s="479">
        <v>45638.833333333336</v>
      </c>
      <c r="D534" s="479"/>
      <c r="E534" s="479"/>
      <c r="F534" s="175" t="s">
        <v>499</v>
      </c>
      <c r="G534" s="43">
        <v>2000</v>
      </c>
      <c r="H534" s="568" t="s">
        <v>94</v>
      </c>
      <c r="I534" s="100" t="s">
        <v>23</v>
      </c>
      <c r="J534" s="177" t="s">
        <v>785</v>
      </c>
      <c r="K534" s="101"/>
      <c r="L534" s="566" t="s">
        <v>593</v>
      </c>
      <c r="M534" s="568" t="s">
        <v>16</v>
      </c>
      <c r="N534" s="581" t="s">
        <v>787</v>
      </c>
      <c r="O534" s="179"/>
      <c r="P534" s="576" t="s">
        <v>16</v>
      </c>
      <c r="Q534" s="210"/>
    </row>
    <row r="535" spans="1:19" s="1" customFormat="1" ht="19.5" hidden="1" customHeight="1" x14ac:dyDescent="0.3">
      <c r="A535" s="18"/>
      <c r="B535" s="566"/>
      <c r="C535" s="479"/>
      <c r="D535" s="479"/>
      <c r="E535" s="479"/>
      <c r="F535" s="175" t="s">
        <v>784</v>
      </c>
      <c r="G535" s="43">
        <v>3000</v>
      </c>
      <c r="H535" s="568"/>
      <c r="I535" s="100" t="s">
        <v>17</v>
      </c>
      <c r="J535" s="177" t="s">
        <v>786</v>
      </c>
      <c r="K535" s="101"/>
      <c r="L535" s="566"/>
      <c r="M535" s="568"/>
      <c r="N535" s="581"/>
      <c r="O535" s="179"/>
      <c r="P535" s="576"/>
      <c r="Q535" s="210"/>
    </row>
    <row r="536" spans="1:19" s="1" customFormat="1" ht="19.5" hidden="1" customHeight="1" x14ac:dyDescent="0.3">
      <c r="A536" s="18"/>
      <c r="B536" s="104" t="s">
        <v>632</v>
      </c>
      <c r="C536" s="462">
        <v>45642.333333333336</v>
      </c>
      <c r="D536" s="462"/>
      <c r="E536" s="462"/>
      <c r="F536" s="181" t="s">
        <v>22</v>
      </c>
      <c r="G536" s="62">
        <v>8600</v>
      </c>
      <c r="H536" s="182" t="s">
        <v>13</v>
      </c>
      <c r="I536" s="63" t="s">
        <v>11</v>
      </c>
      <c r="J536" s="183" t="s">
        <v>556</v>
      </c>
      <c r="K536" s="104"/>
      <c r="L536" s="104"/>
      <c r="M536" s="182"/>
      <c r="N536" s="184" t="s">
        <v>791</v>
      </c>
      <c r="O536" s="185"/>
      <c r="P536" s="185"/>
      <c r="Q536" s="209" t="s">
        <v>794</v>
      </c>
    </row>
    <row r="537" spans="1:19" s="1" customFormat="1" ht="19.5" hidden="1" customHeight="1" x14ac:dyDescent="0.3">
      <c r="A537" s="18"/>
      <c r="B537" s="101" t="s">
        <v>31</v>
      </c>
      <c r="C537" s="479">
        <v>45643.166666666664</v>
      </c>
      <c r="D537" s="479"/>
      <c r="E537" s="479"/>
      <c r="F537" s="175" t="s">
        <v>784</v>
      </c>
      <c r="G537" s="43">
        <v>5000</v>
      </c>
      <c r="H537" s="176" t="s">
        <v>94</v>
      </c>
      <c r="I537" s="100" t="s">
        <v>17</v>
      </c>
      <c r="J537" s="177" t="s">
        <v>801</v>
      </c>
      <c r="K537" s="101"/>
      <c r="L537" s="101" t="s">
        <v>628</v>
      </c>
      <c r="M537" s="176" t="s">
        <v>16</v>
      </c>
      <c r="N537" s="178"/>
      <c r="O537" s="179"/>
      <c r="P537" s="179" t="s">
        <v>16</v>
      </c>
      <c r="Q537" s="210"/>
    </row>
    <row r="538" spans="1:19" s="1" customFormat="1" ht="19.5" hidden="1" customHeight="1" x14ac:dyDescent="0.3">
      <c r="A538" s="18"/>
      <c r="B538" s="104" t="s">
        <v>478</v>
      </c>
      <c r="C538" s="462">
        <v>45644.260416666664</v>
      </c>
      <c r="D538" s="462"/>
      <c r="E538" s="462"/>
      <c r="F538" s="181" t="s">
        <v>756</v>
      </c>
      <c r="G538" s="62">
        <v>17000</v>
      </c>
      <c r="H538" s="182" t="s">
        <v>224</v>
      </c>
      <c r="I538" s="63" t="s">
        <v>23</v>
      </c>
      <c r="J538" s="183" t="s">
        <v>795</v>
      </c>
      <c r="K538" s="104"/>
      <c r="L538" s="104"/>
      <c r="M538" s="182" t="s">
        <v>16</v>
      </c>
      <c r="N538" s="184"/>
      <c r="O538" s="185"/>
      <c r="P538" s="185" t="s">
        <v>16</v>
      </c>
      <c r="Q538" s="209"/>
      <c r="S538" s="8" t="s">
        <v>769</v>
      </c>
    </row>
    <row r="539" spans="1:19" s="1" customFormat="1" ht="19.5" hidden="1" customHeight="1" x14ac:dyDescent="0.3">
      <c r="A539" s="18"/>
      <c r="B539" s="104" t="s">
        <v>632</v>
      </c>
      <c r="C539" s="462">
        <v>45646.333333333336</v>
      </c>
      <c r="D539" s="462"/>
      <c r="E539" s="462"/>
      <c r="F539" s="181" t="s">
        <v>729</v>
      </c>
      <c r="G539" s="62">
        <v>8850</v>
      </c>
      <c r="H539" s="182" t="s">
        <v>13</v>
      </c>
      <c r="I539" s="63" t="s">
        <v>23</v>
      </c>
      <c r="J539" s="183" t="s">
        <v>792</v>
      </c>
      <c r="K539" s="214"/>
      <c r="L539" s="214"/>
      <c r="M539" s="215"/>
      <c r="N539" s="184" t="s">
        <v>793</v>
      </c>
      <c r="O539" s="185"/>
      <c r="P539" s="185" t="s">
        <v>16</v>
      </c>
      <c r="Q539" s="209" t="s">
        <v>804</v>
      </c>
      <c r="S539" s="8"/>
    </row>
    <row r="540" spans="1:19" s="1" customFormat="1" ht="19.5" hidden="1" customHeight="1" x14ac:dyDescent="0.3">
      <c r="A540" s="18"/>
      <c r="B540" s="101" t="s">
        <v>638</v>
      </c>
      <c r="C540" s="479">
        <v>45646.833333333336</v>
      </c>
      <c r="D540" s="479"/>
      <c r="E540" s="479"/>
      <c r="F540" s="175" t="s">
        <v>22</v>
      </c>
      <c r="G540" s="43">
        <v>8400</v>
      </c>
      <c r="H540" s="176" t="s">
        <v>13</v>
      </c>
      <c r="I540" s="100" t="s">
        <v>11</v>
      </c>
      <c r="J540" s="177" t="s">
        <v>556</v>
      </c>
      <c r="K540" s="211"/>
      <c r="L540" s="211"/>
      <c r="M540" s="212"/>
      <c r="N540" s="320" t="s">
        <v>802</v>
      </c>
      <c r="O540" s="179"/>
      <c r="P540" s="179" t="s">
        <v>16</v>
      </c>
      <c r="Q540" s="210" t="s">
        <v>805</v>
      </c>
      <c r="S540" s="8"/>
    </row>
    <row r="541" spans="1:19" s="1" customFormat="1" ht="19.5" hidden="1" customHeight="1" x14ac:dyDescent="0.3">
      <c r="A541" s="18"/>
      <c r="B541" s="101" t="s">
        <v>632</v>
      </c>
      <c r="C541" s="479">
        <v>45647.416666666664</v>
      </c>
      <c r="D541" s="479"/>
      <c r="E541" s="479"/>
      <c r="F541" s="175" t="s">
        <v>729</v>
      </c>
      <c r="G541" s="43">
        <v>4410</v>
      </c>
      <c r="H541" s="176" t="s">
        <v>13</v>
      </c>
      <c r="I541" s="100" t="s">
        <v>23</v>
      </c>
      <c r="J541" s="177" t="s">
        <v>792</v>
      </c>
      <c r="K541" s="101"/>
      <c r="L541" s="101" t="s">
        <v>593</v>
      </c>
      <c r="M541" s="176" t="s">
        <v>16</v>
      </c>
      <c r="N541" s="178" t="s">
        <v>803</v>
      </c>
      <c r="O541" s="179" t="s">
        <v>239</v>
      </c>
      <c r="P541" s="179" t="s">
        <v>16</v>
      </c>
      <c r="Q541" s="210" t="s">
        <v>806</v>
      </c>
      <c r="S541" s="8"/>
    </row>
    <row r="542" spans="1:19" s="1" customFormat="1" ht="19.5" hidden="1" customHeight="1" x14ac:dyDescent="0.3">
      <c r="A542" s="18"/>
      <c r="B542" s="566" t="s">
        <v>31</v>
      </c>
      <c r="C542" s="479">
        <v>45647.833333333336</v>
      </c>
      <c r="D542" s="479"/>
      <c r="E542" s="479"/>
      <c r="F542" s="175" t="s">
        <v>784</v>
      </c>
      <c r="G542" s="43">
        <v>6000</v>
      </c>
      <c r="H542" s="568" t="s">
        <v>94</v>
      </c>
      <c r="I542" s="100" t="s">
        <v>17</v>
      </c>
      <c r="J542" s="177" t="s">
        <v>801</v>
      </c>
      <c r="K542" s="211"/>
      <c r="L542" s="566" t="s">
        <v>628</v>
      </c>
      <c r="M542" s="568" t="s">
        <v>16</v>
      </c>
      <c r="N542" s="178" t="s">
        <v>254</v>
      </c>
      <c r="O542" s="179"/>
      <c r="P542" s="576" t="s">
        <v>16</v>
      </c>
      <c r="Q542" s="210"/>
      <c r="S542" s="8"/>
    </row>
    <row r="543" spans="1:19" s="1" customFormat="1" ht="19.5" hidden="1" customHeight="1" x14ac:dyDescent="0.3">
      <c r="A543" s="18"/>
      <c r="B543" s="566"/>
      <c r="C543" s="479"/>
      <c r="D543" s="479"/>
      <c r="E543" s="479"/>
      <c r="F543" s="175" t="s">
        <v>784</v>
      </c>
      <c r="G543" s="43">
        <v>3000</v>
      </c>
      <c r="H543" s="568"/>
      <c r="I543" s="100" t="s">
        <v>11</v>
      </c>
      <c r="J543" s="177" t="s">
        <v>808</v>
      </c>
      <c r="K543" s="211"/>
      <c r="L543" s="566"/>
      <c r="M543" s="568"/>
      <c r="N543" s="178"/>
      <c r="O543" s="179"/>
      <c r="P543" s="576"/>
      <c r="Q543" s="210"/>
      <c r="S543" s="8"/>
    </row>
    <row r="544" spans="1:19" s="1" customFormat="1" ht="19.5" hidden="1" customHeight="1" x14ac:dyDescent="0.3">
      <c r="A544" s="18"/>
      <c r="B544" s="101" t="s">
        <v>638</v>
      </c>
      <c r="C544" s="479">
        <v>45648.333333333336</v>
      </c>
      <c r="D544" s="479"/>
      <c r="E544" s="479"/>
      <c r="F544" s="175" t="s">
        <v>22</v>
      </c>
      <c r="G544" s="43">
        <v>8600</v>
      </c>
      <c r="H544" s="176" t="s">
        <v>13</v>
      </c>
      <c r="I544" s="100" t="s">
        <v>11</v>
      </c>
      <c r="J544" s="177" t="s">
        <v>556</v>
      </c>
      <c r="K544" s="211"/>
      <c r="L544" s="211"/>
      <c r="M544" s="212"/>
      <c r="N544" s="320"/>
      <c r="O544" s="179"/>
      <c r="P544" s="179" t="s">
        <v>11</v>
      </c>
      <c r="Q544" s="210" t="s">
        <v>807</v>
      </c>
      <c r="S544" s="8"/>
    </row>
    <row r="545" spans="1:19" s="1" customFormat="1" ht="19.5" hidden="1" customHeight="1" x14ac:dyDescent="0.3">
      <c r="A545" s="18"/>
      <c r="B545" s="104" t="s">
        <v>632</v>
      </c>
      <c r="C545" s="462">
        <v>45649.333333333336</v>
      </c>
      <c r="D545" s="462"/>
      <c r="E545" s="462"/>
      <c r="F545" s="181" t="s">
        <v>22</v>
      </c>
      <c r="G545" s="62">
        <v>8400</v>
      </c>
      <c r="H545" s="182" t="s">
        <v>13</v>
      </c>
      <c r="I545" s="63" t="s">
        <v>11</v>
      </c>
      <c r="J545" s="183" t="s">
        <v>812</v>
      </c>
      <c r="K545" s="104"/>
      <c r="L545" s="104"/>
      <c r="M545" s="182"/>
      <c r="N545" s="321"/>
      <c r="O545" s="185"/>
      <c r="P545" s="185" t="s">
        <v>11</v>
      </c>
      <c r="Q545" s="209"/>
      <c r="S545" s="8"/>
    </row>
    <row r="546" spans="1:19" s="1" customFormat="1" ht="19.5" hidden="1" customHeight="1" x14ac:dyDescent="0.3">
      <c r="A546" s="18"/>
      <c r="B546" s="101" t="s">
        <v>632</v>
      </c>
      <c r="C546" s="479">
        <v>45651.333333333336</v>
      </c>
      <c r="D546" s="479"/>
      <c r="E546" s="479"/>
      <c r="F546" s="175" t="s">
        <v>22</v>
      </c>
      <c r="G546" s="43">
        <v>8400</v>
      </c>
      <c r="H546" s="176" t="s">
        <v>13</v>
      </c>
      <c r="I546" s="100" t="s">
        <v>11</v>
      </c>
      <c r="J546" s="177" t="s">
        <v>701</v>
      </c>
      <c r="K546" s="211"/>
      <c r="L546" s="211"/>
      <c r="M546" s="176"/>
      <c r="N546" s="178"/>
      <c r="O546" s="179"/>
      <c r="P546" s="179" t="s">
        <v>11</v>
      </c>
      <c r="Q546" s="210" t="s">
        <v>815</v>
      </c>
      <c r="S546" s="8"/>
    </row>
    <row r="547" spans="1:19" s="1" customFormat="1" ht="19.5" hidden="1" customHeight="1" x14ac:dyDescent="0.3">
      <c r="A547" s="18"/>
      <c r="B547" s="569" t="s">
        <v>31</v>
      </c>
      <c r="C547" s="462">
        <v>45652.277777777781</v>
      </c>
      <c r="D547" s="462"/>
      <c r="E547" s="462"/>
      <c r="F547" s="181" t="s">
        <v>784</v>
      </c>
      <c r="G547" s="62">
        <v>9000</v>
      </c>
      <c r="H547" s="572" t="s">
        <v>94</v>
      </c>
      <c r="I547" s="63" t="s">
        <v>11</v>
      </c>
      <c r="J547" s="183" t="s">
        <v>808</v>
      </c>
      <c r="K547" s="214"/>
      <c r="L547" s="569"/>
      <c r="M547" s="572" t="s">
        <v>16</v>
      </c>
      <c r="N547" s="184"/>
      <c r="O547" s="185"/>
      <c r="P547" s="529" t="s">
        <v>16</v>
      </c>
      <c r="Q547" s="209"/>
      <c r="S547" s="8"/>
    </row>
    <row r="548" spans="1:19" s="1" customFormat="1" ht="19.5" hidden="1" customHeight="1" x14ac:dyDescent="0.3">
      <c r="A548" s="18"/>
      <c r="B548" s="569"/>
      <c r="C548" s="462"/>
      <c r="D548" s="462"/>
      <c r="E548" s="462"/>
      <c r="F548" s="181" t="s">
        <v>511</v>
      </c>
      <c r="G548" s="62">
        <v>5000</v>
      </c>
      <c r="H548" s="572"/>
      <c r="I548" s="63" t="s">
        <v>17</v>
      </c>
      <c r="J548" s="183" t="s">
        <v>25</v>
      </c>
      <c r="K548" s="214"/>
      <c r="L548" s="569"/>
      <c r="M548" s="572"/>
      <c r="N548" s="184"/>
      <c r="O548" s="185"/>
      <c r="P548" s="529"/>
      <c r="Q548" s="209"/>
      <c r="S548" s="8"/>
    </row>
    <row r="549" spans="1:19" s="1" customFormat="1" ht="19.5" hidden="1" customHeight="1" x14ac:dyDescent="0.3">
      <c r="A549" s="18"/>
      <c r="B549" s="101" t="s">
        <v>638</v>
      </c>
      <c r="C549" s="479">
        <v>45653.708333333336</v>
      </c>
      <c r="D549" s="479"/>
      <c r="E549" s="479"/>
      <c r="F549" s="175" t="s">
        <v>22</v>
      </c>
      <c r="G549" s="43">
        <v>8317</v>
      </c>
      <c r="H549" s="176" t="s">
        <v>13</v>
      </c>
      <c r="I549" s="100" t="s">
        <v>11</v>
      </c>
      <c r="J549" s="177" t="s">
        <v>813</v>
      </c>
      <c r="K549" s="211"/>
      <c r="L549" s="211"/>
      <c r="M549" s="176"/>
      <c r="N549" s="178"/>
      <c r="O549" s="179"/>
      <c r="P549" s="179" t="s">
        <v>16</v>
      </c>
      <c r="Q549" s="210" t="s">
        <v>816</v>
      </c>
      <c r="S549" s="8"/>
    </row>
    <row r="550" spans="1:19" s="1" customFormat="1" ht="19.5" hidden="1" customHeight="1" x14ac:dyDescent="0.3">
      <c r="A550" s="18"/>
      <c r="B550" s="569" t="s">
        <v>31</v>
      </c>
      <c r="C550" s="462">
        <v>45657.409722222219</v>
      </c>
      <c r="D550" s="462"/>
      <c r="E550" s="462"/>
      <c r="F550" s="181" t="s">
        <v>784</v>
      </c>
      <c r="G550" s="62">
        <v>9000</v>
      </c>
      <c r="H550" s="572" t="s">
        <v>94</v>
      </c>
      <c r="I550" s="63" t="s">
        <v>11</v>
      </c>
      <c r="J550" s="183" t="s">
        <v>28</v>
      </c>
      <c r="K550" s="214"/>
      <c r="L550" s="569"/>
      <c r="M550" s="572" t="s">
        <v>16</v>
      </c>
      <c r="N550" s="184"/>
      <c r="O550" s="185"/>
      <c r="P550" s="529" t="s">
        <v>16</v>
      </c>
      <c r="Q550" s="209"/>
      <c r="S550" s="8"/>
    </row>
    <row r="551" spans="1:19" s="1" customFormat="1" ht="19.5" hidden="1" customHeight="1" x14ac:dyDescent="0.3">
      <c r="A551" s="18"/>
      <c r="B551" s="569"/>
      <c r="C551" s="462"/>
      <c r="D551" s="462"/>
      <c r="E551" s="462"/>
      <c r="F551" s="181" t="s">
        <v>511</v>
      </c>
      <c r="G551" s="62">
        <v>5000</v>
      </c>
      <c r="H551" s="572"/>
      <c r="I551" s="63" t="s">
        <v>17</v>
      </c>
      <c r="J551" s="183" t="s">
        <v>25</v>
      </c>
      <c r="K551" s="214"/>
      <c r="L551" s="569"/>
      <c r="M551" s="572"/>
      <c r="N551" s="184"/>
      <c r="O551" s="185"/>
      <c r="P551" s="529"/>
      <c r="Q551" s="209"/>
      <c r="S551" s="8"/>
    </row>
    <row r="552" spans="1:19" s="1" customFormat="1" ht="19.5" hidden="1" customHeight="1" x14ac:dyDescent="0.3">
      <c r="A552" s="18"/>
      <c r="B552" s="566" t="s">
        <v>632</v>
      </c>
      <c r="C552" s="479">
        <v>45292.333333333336</v>
      </c>
      <c r="D552" s="479"/>
      <c r="E552" s="479"/>
      <c r="F552" s="175" t="s">
        <v>22</v>
      </c>
      <c r="G552" s="43">
        <v>5000</v>
      </c>
      <c r="H552" s="568" t="s">
        <v>13</v>
      </c>
      <c r="I552" s="100" t="s">
        <v>11</v>
      </c>
      <c r="J552" s="177" t="s">
        <v>813</v>
      </c>
      <c r="K552" s="101"/>
      <c r="L552" s="101"/>
      <c r="M552" s="176"/>
      <c r="N552" s="178"/>
      <c r="O552" s="179"/>
      <c r="P552" s="576" t="s">
        <v>16</v>
      </c>
      <c r="Q552" s="578" t="s">
        <v>822</v>
      </c>
      <c r="S552" s="8"/>
    </row>
    <row r="553" spans="1:19" s="1" customFormat="1" ht="19.5" hidden="1" customHeight="1" x14ac:dyDescent="0.3">
      <c r="A553" s="18"/>
      <c r="B553" s="566"/>
      <c r="C553" s="479"/>
      <c r="D553" s="479"/>
      <c r="E553" s="479"/>
      <c r="F553" s="175" t="s">
        <v>22</v>
      </c>
      <c r="G553" s="43">
        <v>3250</v>
      </c>
      <c r="H553" s="568"/>
      <c r="I553" s="100" t="s">
        <v>23</v>
      </c>
      <c r="J553" s="177" t="s">
        <v>819</v>
      </c>
      <c r="K553" s="101"/>
      <c r="L553" s="101"/>
      <c r="M553" s="176"/>
      <c r="N553" s="178"/>
      <c r="O553" s="179"/>
      <c r="P553" s="576"/>
      <c r="Q553" s="578"/>
      <c r="S553" s="8"/>
    </row>
    <row r="554" spans="1:19" s="1" customFormat="1" ht="19.5" hidden="1" customHeight="1" x14ac:dyDescent="0.3">
      <c r="A554" s="18"/>
      <c r="B554" s="101" t="s">
        <v>638</v>
      </c>
      <c r="C554" s="479">
        <v>45661.333333333336</v>
      </c>
      <c r="D554" s="479"/>
      <c r="E554" s="479"/>
      <c r="F554" s="175" t="s">
        <v>22</v>
      </c>
      <c r="G554" s="43">
        <v>8250</v>
      </c>
      <c r="H554" s="176" t="s">
        <v>13</v>
      </c>
      <c r="I554" s="100" t="s">
        <v>23</v>
      </c>
      <c r="J554" s="177" t="s">
        <v>819</v>
      </c>
      <c r="K554" s="211"/>
      <c r="L554" s="211"/>
      <c r="M554" s="176"/>
      <c r="N554" s="178"/>
      <c r="O554" s="179"/>
      <c r="P554" s="179" t="s">
        <v>11</v>
      </c>
      <c r="Q554" s="210" t="s">
        <v>828</v>
      </c>
      <c r="S554" s="8"/>
    </row>
    <row r="555" spans="1:19" s="1" customFormat="1" ht="19.5" hidden="1" customHeight="1" x14ac:dyDescent="0.3">
      <c r="A555" s="18"/>
      <c r="B555" s="566" t="s">
        <v>31</v>
      </c>
      <c r="C555" s="479">
        <v>45662.25</v>
      </c>
      <c r="D555" s="479"/>
      <c r="E555" s="479"/>
      <c r="F555" s="175" t="s">
        <v>784</v>
      </c>
      <c r="G555" s="43">
        <v>9000</v>
      </c>
      <c r="H555" s="568" t="s">
        <v>94</v>
      </c>
      <c r="I555" s="100" t="s">
        <v>11</v>
      </c>
      <c r="J555" s="177" t="s">
        <v>59</v>
      </c>
      <c r="K555" s="211"/>
      <c r="L555" s="566"/>
      <c r="M555" s="568" t="s">
        <v>16</v>
      </c>
      <c r="N555" s="178"/>
      <c r="O555" s="179"/>
      <c r="P555" s="576" t="s">
        <v>16</v>
      </c>
      <c r="Q555" s="210"/>
      <c r="S555" s="8"/>
    </row>
    <row r="556" spans="1:19" s="1" customFormat="1" ht="19.5" hidden="1" customHeight="1" x14ac:dyDescent="0.3">
      <c r="A556" s="18"/>
      <c r="B556" s="566"/>
      <c r="C556" s="479"/>
      <c r="D556" s="479"/>
      <c r="E556" s="479"/>
      <c r="F556" s="175" t="s">
        <v>511</v>
      </c>
      <c r="G556" s="43">
        <v>5000</v>
      </c>
      <c r="H556" s="568"/>
      <c r="I556" s="100" t="s">
        <v>17</v>
      </c>
      <c r="J556" s="177" t="s">
        <v>25</v>
      </c>
      <c r="K556" s="211"/>
      <c r="L556" s="566"/>
      <c r="M556" s="568"/>
      <c r="N556" s="178"/>
      <c r="O556" s="179"/>
      <c r="P556" s="576"/>
      <c r="Q556" s="210"/>
      <c r="S556" s="8"/>
    </row>
    <row r="557" spans="1:19" s="1" customFormat="1" ht="19.5" hidden="1" customHeight="1" x14ac:dyDescent="0.3">
      <c r="A557" s="18"/>
      <c r="B557" s="104" t="s">
        <v>632</v>
      </c>
      <c r="C557" s="462">
        <v>45663.333333333336</v>
      </c>
      <c r="D557" s="462"/>
      <c r="E557" s="462"/>
      <c r="F557" s="181" t="s">
        <v>820</v>
      </c>
      <c r="G557" s="62">
        <v>8800</v>
      </c>
      <c r="H557" s="182" t="s">
        <v>13</v>
      </c>
      <c r="I557" s="63" t="s">
        <v>17</v>
      </c>
      <c r="J557" s="183" t="s">
        <v>826</v>
      </c>
      <c r="K557" s="214"/>
      <c r="L557" s="214"/>
      <c r="M557" s="182"/>
      <c r="N557" s="184"/>
      <c r="O557" s="185"/>
      <c r="P557" s="185" t="s">
        <v>11</v>
      </c>
      <c r="Q557" s="209" t="s">
        <v>832</v>
      </c>
      <c r="S557" s="8"/>
    </row>
    <row r="558" spans="1:19" s="1" customFormat="1" ht="19.5" hidden="1" customHeight="1" x14ac:dyDescent="0.3">
      <c r="A558" s="18"/>
      <c r="B558" s="569" t="s">
        <v>638</v>
      </c>
      <c r="C558" s="462">
        <v>45665.333333333336</v>
      </c>
      <c r="D558" s="462"/>
      <c r="E558" s="462"/>
      <c r="F558" s="181" t="s">
        <v>820</v>
      </c>
      <c r="G558" s="62">
        <v>3000</v>
      </c>
      <c r="H558" s="572" t="s">
        <v>13</v>
      </c>
      <c r="I558" s="63" t="s">
        <v>17</v>
      </c>
      <c r="J558" s="183" t="s">
        <v>826</v>
      </c>
      <c r="K558" s="214"/>
      <c r="L558" s="214"/>
      <c r="M558" s="182"/>
      <c r="N558" s="184"/>
      <c r="O558" s="185"/>
      <c r="P558" s="185" t="s">
        <v>11</v>
      </c>
      <c r="Q558" s="575" t="s">
        <v>823</v>
      </c>
      <c r="S558" s="8"/>
    </row>
    <row r="559" spans="1:19" s="1" customFormat="1" ht="19.5" hidden="1" customHeight="1" x14ac:dyDescent="0.3">
      <c r="A559" s="18"/>
      <c r="B559" s="569"/>
      <c r="C559" s="462"/>
      <c r="D559" s="462"/>
      <c r="E559" s="462"/>
      <c r="F559" s="181" t="s">
        <v>820</v>
      </c>
      <c r="G559" s="62">
        <v>5600</v>
      </c>
      <c r="H559" s="572"/>
      <c r="I559" s="63" t="s">
        <v>11</v>
      </c>
      <c r="J559" s="183" t="s">
        <v>838</v>
      </c>
      <c r="K559" s="214"/>
      <c r="L559" s="214"/>
      <c r="M559" s="182"/>
      <c r="N559" s="184"/>
      <c r="O559" s="185"/>
      <c r="P559" s="185"/>
      <c r="Q559" s="575"/>
      <c r="S559" s="8"/>
    </row>
    <row r="560" spans="1:19" s="1" customFormat="1" ht="19.5" hidden="1" customHeight="1" x14ac:dyDescent="0.3">
      <c r="A560" s="18"/>
      <c r="B560" s="101" t="s">
        <v>632</v>
      </c>
      <c r="C560" s="479">
        <v>45665.833333333336</v>
      </c>
      <c r="D560" s="479"/>
      <c r="E560" s="479"/>
      <c r="F560" s="175" t="s">
        <v>830</v>
      </c>
      <c r="G560" s="43">
        <v>8800</v>
      </c>
      <c r="H560" s="176" t="s">
        <v>13</v>
      </c>
      <c r="I560" s="100" t="s">
        <v>23</v>
      </c>
      <c r="J560" s="177" t="s">
        <v>831</v>
      </c>
      <c r="K560" s="211"/>
      <c r="L560" s="211"/>
      <c r="M560" s="176"/>
      <c r="N560" s="178"/>
      <c r="O560" s="179"/>
      <c r="P560" s="179" t="s">
        <v>16</v>
      </c>
      <c r="Q560" s="210" t="s">
        <v>829</v>
      </c>
      <c r="S560" s="8"/>
    </row>
    <row r="561" spans="1:19" s="1" customFormat="1" ht="19.5" hidden="1" customHeight="1" x14ac:dyDescent="0.3">
      <c r="A561" s="18"/>
      <c r="B561" s="569" t="s">
        <v>834</v>
      </c>
      <c r="C561" s="462">
        <v>45666.541666666664</v>
      </c>
      <c r="D561" s="462"/>
      <c r="E561" s="462"/>
      <c r="F561" s="462" t="s">
        <v>756</v>
      </c>
      <c r="G561" s="62">
        <v>3000</v>
      </c>
      <c r="H561" s="572" t="s">
        <v>224</v>
      </c>
      <c r="I561" s="63" t="s">
        <v>11</v>
      </c>
      <c r="J561" s="183" t="s">
        <v>839</v>
      </c>
      <c r="K561" s="214"/>
      <c r="L561" s="214"/>
      <c r="M561" s="572" t="s">
        <v>16</v>
      </c>
      <c r="N561" s="184"/>
      <c r="O561" s="185"/>
      <c r="P561" s="529" t="s">
        <v>16</v>
      </c>
      <c r="Q561" s="209"/>
      <c r="S561" s="8"/>
    </row>
    <row r="562" spans="1:19" s="1" customFormat="1" ht="19.5" hidden="1" customHeight="1" x14ac:dyDescent="0.3">
      <c r="A562" s="18"/>
      <c r="B562" s="569"/>
      <c r="C562" s="462"/>
      <c r="D562" s="462"/>
      <c r="E562" s="462"/>
      <c r="F562" s="462"/>
      <c r="G562" s="62">
        <v>10000</v>
      </c>
      <c r="H562" s="572"/>
      <c r="I562" s="63" t="s">
        <v>17</v>
      </c>
      <c r="J562" s="183" t="s">
        <v>836</v>
      </c>
      <c r="K562" s="214"/>
      <c r="L562" s="214"/>
      <c r="M562" s="572"/>
      <c r="N562" s="184"/>
      <c r="O562" s="185"/>
      <c r="P562" s="529"/>
      <c r="Q562" s="209"/>
      <c r="S562" s="8"/>
    </row>
    <row r="563" spans="1:19" s="1" customFormat="1" ht="19.5" hidden="1" customHeight="1" x14ac:dyDescent="0.3">
      <c r="A563" s="18"/>
      <c r="B563" s="569"/>
      <c r="C563" s="462"/>
      <c r="D563" s="462"/>
      <c r="E563" s="462"/>
      <c r="F563" s="462"/>
      <c r="G563" s="62">
        <v>4000</v>
      </c>
      <c r="H563" s="572"/>
      <c r="I563" s="63" t="s">
        <v>23</v>
      </c>
      <c r="J563" s="183" t="s">
        <v>835</v>
      </c>
      <c r="K563" s="214"/>
      <c r="L563" s="104"/>
      <c r="M563" s="572"/>
      <c r="N563" s="184"/>
      <c r="O563" s="185"/>
      <c r="P563" s="529"/>
      <c r="Q563" s="209"/>
      <c r="S563" s="8"/>
    </row>
    <row r="564" spans="1:19" s="1" customFormat="1" ht="19.5" hidden="1" customHeight="1" x14ac:dyDescent="0.3">
      <c r="A564" s="18"/>
      <c r="B564" s="566" t="s">
        <v>31</v>
      </c>
      <c r="C564" s="479">
        <v>45668.625</v>
      </c>
      <c r="D564" s="479"/>
      <c r="E564" s="479"/>
      <c r="F564" s="175" t="s">
        <v>784</v>
      </c>
      <c r="G564" s="43">
        <v>9000</v>
      </c>
      <c r="H564" s="568" t="s">
        <v>94</v>
      </c>
      <c r="I564" s="100" t="s">
        <v>11</v>
      </c>
      <c r="J564" s="177" t="s">
        <v>29</v>
      </c>
      <c r="K564" s="211"/>
      <c r="L564" s="566"/>
      <c r="M564" s="568" t="s">
        <v>16</v>
      </c>
      <c r="N564" s="178"/>
      <c r="O564" s="179"/>
      <c r="P564" s="576" t="s">
        <v>16</v>
      </c>
      <c r="Q564" s="579" t="s">
        <v>841</v>
      </c>
      <c r="S564" s="8"/>
    </row>
    <row r="565" spans="1:19" s="1" customFormat="1" ht="19.5" hidden="1" customHeight="1" x14ac:dyDescent="0.3">
      <c r="A565" s="18"/>
      <c r="B565" s="566"/>
      <c r="C565" s="479"/>
      <c r="D565" s="479"/>
      <c r="E565" s="479"/>
      <c r="F565" s="175" t="s">
        <v>511</v>
      </c>
      <c r="G565" s="43">
        <v>5000</v>
      </c>
      <c r="H565" s="568"/>
      <c r="I565" s="100" t="s">
        <v>17</v>
      </c>
      <c r="J565" s="177" t="s">
        <v>614</v>
      </c>
      <c r="K565" s="211"/>
      <c r="L565" s="566"/>
      <c r="M565" s="568"/>
      <c r="N565" s="178"/>
      <c r="O565" s="179"/>
      <c r="P565" s="576"/>
      <c r="Q565" s="579"/>
      <c r="S565" s="8"/>
    </row>
    <row r="566" spans="1:19" s="1" customFormat="1" ht="19.5" hidden="1" customHeight="1" x14ac:dyDescent="0.3">
      <c r="A566" s="18"/>
      <c r="B566" s="566" t="s">
        <v>632</v>
      </c>
      <c r="C566" s="479">
        <v>45672.541666666664</v>
      </c>
      <c r="D566" s="479"/>
      <c r="E566" s="479"/>
      <c r="F566" s="175" t="s">
        <v>830</v>
      </c>
      <c r="G566" s="43">
        <v>2000</v>
      </c>
      <c r="H566" s="568" t="s">
        <v>13</v>
      </c>
      <c r="I566" s="100" t="s">
        <v>23</v>
      </c>
      <c r="J566" s="177" t="s">
        <v>837</v>
      </c>
      <c r="K566" s="211"/>
      <c r="L566" s="211"/>
      <c r="M566" s="568" t="s">
        <v>16</v>
      </c>
      <c r="N566" s="178" t="s">
        <v>254</v>
      </c>
      <c r="O566" s="179" t="s">
        <v>239</v>
      </c>
      <c r="P566" s="576" t="s">
        <v>16</v>
      </c>
      <c r="Q566" s="578"/>
      <c r="S566" s="8"/>
    </row>
    <row r="567" spans="1:19" s="1" customFormat="1" ht="19.5" hidden="1" customHeight="1" x14ac:dyDescent="0.3">
      <c r="A567" s="18"/>
      <c r="B567" s="566"/>
      <c r="C567" s="479"/>
      <c r="D567" s="479"/>
      <c r="E567" s="479"/>
      <c r="F567" s="175" t="s">
        <v>820</v>
      </c>
      <c r="G567" s="43">
        <v>6800</v>
      </c>
      <c r="H567" s="568"/>
      <c r="I567" s="100" t="s">
        <v>11</v>
      </c>
      <c r="J567" s="177" t="s">
        <v>838</v>
      </c>
      <c r="K567" s="211"/>
      <c r="L567" s="211"/>
      <c r="M567" s="568"/>
      <c r="N567" s="178"/>
      <c r="O567" s="179"/>
      <c r="P567" s="576"/>
      <c r="Q567" s="578"/>
      <c r="S567" s="8"/>
    </row>
    <row r="568" spans="1:19" s="1" customFormat="1" ht="19.5" hidden="1" customHeight="1" x14ac:dyDescent="0.3">
      <c r="A568" s="18"/>
      <c r="B568" s="566" t="s">
        <v>31</v>
      </c>
      <c r="C568" s="479">
        <v>45673.541666666664</v>
      </c>
      <c r="D568" s="479"/>
      <c r="E568" s="479"/>
      <c r="F568" s="175" t="s">
        <v>784</v>
      </c>
      <c r="G568" s="43">
        <v>9000</v>
      </c>
      <c r="H568" s="568" t="s">
        <v>94</v>
      </c>
      <c r="I568" s="100" t="s">
        <v>11</v>
      </c>
      <c r="J568" s="177" t="s">
        <v>40</v>
      </c>
      <c r="K568" s="211"/>
      <c r="L568" s="211"/>
      <c r="M568" s="568" t="s">
        <v>16</v>
      </c>
      <c r="N568" s="178"/>
      <c r="O568" s="179"/>
      <c r="P568" s="576" t="s">
        <v>16</v>
      </c>
      <c r="Q568" s="578"/>
      <c r="S568" s="8"/>
    </row>
    <row r="569" spans="1:19" s="1" customFormat="1" ht="19.5" hidden="1" customHeight="1" x14ac:dyDescent="0.3">
      <c r="A569" s="18"/>
      <c r="B569" s="566"/>
      <c r="C569" s="479"/>
      <c r="D569" s="479"/>
      <c r="E569" s="479"/>
      <c r="F569" s="175" t="s">
        <v>511</v>
      </c>
      <c r="G569" s="43">
        <v>5000</v>
      </c>
      <c r="H569" s="568"/>
      <c r="I569" s="100" t="s">
        <v>23</v>
      </c>
      <c r="J569" s="177" t="s">
        <v>677</v>
      </c>
      <c r="K569" s="211"/>
      <c r="L569" s="211"/>
      <c r="M569" s="568"/>
      <c r="N569" s="178"/>
      <c r="O569" s="179"/>
      <c r="P569" s="576"/>
      <c r="Q569" s="578"/>
      <c r="S569" s="8"/>
    </row>
    <row r="570" spans="1:19" s="1" customFormat="1" ht="19.5" hidden="1" customHeight="1" x14ac:dyDescent="0.3">
      <c r="A570" s="18"/>
      <c r="B570" s="101" t="s">
        <v>632</v>
      </c>
      <c r="C570" s="479">
        <v>45676.333333333336</v>
      </c>
      <c r="D570" s="479"/>
      <c r="E570" s="479"/>
      <c r="F570" s="175" t="s">
        <v>22</v>
      </c>
      <c r="G570" s="43">
        <v>8400</v>
      </c>
      <c r="H570" s="176" t="s">
        <v>13</v>
      </c>
      <c r="I570" s="100" t="s">
        <v>11</v>
      </c>
      <c r="J570" s="177" t="s">
        <v>843</v>
      </c>
      <c r="K570" s="211"/>
      <c r="L570" s="211"/>
      <c r="M570" s="176"/>
      <c r="N570" s="178"/>
      <c r="O570" s="179"/>
      <c r="P570" s="179"/>
      <c r="Q570" s="210" t="s">
        <v>844</v>
      </c>
      <c r="S570" s="8"/>
    </row>
    <row r="571" spans="1:19" s="1" customFormat="1" ht="19.5" hidden="1" customHeight="1" x14ac:dyDescent="0.3">
      <c r="A571" s="18"/>
      <c r="B571" s="569" t="s">
        <v>834</v>
      </c>
      <c r="C571" s="462">
        <v>45677.625</v>
      </c>
      <c r="D571" s="462"/>
      <c r="E571" s="462"/>
      <c r="F571" s="181" t="s">
        <v>756</v>
      </c>
      <c r="G571" s="62">
        <v>4216</v>
      </c>
      <c r="H571" s="572" t="s">
        <v>224</v>
      </c>
      <c r="I571" s="63" t="s">
        <v>23</v>
      </c>
      <c r="J571" s="183" t="s">
        <v>835</v>
      </c>
      <c r="K571" s="214"/>
      <c r="L571" s="214"/>
      <c r="M571" s="580" t="s">
        <v>851</v>
      </c>
      <c r="N571" s="184" t="s">
        <v>254</v>
      </c>
      <c r="O571" s="185" t="s">
        <v>239</v>
      </c>
      <c r="P571" s="529" t="s">
        <v>16</v>
      </c>
      <c r="Q571" s="217" t="s">
        <v>852</v>
      </c>
      <c r="S571" s="8"/>
    </row>
    <row r="572" spans="1:19" s="1" customFormat="1" ht="19.5" hidden="1" customHeight="1" x14ac:dyDescent="0.3">
      <c r="A572" s="18" t="s">
        <v>849</v>
      </c>
      <c r="B572" s="569"/>
      <c r="C572" s="462"/>
      <c r="D572" s="462"/>
      <c r="E572" s="462"/>
      <c r="F572" s="181" t="s">
        <v>756</v>
      </c>
      <c r="G572" s="62">
        <f>16950-G571</f>
        <v>12734</v>
      </c>
      <c r="H572" s="572"/>
      <c r="I572" s="63" t="s">
        <v>23</v>
      </c>
      <c r="J572" s="183" t="s">
        <v>850</v>
      </c>
      <c r="K572" s="214"/>
      <c r="L572" s="214"/>
      <c r="M572" s="580"/>
      <c r="N572" s="184"/>
      <c r="O572" s="185"/>
      <c r="P572" s="529"/>
      <c r="Q572" s="217" t="s">
        <v>853</v>
      </c>
      <c r="S572" s="8"/>
    </row>
    <row r="573" spans="1:19" s="1" customFormat="1" ht="19.5" hidden="1" customHeight="1" x14ac:dyDescent="0.3">
      <c r="A573" s="18"/>
      <c r="B573" s="566" t="s">
        <v>31</v>
      </c>
      <c r="C573" s="479">
        <v>45679.333333333336</v>
      </c>
      <c r="D573" s="479"/>
      <c r="E573" s="479"/>
      <c r="F573" s="175" t="s">
        <v>511</v>
      </c>
      <c r="G573" s="43">
        <v>1000</v>
      </c>
      <c r="H573" s="568" t="s">
        <v>94</v>
      </c>
      <c r="I573" s="100" t="s">
        <v>23</v>
      </c>
      <c r="J573" s="177" t="s">
        <v>858</v>
      </c>
      <c r="K573" s="211"/>
      <c r="L573" s="566" t="s">
        <v>628</v>
      </c>
      <c r="M573" s="568" t="s">
        <v>16</v>
      </c>
      <c r="N573" s="178"/>
      <c r="O573" s="179"/>
      <c r="P573" s="576" t="s">
        <v>16</v>
      </c>
      <c r="Q573" s="578"/>
      <c r="S573" s="8"/>
    </row>
    <row r="574" spans="1:19" s="1" customFormat="1" ht="19.5" hidden="1" customHeight="1" x14ac:dyDescent="0.3">
      <c r="A574" s="18"/>
      <c r="B574" s="566"/>
      <c r="C574" s="479"/>
      <c r="D574" s="479"/>
      <c r="E574" s="479"/>
      <c r="F574" s="175" t="s">
        <v>511</v>
      </c>
      <c r="G574" s="43">
        <v>4000</v>
      </c>
      <c r="H574" s="568"/>
      <c r="I574" s="100" t="s">
        <v>17</v>
      </c>
      <c r="J574" s="177" t="s">
        <v>859</v>
      </c>
      <c r="K574" s="211"/>
      <c r="L574" s="566"/>
      <c r="M574" s="568"/>
      <c r="N574" s="178"/>
      <c r="O574" s="179"/>
      <c r="P574" s="576"/>
      <c r="Q574" s="578"/>
      <c r="S574" s="8"/>
    </row>
    <row r="575" spans="1:19" s="1" customFormat="1" ht="19.5" hidden="1" customHeight="1" x14ac:dyDescent="0.3">
      <c r="A575" s="18"/>
      <c r="B575" s="101" t="s">
        <v>638</v>
      </c>
      <c r="C575" s="479">
        <v>45683.333333333336</v>
      </c>
      <c r="D575" s="479"/>
      <c r="E575" s="479"/>
      <c r="F575" s="175" t="s">
        <v>856</v>
      </c>
      <c r="G575" s="43">
        <v>2500</v>
      </c>
      <c r="H575" s="176" t="s">
        <v>13</v>
      </c>
      <c r="I575" s="100" t="s">
        <v>17</v>
      </c>
      <c r="J575" s="177" t="s">
        <v>770</v>
      </c>
      <c r="K575" s="211"/>
      <c r="L575" s="101" t="s">
        <v>628</v>
      </c>
      <c r="M575" s="176" t="s">
        <v>16</v>
      </c>
      <c r="N575" s="178"/>
      <c r="O575" s="179"/>
      <c r="P575" s="179" t="s">
        <v>11</v>
      </c>
      <c r="Q575" s="210" t="s">
        <v>857</v>
      </c>
      <c r="S575" s="8"/>
    </row>
    <row r="576" spans="1:19" s="1" customFormat="1" ht="19.5" hidden="1" customHeight="1" x14ac:dyDescent="0.3">
      <c r="A576" s="18"/>
      <c r="B576" s="101" t="s">
        <v>31</v>
      </c>
      <c r="C576" s="479">
        <v>45684</v>
      </c>
      <c r="D576" s="479"/>
      <c r="E576" s="479"/>
      <c r="F576" s="175" t="s">
        <v>511</v>
      </c>
      <c r="G576" s="43">
        <v>5000</v>
      </c>
      <c r="H576" s="176" t="s">
        <v>94</v>
      </c>
      <c r="I576" s="100" t="s">
        <v>17</v>
      </c>
      <c r="J576" s="177" t="s">
        <v>859</v>
      </c>
      <c r="K576" s="211"/>
      <c r="L576" s="101" t="s">
        <v>628</v>
      </c>
      <c r="M576" s="176" t="s">
        <v>16</v>
      </c>
      <c r="N576" s="178"/>
      <c r="O576" s="179"/>
      <c r="P576" s="179" t="s">
        <v>16</v>
      </c>
      <c r="Q576" s="210"/>
      <c r="S576" s="8"/>
    </row>
    <row r="577" spans="1:19" s="1" customFormat="1" ht="19.5" hidden="1" customHeight="1" x14ac:dyDescent="0.3">
      <c r="A577" s="18"/>
      <c r="B577" s="104" t="s">
        <v>632</v>
      </c>
      <c r="C577" s="462">
        <v>45688.333333333336</v>
      </c>
      <c r="D577" s="462"/>
      <c r="E577" s="462"/>
      <c r="F577" s="181" t="s">
        <v>856</v>
      </c>
      <c r="G577" s="62">
        <v>8800</v>
      </c>
      <c r="H577" s="182" t="s">
        <v>13</v>
      </c>
      <c r="I577" s="63" t="s">
        <v>17</v>
      </c>
      <c r="J577" s="183" t="s">
        <v>866</v>
      </c>
      <c r="K577" s="214"/>
      <c r="L577" s="214"/>
      <c r="M577" s="182"/>
      <c r="N577" s="184"/>
      <c r="O577" s="185"/>
      <c r="P577" s="185" t="s">
        <v>11</v>
      </c>
      <c r="Q577" s="209" t="s">
        <v>861</v>
      </c>
      <c r="S577" s="8"/>
    </row>
    <row r="578" spans="1:19" s="1" customFormat="1" ht="19.5" hidden="1" customHeight="1" x14ac:dyDescent="0.3">
      <c r="A578" s="18"/>
      <c r="B578" s="101" t="s">
        <v>638</v>
      </c>
      <c r="C578" s="479">
        <v>45689.333333333336</v>
      </c>
      <c r="D578" s="479"/>
      <c r="E578" s="479"/>
      <c r="F578" s="175" t="s">
        <v>856</v>
      </c>
      <c r="G578" s="43">
        <v>8850</v>
      </c>
      <c r="H578" s="176" t="s">
        <v>13</v>
      </c>
      <c r="I578" s="100" t="s">
        <v>17</v>
      </c>
      <c r="J578" s="177" t="s">
        <v>866</v>
      </c>
      <c r="K578" s="211"/>
      <c r="L578" s="101"/>
      <c r="M578" s="176"/>
      <c r="N578" s="178"/>
      <c r="O578" s="179"/>
      <c r="P578" s="179" t="s">
        <v>11</v>
      </c>
      <c r="Q578" s="210" t="s">
        <v>862</v>
      </c>
      <c r="S578" s="8"/>
    </row>
    <row r="579" spans="1:19" s="1" customFormat="1" ht="19.5" hidden="1" customHeight="1" x14ac:dyDescent="0.3">
      <c r="A579" s="18"/>
      <c r="B579" s="101" t="s">
        <v>31</v>
      </c>
      <c r="C579" s="479">
        <v>45690</v>
      </c>
      <c r="D579" s="479"/>
      <c r="E579" s="479"/>
      <c r="F579" s="175" t="s">
        <v>511</v>
      </c>
      <c r="G579" s="43">
        <v>5000</v>
      </c>
      <c r="H579" s="176" t="s">
        <v>94</v>
      </c>
      <c r="I579" s="100" t="s">
        <v>17</v>
      </c>
      <c r="J579" s="177" t="s">
        <v>865</v>
      </c>
      <c r="K579" s="211"/>
      <c r="L579" s="101" t="s">
        <v>628</v>
      </c>
      <c r="M579" s="176" t="s">
        <v>16</v>
      </c>
      <c r="N579" s="178"/>
      <c r="O579" s="179"/>
      <c r="P579" s="179" t="s">
        <v>16</v>
      </c>
      <c r="Q579" s="210"/>
      <c r="S579" s="8"/>
    </row>
    <row r="580" spans="1:19" s="1" customFormat="1" ht="19.5" hidden="1" customHeight="1" x14ac:dyDescent="0.3">
      <c r="A580" s="18"/>
      <c r="B580" s="101" t="s">
        <v>632</v>
      </c>
      <c r="C580" s="479">
        <v>45690.333333333336</v>
      </c>
      <c r="D580" s="479"/>
      <c r="E580" s="479"/>
      <c r="F580" s="175" t="s">
        <v>856</v>
      </c>
      <c r="G580" s="43">
        <v>8800</v>
      </c>
      <c r="H580" s="176" t="s">
        <v>13</v>
      </c>
      <c r="I580" s="100" t="s">
        <v>17</v>
      </c>
      <c r="J580" s="177" t="s">
        <v>43</v>
      </c>
      <c r="K580" s="211"/>
      <c r="L580" s="211"/>
      <c r="M580" s="176"/>
      <c r="N580" s="178"/>
      <c r="O580" s="179"/>
      <c r="P580" s="179" t="s">
        <v>11</v>
      </c>
      <c r="Q580" s="210" t="s">
        <v>855</v>
      </c>
      <c r="S580" s="8"/>
    </row>
    <row r="581" spans="1:19" s="1" customFormat="1" ht="19.5" hidden="1" customHeight="1" x14ac:dyDescent="0.3">
      <c r="A581" s="18"/>
      <c r="B581" s="577" t="s">
        <v>868</v>
      </c>
      <c r="C581" s="577"/>
      <c r="D581" s="577"/>
      <c r="E581" s="577"/>
      <c r="F581" s="577"/>
      <c r="G581" s="577"/>
      <c r="H581" s="577"/>
      <c r="I581" s="100"/>
      <c r="J581" s="177"/>
      <c r="K581" s="211"/>
      <c r="L581" s="211"/>
      <c r="M581" s="176"/>
      <c r="N581" s="178"/>
      <c r="O581" s="179"/>
      <c r="P581" s="179"/>
      <c r="Q581" s="210"/>
      <c r="S581" s="8"/>
    </row>
    <row r="582" spans="1:19" s="1" customFormat="1" ht="19.5" hidden="1" customHeight="1" x14ac:dyDescent="0.3">
      <c r="A582" s="18"/>
      <c r="B582" s="104" t="s">
        <v>638</v>
      </c>
      <c r="C582" s="462">
        <v>45694.076388888891</v>
      </c>
      <c r="D582" s="462"/>
      <c r="E582" s="462"/>
      <c r="F582" s="181" t="s">
        <v>856</v>
      </c>
      <c r="G582" s="62">
        <v>8800</v>
      </c>
      <c r="H582" s="182" t="s">
        <v>13</v>
      </c>
      <c r="I582" s="63" t="s">
        <v>17</v>
      </c>
      <c r="J582" s="183" t="s">
        <v>43</v>
      </c>
      <c r="K582" s="214"/>
      <c r="L582" s="104"/>
      <c r="M582" s="182"/>
      <c r="N582" s="184"/>
      <c r="O582" s="185"/>
      <c r="P582" s="185" t="s">
        <v>11</v>
      </c>
      <c r="Q582" s="209" t="s">
        <v>864</v>
      </c>
      <c r="S582" s="8"/>
    </row>
    <row r="583" spans="1:19" s="1" customFormat="1" ht="19.5" hidden="1" customHeight="1" x14ac:dyDescent="0.3">
      <c r="A583" s="18"/>
      <c r="B583" s="101" t="s">
        <v>632</v>
      </c>
      <c r="C583" s="479">
        <v>45696.333333333336</v>
      </c>
      <c r="D583" s="479"/>
      <c r="E583" s="479"/>
      <c r="F583" s="175" t="s">
        <v>856</v>
      </c>
      <c r="G583" s="43">
        <v>8800</v>
      </c>
      <c r="H583" s="176" t="s">
        <v>13</v>
      </c>
      <c r="I583" s="100" t="s">
        <v>11</v>
      </c>
      <c r="J583" s="177" t="s">
        <v>843</v>
      </c>
      <c r="K583" s="211"/>
      <c r="L583" s="101"/>
      <c r="M583" s="176"/>
      <c r="N583" s="178"/>
      <c r="O583" s="179"/>
      <c r="P583" s="179" t="s">
        <v>11</v>
      </c>
      <c r="Q583" s="210" t="s">
        <v>863</v>
      </c>
      <c r="S583" s="8"/>
    </row>
    <row r="584" spans="1:19" s="1" customFormat="1" ht="19.5" hidden="1" customHeight="1" x14ac:dyDescent="0.3">
      <c r="A584" s="18"/>
      <c r="B584" s="104" t="s">
        <v>31</v>
      </c>
      <c r="C584" s="462">
        <v>45698.333333333336</v>
      </c>
      <c r="D584" s="462"/>
      <c r="E584" s="462"/>
      <c r="F584" s="181" t="s">
        <v>511</v>
      </c>
      <c r="G584" s="62">
        <v>5000</v>
      </c>
      <c r="H584" s="182" t="s">
        <v>94</v>
      </c>
      <c r="I584" s="63" t="s">
        <v>17</v>
      </c>
      <c r="J584" s="183" t="s">
        <v>869</v>
      </c>
      <c r="K584" s="214"/>
      <c r="L584" s="104" t="s">
        <v>628</v>
      </c>
      <c r="M584" s="182" t="s">
        <v>16</v>
      </c>
      <c r="N584" s="184"/>
      <c r="O584" s="185"/>
      <c r="P584" s="185" t="s">
        <v>16</v>
      </c>
      <c r="Q584" s="209"/>
      <c r="S584" s="8"/>
    </row>
    <row r="585" spans="1:19" s="1" customFormat="1" ht="19.5" hidden="1" customHeight="1" x14ac:dyDescent="0.3">
      <c r="A585" s="18"/>
      <c r="B585" s="101" t="s">
        <v>638</v>
      </c>
      <c r="C585" s="479">
        <v>45698.625</v>
      </c>
      <c r="D585" s="479"/>
      <c r="E585" s="479"/>
      <c r="F585" s="175" t="s">
        <v>856</v>
      </c>
      <c r="G585" s="43">
        <v>8800</v>
      </c>
      <c r="H585" s="176" t="s">
        <v>13</v>
      </c>
      <c r="I585" s="100" t="s">
        <v>17</v>
      </c>
      <c r="J585" s="177" t="s">
        <v>28</v>
      </c>
      <c r="K585" s="211"/>
      <c r="L585" s="101"/>
      <c r="M585" s="176"/>
      <c r="N585" s="178"/>
      <c r="O585" s="179"/>
      <c r="P585" s="179" t="s">
        <v>16</v>
      </c>
      <c r="Q585" s="210" t="s">
        <v>870</v>
      </c>
      <c r="S585" s="8"/>
    </row>
    <row r="586" spans="1:19" s="1" customFormat="1" ht="19.5" hidden="1" customHeight="1" x14ac:dyDescent="0.3">
      <c r="A586" s="18"/>
      <c r="B586" s="104" t="s">
        <v>192</v>
      </c>
      <c r="C586" s="462">
        <v>45699.583333333336</v>
      </c>
      <c r="D586" s="462"/>
      <c r="E586" s="462"/>
      <c r="F586" s="181" t="s">
        <v>736</v>
      </c>
      <c r="G586" s="62">
        <v>5000</v>
      </c>
      <c r="H586" s="182" t="s">
        <v>134</v>
      </c>
      <c r="I586" s="63" t="s">
        <v>11</v>
      </c>
      <c r="J586" s="183" t="s">
        <v>873</v>
      </c>
      <c r="K586" s="214"/>
      <c r="L586" s="104"/>
      <c r="M586" s="182" t="s">
        <v>16</v>
      </c>
      <c r="N586" s="184"/>
      <c r="O586" s="185"/>
      <c r="P586" s="185" t="s">
        <v>16</v>
      </c>
      <c r="Q586" s="209" t="s">
        <v>872</v>
      </c>
      <c r="S586" s="8"/>
    </row>
    <row r="587" spans="1:19" s="1" customFormat="1" ht="19.5" hidden="1" customHeight="1" x14ac:dyDescent="0.3">
      <c r="A587" s="18"/>
      <c r="B587" s="104" t="s">
        <v>638</v>
      </c>
      <c r="C587" s="462">
        <v>45700.333333333336</v>
      </c>
      <c r="D587" s="462"/>
      <c r="E587" s="462"/>
      <c r="F587" s="181" t="s">
        <v>856</v>
      </c>
      <c r="G587" s="62">
        <v>8800</v>
      </c>
      <c r="H587" s="182" t="s">
        <v>13</v>
      </c>
      <c r="I587" s="63" t="s">
        <v>17</v>
      </c>
      <c r="J587" s="183" t="s">
        <v>30</v>
      </c>
      <c r="K587" s="214"/>
      <c r="L587" s="104"/>
      <c r="M587" s="182"/>
      <c r="N587" s="184"/>
      <c r="O587" s="185"/>
      <c r="P587" s="185" t="s">
        <v>11</v>
      </c>
      <c r="Q587" s="209" t="s">
        <v>871</v>
      </c>
      <c r="S587" s="8"/>
    </row>
    <row r="588" spans="1:19" s="1" customFormat="1" ht="19.5" hidden="1" customHeight="1" x14ac:dyDescent="0.3">
      <c r="A588" s="18"/>
      <c r="B588" s="577" t="s">
        <v>881</v>
      </c>
      <c r="C588" s="577"/>
      <c r="D588" s="577"/>
      <c r="E588" s="577"/>
      <c r="F588" s="577"/>
      <c r="G588" s="577"/>
      <c r="H588" s="577"/>
      <c r="I588" s="100"/>
      <c r="J588" s="177"/>
      <c r="K588" s="211"/>
      <c r="L588" s="101"/>
      <c r="M588" s="176"/>
      <c r="N588" s="178"/>
      <c r="O588" s="179"/>
      <c r="P588" s="179"/>
      <c r="Q588" s="210"/>
      <c r="S588" s="8"/>
    </row>
    <row r="589" spans="1:19" s="1" customFormat="1" ht="19.5" hidden="1" customHeight="1" x14ac:dyDescent="0.3">
      <c r="A589" s="18"/>
      <c r="B589" s="566" t="s">
        <v>834</v>
      </c>
      <c r="C589" s="479">
        <v>45702.583333333336</v>
      </c>
      <c r="D589" s="479"/>
      <c r="E589" s="479"/>
      <c r="F589" s="175" t="s">
        <v>756</v>
      </c>
      <c r="G589" s="43">
        <v>7000</v>
      </c>
      <c r="H589" s="176" t="s">
        <v>224</v>
      </c>
      <c r="I589" s="100" t="s">
        <v>11</v>
      </c>
      <c r="J589" s="177" t="s">
        <v>58</v>
      </c>
      <c r="K589" s="211"/>
      <c r="L589" s="101"/>
      <c r="M589" s="568" t="s">
        <v>880</v>
      </c>
      <c r="N589" s="178" t="s">
        <v>254</v>
      </c>
      <c r="O589" s="179" t="s">
        <v>239</v>
      </c>
      <c r="P589" s="576" t="s">
        <v>16</v>
      </c>
      <c r="Q589" s="210"/>
      <c r="S589" s="8"/>
    </row>
    <row r="590" spans="1:19" s="1" customFormat="1" ht="19.5" hidden="1" customHeight="1" x14ac:dyDescent="0.3">
      <c r="A590" s="18"/>
      <c r="B590" s="566"/>
      <c r="C590" s="479"/>
      <c r="D590" s="479"/>
      <c r="E590" s="479"/>
      <c r="F590" s="175" t="s">
        <v>756</v>
      </c>
      <c r="G590" s="43">
        <v>7000</v>
      </c>
      <c r="H590" s="176" t="s">
        <v>224</v>
      </c>
      <c r="I590" s="100" t="s">
        <v>17</v>
      </c>
      <c r="J590" s="177" t="s">
        <v>874</v>
      </c>
      <c r="K590" s="211"/>
      <c r="L590" s="101"/>
      <c r="M590" s="568"/>
      <c r="N590" s="178" t="s">
        <v>254</v>
      </c>
      <c r="O590" s="179" t="s">
        <v>239</v>
      </c>
      <c r="P590" s="576"/>
      <c r="Q590" s="210"/>
      <c r="S590" s="8"/>
    </row>
    <row r="591" spans="1:19" s="1" customFormat="1" ht="19.5" hidden="1" customHeight="1" x14ac:dyDescent="0.3">
      <c r="A591" s="18"/>
      <c r="B591" s="566"/>
      <c r="C591" s="479"/>
      <c r="D591" s="479"/>
      <c r="E591" s="479"/>
      <c r="F591" s="175" t="s">
        <v>756</v>
      </c>
      <c r="G591" s="43">
        <v>2914</v>
      </c>
      <c r="H591" s="176" t="s">
        <v>224</v>
      </c>
      <c r="I591" s="100" t="s">
        <v>23</v>
      </c>
      <c r="J591" s="177" t="s">
        <v>875</v>
      </c>
      <c r="K591" s="211"/>
      <c r="L591" s="101"/>
      <c r="M591" s="568"/>
      <c r="N591" s="178" t="s">
        <v>254</v>
      </c>
      <c r="O591" s="179" t="s">
        <v>239</v>
      </c>
      <c r="P591" s="576"/>
      <c r="Q591" s="210"/>
      <c r="S591" s="8"/>
    </row>
    <row r="592" spans="1:19" s="1" customFormat="1" ht="19.5" hidden="1" customHeight="1" x14ac:dyDescent="0.3">
      <c r="A592" s="18"/>
      <c r="B592" s="101" t="s">
        <v>31</v>
      </c>
      <c r="C592" s="479">
        <v>45703.833333333336</v>
      </c>
      <c r="D592" s="479"/>
      <c r="E592" s="479"/>
      <c r="F592" s="175" t="s">
        <v>511</v>
      </c>
      <c r="G592" s="43">
        <v>5000</v>
      </c>
      <c r="H592" s="176" t="s">
        <v>94</v>
      </c>
      <c r="I592" s="100" t="s">
        <v>17</v>
      </c>
      <c r="J592" s="177" t="s">
        <v>883</v>
      </c>
      <c r="K592" s="211"/>
      <c r="L592" s="101" t="s">
        <v>628</v>
      </c>
      <c r="M592" s="176" t="s">
        <v>16</v>
      </c>
      <c r="N592" s="178"/>
      <c r="O592" s="179"/>
      <c r="P592" s="179" t="s">
        <v>16</v>
      </c>
      <c r="Q592" s="210"/>
      <c r="S592" s="8"/>
    </row>
    <row r="593" spans="1:19" s="1" customFormat="1" ht="19.5" hidden="1" customHeight="1" x14ac:dyDescent="0.3">
      <c r="A593" s="18"/>
      <c r="B593" s="101" t="s">
        <v>632</v>
      </c>
      <c r="C593" s="479">
        <v>45704.333333333336</v>
      </c>
      <c r="D593" s="479"/>
      <c r="E593" s="479"/>
      <c r="F593" s="175" t="s">
        <v>876</v>
      </c>
      <c r="G593" s="43">
        <v>8800</v>
      </c>
      <c r="H593" s="176" t="s">
        <v>13</v>
      </c>
      <c r="I593" s="100" t="s">
        <v>17</v>
      </c>
      <c r="J593" s="177" t="s">
        <v>35</v>
      </c>
      <c r="K593" s="211"/>
      <c r="L593" s="101"/>
      <c r="M593" s="176"/>
      <c r="N593" s="178"/>
      <c r="O593" s="179"/>
      <c r="P593" s="179"/>
      <c r="Q593" s="210" t="s">
        <v>877</v>
      </c>
      <c r="S593" s="8"/>
    </row>
    <row r="594" spans="1:19" s="1" customFormat="1" ht="19.5" hidden="1" customHeight="1" x14ac:dyDescent="0.3">
      <c r="A594" s="18"/>
      <c r="B594" s="101" t="s">
        <v>31</v>
      </c>
      <c r="C594" s="479">
        <v>45709.041666666664</v>
      </c>
      <c r="D594" s="479"/>
      <c r="E594" s="479"/>
      <c r="F594" s="175" t="s">
        <v>511</v>
      </c>
      <c r="G594" s="43">
        <v>5000</v>
      </c>
      <c r="H594" s="176" t="s">
        <v>94</v>
      </c>
      <c r="I594" s="100" t="s">
        <v>23</v>
      </c>
      <c r="J594" s="177" t="s">
        <v>888</v>
      </c>
      <c r="K594" s="211"/>
      <c r="L594" s="101" t="s">
        <v>628</v>
      </c>
      <c r="M594" s="176" t="s">
        <v>16</v>
      </c>
      <c r="N594" s="178"/>
      <c r="O594" s="179"/>
      <c r="P594" s="179" t="s">
        <v>16</v>
      </c>
      <c r="Q594" s="210"/>
      <c r="S594" s="8"/>
    </row>
    <row r="595" spans="1:19" s="1" customFormat="1" ht="19.5" hidden="1" customHeight="1" x14ac:dyDescent="0.3">
      <c r="A595" s="18"/>
      <c r="B595" s="569" t="s">
        <v>632</v>
      </c>
      <c r="C595" s="462">
        <v>45709.451388888891</v>
      </c>
      <c r="D595" s="462"/>
      <c r="E595" s="462"/>
      <c r="F595" s="462" t="s">
        <v>876</v>
      </c>
      <c r="G595" s="62">
        <v>2000</v>
      </c>
      <c r="H595" s="182" t="s">
        <v>13</v>
      </c>
      <c r="I595" s="63" t="s">
        <v>17</v>
      </c>
      <c r="J595" s="183" t="s">
        <v>651</v>
      </c>
      <c r="K595" s="214"/>
      <c r="L595" s="104"/>
      <c r="M595" s="182"/>
      <c r="N595" s="184" t="s">
        <v>254</v>
      </c>
      <c r="O595" s="185"/>
      <c r="P595" s="185" t="s">
        <v>11</v>
      </c>
      <c r="Q595" s="575" t="s">
        <v>890</v>
      </c>
      <c r="S595" s="8"/>
    </row>
    <row r="596" spans="1:19" ht="19.5" hidden="1" customHeight="1" x14ac:dyDescent="0.3">
      <c r="B596" s="569"/>
      <c r="C596" s="462"/>
      <c r="D596" s="462"/>
      <c r="E596" s="462"/>
      <c r="F596" s="462"/>
      <c r="G596" s="62">
        <v>6800</v>
      </c>
      <c r="H596" s="182" t="s">
        <v>13</v>
      </c>
      <c r="I596" s="63" t="s">
        <v>23</v>
      </c>
      <c r="J596" s="183" t="s">
        <v>889</v>
      </c>
      <c r="K596" s="63"/>
      <c r="L596" s="63"/>
      <c r="M596" s="63"/>
      <c r="N596" s="63"/>
      <c r="O596" s="63"/>
      <c r="P596" s="63"/>
      <c r="Q596" s="575"/>
    </row>
    <row r="597" spans="1:19" ht="19.5" hidden="1" customHeight="1" x14ac:dyDescent="0.3">
      <c r="B597" s="104" t="s">
        <v>31</v>
      </c>
      <c r="C597" s="462">
        <v>45715.631944444445</v>
      </c>
      <c r="D597" s="462"/>
      <c r="E597" s="462"/>
      <c r="F597" s="181" t="s">
        <v>511</v>
      </c>
      <c r="G597" s="62">
        <v>5000</v>
      </c>
      <c r="H597" s="182" t="s">
        <v>94</v>
      </c>
      <c r="I597" s="63" t="s">
        <v>23</v>
      </c>
      <c r="J597" s="183" t="s">
        <v>892</v>
      </c>
      <c r="K597" s="63"/>
      <c r="L597" s="63" t="s">
        <v>628</v>
      </c>
      <c r="M597" s="63" t="s">
        <v>16</v>
      </c>
      <c r="N597" s="63"/>
      <c r="O597" s="63"/>
      <c r="P597" s="63" t="s">
        <v>16</v>
      </c>
      <c r="Q597" s="209"/>
    </row>
    <row r="598" spans="1:19" ht="19.5" hidden="1" customHeight="1" x14ac:dyDescent="0.3">
      <c r="B598" s="104" t="s">
        <v>638</v>
      </c>
      <c r="C598" s="462">
        <v>45720.333333333336</v>
      </c>
      <c r="D598" s="462"/>
      <c r="E598" s="462"/>
      <c r="F598" s="181" t="s">
        <v>22</v>
      </c>
      <c r="G598" s="62">
        <v>8800</v>
      </c>
      <c r="H598" s="182" t="s">
        <v>13</v>
      </c>
      <c r="I598" s="63" t="s">
        <v>11</v>
      </c>
      <c r="J598" s="183" t="s">
        <v>893</v>
      </c>
      <c r="K598" s="63"/>
      <c r="L598" s="63"/>
      <c r="M598" s="220"/>
      <c r="N598" s="63"/>
      <c r="O598" s="63"/>
      <c r="P598" s="63" t="s">
        <v>11</v>
      </c>
      <c r="Q598" s="209"/>
    </row>
    <row r="599" spans="1:19" ht="19.5" hidden="1" customHeight="1" x14ac:dyDescent="0.3">
      <c r="B599" s="101" t="s">
        <v>632</v>
      </c>
      <c r="C599" s="479">
        <v>45721.75</v>
      </c>
      <c r="D599" s="479"/>
      <c r="E599" s="479"/>
      <c r="F599" s="175" t="s">
        <v>22</v>
      </c>
      <c r="G599" s="43">
        <v>8800</v>
      </c>
      <c r="H599" s="176" t="s">
        <v>13</v>
      </c>
      <c r="I599" s="100" t="s">
        <v>11</v>
      </c>
      <c r="J599" s="177" t="s">
        <v>893</v>
      </c>
      <c r="K599" s="100"/>
      <c r="L599" s="100"/>
      <c r="M599" s="219"/>
      <c r="N599" s="100"/>
      <c r="O599" s="100"/>
      <c r="P599" s="100" t="s">
        <v>16</v>
      </c>
      <c r="Q599" s="210"/>
    </row>
    <row r="600" spans="1:19" ht="19.5" hidden="1" customHeight="1" x14ac:dyDescent="0.3">
      <c r="B600" s="101" t="s">
        <v>31</v>
      </c>
      <c r="C600" s="479">
        <v>45722.333333333336</v>
      </c>
      <c r="D600" s="479"/>
      <c r="E600" s="479"/>
      <c r="F600" s="175" t="s">
        <v>511</v>
      </c>
      <c r="G600" s="43">
        <v>5000</v>
      </c>
      <c r="H600" s="176" t="s">
        <v>94</v>
      </c>
      <c r="I600" s="100" t="s">
        <v>23</v>
      </c>
      <c r="J600" s="177" t="s">
        <v>896</v>
      </c>
      <c r="K600" s="100"/>
      <c r="L600" s="100" t="s">
        <v>593</v>
      </c>
      <c r="M600" s="219" t="s">
        <v>16</v>
      </c>
      <c r="N600" s="100"/>
      <c r="O600" s="100"/>
      <c r="P600" s="100" t="s">
        <v>16</v>
      </c>
      <c r="Q600" s="210"/>
    </row>
    <row r="601" spans="1:19" ht="19.5" hidden="1" customHeight="1" x14ac:dyDescent="0.3">
      <c r="B601" s="566" t="s">
        <v>638</v>
      </c>
      <c r="C601" s="479">
        <v>45722.625</v>
      </c>
      <c r="D601" s="479"/>
      <c r="E601" s="479"/>
      <c r="F601" s="175" t="s">
        <v>856</v>
      </c>
      <c r="G601" s="43">
        <v>8000</v>
      </c>
      <c r="H601" s="568" t="s">
        <v>13</v>
      </c>
      <c r="I601" s="100" t="s">
        <v>23</v>
      </c>
      <c r="J601" s="177" t="s">
        <v>726</v>
      </c>
      <c r="K601" s="100"/>
      <c r="L601" s="100"/>
      <c r="M601" s="573" t="s">
        <v>894</v>
      </c>
      <c r="N601" s="100" t="s">
        <v>254</v>
      </c>
      <c r="O601" s="100" t="s">
        <v>239</v>
      </c>
      <c r="P601" s="100" t="s">
        <v>16</v>
      </c>
      <c r="Q601" s="210"/>
    </row>
    <row r="602" spans="1:19" ht="19.5" hidden="1" customHeight="1" x14ac:dyDescent="0.3">
      <c r="B602" s="566"/>
      <c r="C602" s="479"/>
      <c r="D602" s="479"/>
      <c r="E602" s="479"/>
      <c r="F602" s="175" t="s">
        <v>22</v>
      </c>
      <c r="G602" s="43">
        <v>800</v>
      </c>
      <c r="H602" s="568"/>
      <c r="I602" s="100" t="s">
        <v>11</v>
      </c>
      <c r="J602" s="177" t="s">
        <v>893</v>
      </c>
      <c r="K602" s="100"/>
      <c r="L602" s="100"/>
      <c r="M602" s="573"/>
      <c r="N602" s="100"/>
      <c r="O602" s="100"/>
      <c r="P602" s="100" t="s">
        <v>11</v>
      </c>
      <c r="Q602" s="210"/>
    </row>
    <row r="603" spans="1:19" ht="19.5" hidden="1" customHeight="1" x14ac:dyDescent="0.3">
      <c r="B603" s="566" t="s">
        <v>31</v>
      </c>
      <c r="C603" s="479">
        <v>45727.458333333336</v>
      </c>
      <c r="D603" s="479"/>
      <c r="E603" s="479"/>
      <c r="F603" s="175" t="s">
        <v>784</v>
      </c>
      <c r="G603" s="43">
        <v>5000</v>
      </c>
      <c r="H603" s="176" t="s">
        <v>94</v>
      </c>
      <c r="I603" s="100" t="s">
        <v>23</v>
      </c>
      <c r="J603" s="177" t="s">
        <v>902</v>
      </c>
      <c r="K603" s="100"/>
      <c r="L603" s="565" t="s">
        <v>593</v>
      </c>
      <c r="M603" s="573" t="s">
        <v>16</v>
      </c>
      <c r="N603" s="100"/>
      <c r="O603" s="100"/>
      <c r="P603" s="565" t="s">
        <v>11</v>
      </c>
      <c r="Q603" s="210"/>
    </row>
    <row r="604" spans="1:19" ht="19.5" hidden="1" customHeight="1" x14ac:dyDescent="0.3">
      <c r="B604" s="566"/>
      <c r="C604" s="479"/>
      <c r="D604" s="479"/>
      <c r="E604" s="479"/>
      <c r="F604" s="175" t="s">
        <v>511</v>
      </c>
      <c r="G604" s="43">
        <v>400</v>
      </c>
      <c r="H604" s="176" t="s">
        <v>94</v>
      </c>
      <c r="I604" s="100" t="s">
        <v>23</v>
      </c>
      <c r="J604" s="177" t="s">
        <v>858</v>
      </c>
      <c r="K604" s="100"/>
      <c r="L604" s="565"/>
      <c r="M604" s="573"/>
      <c r="N604" s="100" t="s">
        <v>254</v>
      </c>
      <c r="O604" s="100" t="s">
        <v>239</v>
      </c>
      <c r="P604" s="565"/>
      <c r="Q604" s="210"/>
    </row>
    <row r="605" spans="1:19" ht="19.5" hidden="1" customHeight="1" x14ac:dyDescent="0.3">
      <c r="B605" s="101" t="s">
        <v>638</v>
      </c>
      <c r="C605" s="479">
        <v>45729.333333333336</v>
      </c>
      <c r="D605" s="479"/>
      <c r="E605" s="479"/>
      <c r="F605" s="175" t="s">
        <v>22</v>
      </c>
      <c r="G605" s="43">
        <v>8800</v>
      </c>
      <c r="H605" s="176" t="s">
        <v>13</v>
      </c>
      <c r="I605" s="100" t="s">
        <v>11</v>
      </c>
      <c r="J605" s="177" t="s">
        <v>899</v>
      </c>
      <c r="K605" s="100"/>
      <c r="L605" s="100"/>
      <c r="M605" s="219"/>
      <c r="N605" s="100"/>
      <c r="O605" s="100"/>
      <c r="P605" s="100" t="s">
        <v>11</v>
      </c>
      <c r="Q605" s="210" t="s">
        <v>907</v>
      </c>
    </row>
    <row r="606" spans="1:19" ht="19.5" hidden="1" customHeight="1" x14ac:dyDescent="0.3">
      <c r="B606" s="104" t="s">
        <v>632</v>
      </c>
      <c r="C606" s="462">
        <v>45730.333333333336</v>
      </c>
      <c r="D606" s="462"/>
      <c r="E606" s="462"/>
      <c r="F606" s="181" t="s">
        <v>22</v>
      </c>
      <c r="G606" s="62">
        <v>8800</v>
      </c>
      <c r="H606" s="182" t="s">
        <v>13</v>
      </c>
      <c r="I606" s="63" t="s">
        <v>11</v>
      </c>
      <c r="J606" s="183" t="s">
        <v>899</v>
      </c>
      <c r="K606" s="63"/>
      <c r="L606" s="63"/>
      <c r="M606" s="220"/>
      <c r="N606" s="63"/>
      <c r="O606" s="63"/>
      <c r="P606" s="63" t="s">
        <v>11</v>
      </c>
      <c r="Q606" s="209" t="s">
        <v>908</v>
      </c>
    </row>
    <row r="607" spans="1:19" ht="19.5" hidden="1" customHeight="1" x14ac:dyDescent="0.3">
      <c r="B607" s="101" t="s">
        <v>638</v>
      </c>
      <c r="C607" s="479">
        <v>45732.333333333336</v>
      </c>
      <c r="D607" s="479"/>
      <c r="E607" s="479"/>
      <c r="F607" s="175" t="s">
        <v>904</v>
      </c>
      <c r="G607" s="43">
        <v>8800</v>
      </c>
      <c r="H607" s="176" t="s">
        <v>13</v>
      </c>
      <c r="I607" s="100" t="s">
        <v>17</v>
      </c>
      <c r="J607" s="177" t="s">
        <v>905</v>
      </c>
      <c r="K607" s="100"/>
      <c r="L607" s="100"/>
      <c r="M607" s="219"/>
      <c r="N607" s="100"/>
      <c r="O607" s="100"/>
      <c r="P607" s="100" t="s">
        <v>11</v>
      </c>
      <c r="Q607" s="210" t="s">
        <v>906</v>
      </c>
    </row>
    <row r="608" spans="1:19" ht="19.5" hidden="1" customHeight="1" x14ac:dyDescent="0.3">
      <c r="B608" s="104" t="s">
        <v>31</v>
      </c>
      <c r="C608" s="462">
        <v>45733.625</v>
      </c>
      <c r="D608" s="462"/>
      <c r="E608" s="462"/>
      <c r="F608" s="181" t="s">
        <v>784</v>
      </c>
      <c r="G608" s="62">
        <v>1000</v>
      </c>
      <c r="H608" s="182" t="s">
        <v>94</v>
      </c>
      <c r="I608" s="63" t="s">
        <v>23</v>
      </c>
      <c r="J608" s="183" t="s">
        <v>903</v>
      </c>
      <c r="K608" s="63"/>
      <c r="L608" s="63" t="s">
        <v>628</v>
      </c>
      <c r="M608" s="220" t="s">
        <v>16</v>
      </c>
      <c r="N608" s="63"/>
      <c r="O608" s="63"/>
      <c r="P608" s="63" t="s">
        <v>16</v>
      </c>
      <c r="Q608" s="209"/>
    </row>
    <row r="609" spans="2:17" ht="19.5" hidden="1" customHeight="1" x14ac:dyDescent="0.3">
      <c r="B609" s="101" t="s">
        <v>31</v>
      </c>
      <c r="C609" s="479">
        <v>45738.791666666664</v>
      </c>
      <c r="D609" s="479"/>
      <c r="E609" s="479"/>
      <c r="F609" s="175" t="s">
        <v>531</v>
      </c>
      <c r="G609" s="43">
        <v>9000</v>
      </c>
      <c r="H609" s="176" t="s">
        <v>94</v>
      </c>
      <c r="I609" s="100" t="s">
        <v>17</v>
      </c>
      <c r="J609" s="177" t="s">
        <v>30</v>
      </c>
      <c r="K609" s="100"/>
      <c r="L609" s="100" t="s">
        <v>628</v>
      </c>
      <c r="M609" s="219" t="s">
        <v>16</v>
      </c>
      <c r="N609" s="100"/>
      <c r="O609" s="100"/>
      <c r="P609" s="100" t="s">
        <v>16</v>
      </c>
      <c r="Q609" s="221" t="s">
        <v>914</v>
      </c>
    </row>
    <row r="610" spans="2:17" ht="19.5" hidden="1" customHeight="1" x14ac:dyDescent="0.3">
      <c r="B610" s="566" t="s">
        <v>632</v>
      </c>
      <c r="C610" s="479">
        <v>45741.333333333336</v>
      </c>
      <c r="D610" s="479"/>
      <c r="E610" s="479"/>
      <c r="F610" s="175" t="s">
        <v>22</v>
      </c>
      <c r="G610" s="43">
        <v>3900</v>
      </c>
      <c r="H610" s="176" t="s">
        <v>13</v>
      </c>
      <c r="I610" s="100" t="s">
        <v>23</v>
      </c>
      <c r="J610" s="177" t="s">
        <v>909</v>
      </c>
      <c r="K610" s="100"/>
      <c r="L610" s="100"/>
      <c r="M610" s="573" t="s">
        <v>894</v>
      </c>
      <c r="N610" s="100"/>
      <c r="O610" s="100"/>
      <c r="P610" s="565" t="s">
        <v>11</v>
      </c>
      <c r="Q610" s="210"/>
    </row>
    <row r="611" spans="2:17" ht="19.5" hidden="1" customHeight="1" x14ac:dyDescent="0.3">
      <c r="B611" s="566"/>
      <c r="C611" s="479"/>
      <c r="D611" s="479"/>
      <c r="E611" s="479"/>
      <c r="F611" s="175" t="s">
        <v>904</v>
      </c>
      <c r="G611" s="43">
        <v>4500</v>
      </c>
      <c r="H611" s="176" t="s">
        <v>13</v>
      </c>
      <c r="I611" s="100" t="s">
        <v>17</v>
      </c>
      <c r="J611" s="177" t="s">
        <v>915</v>
      </c>
      <c r="K611" s="100"/>
      <c r="L611" s="100"/>
      <c r="M611" s="573"/>
      <c r="N611" s="100"/>
      <c r="O611" s="100"/>
      <c r="P611" s="565"/>
      <c r="Q611" s="210"/>
    </row>
    <row r="612" spans="2:17" ht="19.5" hidden="1" customHeight="1" x14ac:dyDescent="0.3">
      <c r="B612" s="569" t="s">
        <v>31</v>
      </c>
      <c r="C612" s="462">
        <v>45743.166666666664</v>
      </c>
      <c r="D612" s="462"/>
      <c r="E612" s="462"/>
      <c r="F612" s="181" t="s">
        <v>784</v>
      </c>
      <c r="G612" s="62">
        <v>1000</v>
      </c>
      <c r="H612" s="572" t="s">
        <v>94</v>
      </c>
      <c r="I612" s="63" t="s">
        <v>23</v>
      </c>
      <c r="J612" s="183" t="s">
        <v>918</v>
      </c>
      <c r="K612" s="63"/>
      <c r="L612" s="567" t="s">
        <v>593</v>
      </c>
      <c r="M612" s="574" t="s">
        <v>894</v>
      </c>
      <c r="N612" s="63" t="s">
        <v>254</v>
      </c>
      <c r="O612" s="63" t="s">
        <v>239</v>
      </c>
      <c r="P612" s="567" t="s">
        <v>16</v>
      </c>
      <c r="Q612" s="209"/>
    </row>
    <row r="613" spans="2:17" ht="19.5" hidden="1" customHeight="1" x14ac:dyDescent="0.3">
      <c r="B613" s="569"/>
      <c r="C613" s="462"/>
      <c r="D613" s="462"/>
      <c r="E613" s="462"/>
      <c r="F613" s="181" t="s">
        <v>602</v>
      </c>
      <c r="G613" s="62">
        <v>8000</v>
      </c>
      <c r="H613" s="572"/>
      <c r="I613" s="63" t="s">
        <v>11</v>
      </c>
      <c r="J613" s="183" t="s">
        <v>838</v>
      </c>
      <c r="K613" s="63"/>
      <c r="L613" s="567"/>
      <c r="M613" s="574"/>
      <c r="N613" s="63"/>
      <c r="O613" s="63"/>
      <c r="P613" s="567"/>
      <c r="Q613" s="209"/>
    </row>
    <row r="614" spans="2:17" ht="19.5" hidden="1" customHeight="1" x14ac:dyDescent="0.3">
      <c r="B614" s="566" t="s">
        <v>638</v>
      </c>
      <c r="C614" s="479">
        <v>45743.75</v>
      </c>
      <c r="D614" s="479"/>
      <c r="E614" s="479"/>
      <c r="F614" s="175" t="s">
        <v>22</v>
      </c>
      <c r="G614" s="43">
        <v>4000</v>
      </c>
      <c r="H614" s="568" t="s">
        <v>13</v>
      </c>
      <c r="I614" s="100" t="s">
        <v>23</v>
      </c>
      <c r="J614" s="177" t="s">
        <v>584</v>
      </c>
      <c r="K614" s="100"/>
      <c r="L614" s="100"/>
      <c r="M614" s="573" t="s">
        <v>920</v>
      </c>
      <c r="N614" s="100"/>
      <c r="O614" s="100"/>
      <c r="P614" s="565" t="s">
        <v>11</v>
      </c>
      <c r="Q614" s="210"/>
    </row>
    <row r="615" spans="2:17" ht="19.5" hidden="1" customHeight="1" x14ac:dyDescent="0.3">
      <c r="B615" s="566"/>
      <c r="C615" s="479"/>
      <c r="D615" s="479"/>
      <c r="E615" s="479"/>
      <c r="F615" s="175" t="s">
        <v>602</v>
      </c>
      <c r="G615" s="43">
        <v>4800</v>
      </c>
      <c r="H615" s="568"/>
      <c r="I615" s="100" t="s">
        <v>17</v>
      </c>
      <c r="J615" s="177" t="s">
        <v>915</v>
      </c>
      <c r="K615" s="100"/>
      <c r="L615" s="100"/>
      <c r="M615" s="573"/>
      <c r="N615" s="100"/>
      <c r="O615" s="100"/>
      <c r="P615" s="565"/>
      <c r="Q615" s="210"/>
    </row>
    <row r="616" spans="2:17" ht="19.5" hidden="1" customHeight="1" x14ac:dyDescent="0.3">
      <c r="B616" s="101" t="s">
        <v>31</v>
      </c>
      <c r="C616" s="479">
        <v>45748.375</v>
      </c>
      <c r="D616" s="479"/>
      <c r="E616" s="479"/>
      <c r="F616" s="175" t="s">
        <v>602</v>
      </c>
      <c r="G616" s="43">
        <v>9000</v>
      </c>
      <c r="H616" s="176" t="s">
        <v>94</v>
      </c>
      <c r="I616" s="100" t="s">
        <v>11</v>
      </c>
      <c r="J616" s="177" t="s">
        <v>599</v>
      </c>
      <c r="K616" s="100"/>
      <c r="L616" s="100" t="s">
        <v>593</v>
      </c>
      <c r="M616" s="219" t="s">
        <v>16</v>
      </c>
      <c r="N616" s="100"/>
      <c r="O616" s="100"/>
      <c r="P616" s="100" t="s">
        <v>16</v>
      </c>
      <c r="Q616" s="210"/>
    </row>
    <row r="617" spans="2:17" ht="19.5" hidden="1" customHeight="1" x14ac:dyDescent="0.3">
      <c r="B617" s="101" t="s">
        <v>632</v>
      </c>
      <c r="C617" s="479">
        <v>45748.833333333336</v>
      </c>
      <c r="D617" s="479"/>
      <c r="E617" s="479"/>
      <c r="F617" s="175" t="s">
        <v>602</v>
      </c>
      <c r="G617" s="43">
        <v>8800</v>
      </c>
      <c r="H617" s="176" t="s">
        <v>13</v>
      </c>
      <c r="I617" s="100" t="s">
        <v>17</v>
      </c>
      <c r="J617" s="177" t="s">
        <v>924</v>
      </c>
      <c r="K617" s="100"/>
      <c r="L617" s="100"/>
      <c r="M617" s="219"/>
      <c r="N617" s="100"/>
      <c r="O617" s="100"/>
      <c r="P617" s="100" t="s">
        <v>16</v>
      </c>
      <c r="Q617" s="210" t="s">
        <v>925</v>
      </c>
    </row>
    <row r="618" spans="2:17" ht="19.5" hidden="1" customHeight="1" x14ac:dyDescent="0.3">
      <c r="B618" s="566" t="s">
        <v>632</v>
      </c>
      <c r="C618" s="479">
        <v>45751.541666666664</v>
      </c>
      <c r="D618" s="479"/>
      <c r="E618" s="479"/>
      <c r="F618" s="175" t="s">
        <v>22</v>
      </c>
      <c r="G618" s="43">
        <v>4300</v>
      </c>
      <c r="H618" s="568" t="s">
        <v>13</v>
      </c>
      <c r="I618" s="100" t="s">
        <v>23</v>
      </c>
      <c r="J618" s="177" t="s">
        <v>926</v>
      </c>
      <c r="K618" s="100"/>
      <c r="L618" s="100"/>
      <c r="M618" s="573" t="s">
        <v>16</v>
      </c>
      <c r="N618" s="565" t="s">
        <v>929</v>
      </c>
      <c r="O618" s="100"/>
      <c r="P618" s="565" t="s">
        <v>16</v>
      </c>
      <c r="Q618" s="210" t="s">
        <v>921</v>
      </c>
    </row>
    <row r="619" spans="2:17" ht="19.5" hidden="1" customHeight="1" x14ac:dyDescent="0.3">
      <c r="B619" s="566"/>
      <c r="C619" s="479"/>
      <c r="D619" s="479"/>
      <c r="E619" s="479"/>
      <c r="F619" s="175" t="s">
        <v>602</v>
      </c>
      <c r="G619" s="43">
        <v>4300</v>
      </c>
      <c r="H619" s="568"/>
      <c r="I619" s="100" t="s">
        <v>17</v>
      </c>
      <c r="J619" s="177" t="s">
        <v>930</v>
      </c>
      <c r="K619" s="100"/>
      <c r="L619" s="100"/>
      <c r="M619" s="573"/>
      <c r="N619" s="565"/>
      <c r="O619" s="100"/>
      <c r="P619" s="565"/>
      <c r="Q619" s="210"/>
    </row>
    <row r="620" spans="2:17" ht="19.5" hidden="1" customHeight="1" x14ac:dyDescent="0.3">
      <c r="B620" s="566" t="s">
        <v>632</v>
      </c>
      <c r="C620" s="479">
        <v>45752.833333333336</v>
      </c>
      <c r="D620" s="479"/>
      <c r="E620" s="479"/>
      <c r="F620" s="175" t="s">
        <v>22</v>
      </c>
      <c r="G620" s="43">
        <v>4300</v>
      </c>
      <c r="H620" s="568" t="s">
        <v>13</v>
      </c>
      <c r="I620" s="100" t="s">
        <v>23</v>
      </c>
      <c r="J620" s="177" t="s">
        <v>926</v>
      </c>
      <c r="K620" s="100"/>
      <c r="L620" s="100"/>
      <c r="M620" s="573" t="s">
        <v>16</v>
      </c>
      <c r="N620" s="565" t="s">
        <v>929</v>
      </c>
      <c r="O620" s="100"/>
      <c r="P620" s="565" t="s">
        <v>16</v>
      </c>
      <c r="Q620" s="210" t="s">
        <v>922</v>
      </c>
    </row>
    <row r="621" spans="2:17" ht="19.5" hidden="1" customHeight="1" x14ac:dyDescent="0.3">
      <c r="B621" s="566"/>
      <c r="C621" s="479"/>
      <c r="D621" s="479"/>
      <c r="E621" s="479"/>
      <c r="F621" s="175" t="s">
        <v>602</v>
      </c>
      <c r="G621" s="43">
        <v>4300</v>
      </c>
      <c r="H621" s="568"/>
      <c r="I621" s="100"/>
      <c r="J621" s="177"/>
      <c r="K621" s="100"/>
      <c r="L621" s="100"/>
      <c r="M621" s="573"/>
      <c r="N621" s="565"/>
      <c r="O621" s="100"/>
      <c r="P621" s="565"/>
      <c r="Q621" s="210"/>
    </row>
    <row r="622" spans="2:17" ht="19.5" hidden="1" customHeight="1" x14ac:dyDescent="0.3">
      <c r="B622" s="104" t="s">
        <v>31</v>
      </c>
      <c r="C622" s="462">
        <v>45754.416666666664</v>
      </c>
      <c r="D622" s="462"/>
      <c r="E622" s="462"/>
      <c r="F622" s="181" t="s">
        <v>602</v>
      </c>
      <c r="G622" s="62">
        <v>9000</v>
      </c>
      <c r="H622" s="182" t="s">
        <v>94</v>
      </c>
      <c r="I622" s="63" t="s">
        <v>11</v>
      </c>
      <c r="J622" s="183" t="s">
        <v>893</v>
      </c>
      <c r="K622" s="63"/>
      <c r="L622" s="63" t="s">
        <v>593</v>
      </c>
      <c r="M622" s="220" t="s">
        <v>16</v>
      </c>
      <c r="N622" s="63"/>
      <c r="O622" s="63"/>
      <c r="P622" s="63" t="s">
        <v>16</v>
      </c>
      <c r="Q622" s="209"/>
    </row>
    <row r="623" spans="2:17" ht="19.5" hidden="1" customHeight="1" x14ac:dyDescent="0.3">
      <c r="B623" s="101" t="s">
        <v>632</v>
      </c>
      <c r="C623" s="479">
        <v>45755.833333333336</v>
      </c>
      <c r="D623" s="479"/>
      <c r="E623" s="479"/>
      <c r="F623" s="175" t="s">
        <v>602</v>
      </c>
      <c r="G623" s="43">
        <v>8400</v>
      </c>
      <c r="H623" s="176" t="s">
        <v>13</v>
      </c>
      <c r="I623" s="100" t="s">
        <v>17</v>
      </c>
      <c r="J623" s="177" t="s">
        <v>926</v>
      </c>
      <c r="K623" s="100"/>
      <c r="L623" s="100"/>
      <c r="M623" s="219"/>
      <c r="N623" s="100"/>
      <c r="O623" s="100"/>
      <c r="P623" s="100" t="s">
        <v>16</v>
      </c>
      <c r="Q623" s="210"/>
    </row>
    <row r="624" spans="2:17" ht="19.5" hidden="1" customHeight="1" x14ac:dyDescent="0.3">
      <c r="B624" s="101" t="s">
        <v>632</v>
      </c>
      <c r="C624" s="479">
        <v>45756.833333333336</v>
      </c>
      <c r="D624" s="479"/>
      <c r="E624" s="479"/>
      <c r="F624" s="175" t="s">
        <v>602</v>
      </c>
      <c r="G624" s="43">
        <v>8300</v>
      </c>
      <c r="H624" s="176" t="s">
        <v>13</v>
      </c>
      <c r="I624" s="100" t="s">
        <v>17</v>
      </c>
      <c r="J624" s="177" t="s">
        <v>924</v>
      </c>
      <c r="K624" s="100"/>
      <c r="L624" s="100"/>
      <c r="M624" s="219"/>
      <c r="N624" s="100"/>
      <c r="O624" s="100"/>
      <c r="P624" s="100" t="s">
        <v>16</v>
      </c>
      <c r="Q624" s="210"/>
    </row>
    <row r="625" spans="2:17" ht="19.5" hidden="1" customHeight="1" x14ac:dyDescent="0.3">
      <c r="B625" s="101" t="s">
        <v>632</v>
      </c>
      <c r="C625" s="479">
        <v>45757.833333333336</v>
      </c>
      <c r="D625" s="479"/>
      <c r="E625" s="479"/>
      <c r="F625" s="175" t="s">
        <v>602</v>
      </c>
      <c r="G625" s="43">
        <v>8200</v>
      </c>
      <c r="H625" s="176" t="s">
        <v>13</v>
      </c>
      <c r="I625" s="100" t="s">
        <v>17</v>
      </c>
      <c r="J625" s="177" t="s">
        <v>865</v>
      </c>
      <c r="K625" s="100"/>
      <c r="L625" s="100"/>
      <c r="M625" s="219"/>
      <c r="N625" s="100"/>
      <c r="O625" s="100"/>
      <c r="P625" s="100" t="s">
        <v>16</v>
      </c>
      <c r="Q625" s="210"/>
    </row>
    <row r="626" spans="2:17" ht="19.5" hidden="1" customHeight="1" x14ac:dyDescent="0.3">
      <c r="B626" s="101" t="s">
        <v>632</v>
      </c>
      <c r="C626" s="479">
        <v>45761.833333333336</v>
      </c>
      <c r="D626" s="479"/>
      <c r="E626" s="479"/>
      <c r="F626" s="175" t="s">
        <v>602</v>
      </c>
      <c r="G626" s="43">
        <v>8200</v>
      </c>
      <c r="H626" s="176" t="s">
        <v>13</v>
      </c>
      <c r="I626" s="100" t="s">
        <v>17</v>
      </c>
      <c r="J626" s="177" t="s">
        <v>936</v>
      </c>
      <c r="K626" s="100"/>
      <c r="L626" s="100"/>
      <c r="M626" s="219"/>
      <c r="N626" s="100"/>
      <c r="O626" s="100"/>
      <c r="P626" s="100" t="s">
        <v>16</v>
      </c>
      <c r="Q626" s="210"/>
    </row>
    <row r="627" spans="2:17" ht="19.5" hidden="1" customHeight="1" x14ac:dyDescent="0.3">
      <c r="B627" s="569" t="s">
        <v>31</v>
      </c>
      <c r="C627" s="462">
        <v>45764.96875</v>
      </c>
      <c r="D627" s="462"/>
      <c r="E627" s="462"/>
      <c r="F627" s="181" t="s">
        <v>602</v>
      </c>
      <c r="G627" s="62">
        <v>9000</v>
      </c>
      <c r="H627" s="572" t="s">
        <v>94</v>
      </c>
      <c r="I627" s="63" t="s">
        <v>11</v>
      </c>
      <c r="J627" s="183" t="s">
        <v>622</v>
      </c>
      <c r="K627" s="63"/>
      <c r="L627" s="567"/>
      <c r="M627" s="574" t="s">
        <v>16</v>
      </c>
      <c r="N627" s="63"/>
      <c r="O627" s="63"/>
      <c r="P627" s="567" t="s">
        <v>16</v>
      </c>
      <c r="Q627" s="209"/>
    </row>
    <row r="628" spans="2:17" ht="19.5" hidden="1" customHeight="1" x14ac:dyDescent="0.3">
      <c r="B628" s="569"/>
      <c r="C628" s="462"/>
      <c r="D628" s="462"/>
      <c r="E628" s="462"/>
      <c r="F628" s="181" t="s">
        <v>935</v>
      </c>
      <c r="G628" s="62">
        <v>5000</v>
      </c>
      <c r="H628" s="572"/>
      <c r="I628" s="63" t="s">
        <v>11</v>
      </c>
      <c r="J628" s="183" t="s">
        <v>59</v>
      </c>
      <c r="K628" s="63"/>
      <c r="L628" s="567"/>
      <c r="M628" s="574"/>
      <c r="N628" s="63"/>
      <c r="O628" s="63"/>
      <c r="P628" s="567"/>
      <c r="Q628" s="209"/>
    </row>
    <row r="629" spans="2:17" ht="19.5" hidden="1" customHeight="1" x14ac:dyDescent="0.3">
      <c r="B629" s="101" t="s">
        <v>638</v>
      </c>
      <c r="C629" s="479">
        <v>45765.833333333336</v>
      </c>
      <c r="D629" s="479"/>
      <c r="E629" s="479"/>
      <c r="F629" s="175" t="s">
        <v>22</v>
      </c>
      <c r="G629" s="43">
        <v>8600</v>
      </c>
      <c r="H629" s="176" t="s">
        <v>13</v>
      </c>
      <c r="I629" s="100" t="s">
        <v>23</v>
      </c>
      <c r="J629" s="177" t="s">
        <v>937</v>
      </c>
      <c r="K629" s="100"/>
      <c r="L629" s="100"/>
      <c r="M629" s="219"/>
      <c r="N629" s="100"/>
      <c r="O629" s="100"/>
      <c r="P629" s="100" t="s">
        <v>16</v>
      </c>
      <c r="Q629" s="210"/>
    </row>
    <row r="630" spans="2:17" ht="19.5" hidden="1" customHeight="1" x14ac:dyDescent="0.3">
      <c r="B630" s="566" t="s">
        <v>632</v>
      </c>
      <c r="C630" s="479">
        <v>45768.916666666664</v>
      </c>
      <c r="D630" s="479"/>
      <c r="E630" s="479"/>
      <c r="F630" s="175" t="s">
        <v>22</v>
      </c>
      <c r="G630" s="43">
        <v>3716</v>
      </c>
      <c r="H630" s="568" t="s">
        <v>13</v>
      </c>
      <c r="I630" s="100" t="s">
        <v>23</v>
      </c>
      <c r="J630" s="177" t="s">
        <v>939</v>
      </c>
      <c r="K630" s="100"/>
      <c r="L630" s="100"/>
      <c r="M630" s="571" t="s">
        <v>16</v>
      </c>
      <c r="N630" s="100" t="s">
        <v>254</v>
      </c>
      <c r="O630" s="100" t="s">
        <v>239</v>
      </c>
      <c r="P630" s="565"/>
      <c r="Q630" s="210"/>
    </row>
    <row r="631" spans="2:17" ht="19.5" hidden="1" customHeight="1" x14ac:dyDescent="0.3">
      <c r="B631" s="566"/>
      <c r="C631" s="479"/>
      <c r="D631" s="479"/>
      <c r="E631" s="479"/>
      <c r="F631" s="175" t="s">
        <v>497</v>
      </c>
      <c r="G631" s="43">
        <v>4884</v>
      </c>
      <c r="H631" s="568"/>
      <c r="I631" s="100" t="s">
        <v>11</v>
      </c>
      <c r="J631" s="177" t="s">
        <v>938</v>
      </c>
      <c r="K631" s="100"/>
      <c r="L631" s="100"/>
      <c r="M631" s="571"/>
      <c r="N631" s="100"/>
      <c r="O631" s="100"/>
      <c r="P631" s="565"/>
      <c r="Q631" s="210"/>
    </row>
    <row r="632" spans="2:17" ht="19.5" hidden="1" customHeight="1" x14ac:dyDescent="0.3">
      <c r="B632" s="569" t="s">
        <v>632</v>
      </c>
      <c r="C632" s="462">
        <v>45768.753472222219</v>
      </c>
      <c r="D632" s="462"/>
      <c r="E632" s="462"/>
      <c r="F632" s="181" t="s">
        <v>22</v>
      </c>
      <c r="G632" s="62">
        <v>3716</v>
      </c>
      <c r="H632" s="572" t="s">
        <v>13</v>
      </c>
      <c r="I632" s="63" t="s">
        <v>23</v>
      </c>
      <c r="J632" s="183" t="s">
        <v>939</v>
      </c>
      <c r="K632" s="63"/>
      <c r="L632" s="567"/>
      <c r="M632" s="570" t="s">
        <v>16</v>
      </c>
      <c r="N632" s="63" t="s">
        <v>254</v>
      </c>
      <c r="O632" s="63" t="s">
        <v>239</v>
      </c>
      <c r="P632" s="570"/>
      <c r="Q632" s="209"/>
    </row>
    <row r="633" spans="2:17" ht="19.5" hidden="1" customHeight="1" x14ac:dyDescent="0.3">
      <c r="B633" s="569"/>
      <c r="C633" s="462"/>
      <c r="D633" s="462"/>
      <c r="E633" s="462"/>
      <c r="F633" s="181" t="s">
        <v>497</v>
      </c>
      <c r="G633" s="62">
        <v>4884</v>
      </c>
      <c r="H633" s="572"/>
      <c r="I633" s="63" t="s">
        <v>11</v>
      </c>
      <c r="J633" s="183" t="s">
        <v>938</v>
      </c>
      <c r="K633" s="63"/>
      <c r="L633" s="567"/>
      <c r="M633" s="570"/>
      <c r="N633" s="63"/>
      <c r="O633" s="63"/>
      <c r="P633" s="570"/>
      <c r="Q633" s="209"/>
    </row>
    <row r="634" spans="2:17" ht="19.5" hidden="1" customHeight="1" x14ac:dyDescent="0.3">
      <c r="B634" s="101" t="s">
        <v>638</v>
      </c>
      <c r="C634" s="479">
        <v>45769.291666666664</v>
      </c>
      <c r="D634" s="479"/>
      <c r="E634" s="479"/>
      <c r="F634" s="175" t="s">
        <v>497</v>
      </c>
      <c r="G634" s="43">
        <v>8500</v>
      </c>
      <c r="H634" s="176" t="s">
        <v>13</v>
      </c>
      <c r="I634" s="100" t="s">
        <v>11</v>
      </c>
      <c r="J634" s="177" t="s">
        <v>938</v>
      </c>
      <c r="K634" s="100"/>
      <c r="L634" s="100"/>
      <c r="M634" s="100"/>
      <c r="N634" s="100"/>
      <c r="O634" s="100"/>
      <c r="P634" s="100"/>
      <c r="Q634" s="210"/>
    </row>
    <row r="635" spans="2:17" ht="19.5" hidden="1" customHeight="1" x14ac:dyDescent="0.3">
      <c r="B635" s="101" t="s">
        <v>632</v>
      </c>
      <c r="C635" s="479">
        <v>45773.333333333336</v>
      </c>
      <c r="D635" s="479"/>
      <c r="E635" s="479"/>
      <c r="F635" s="175" t="s">
        <v>497</v>
      </c>
      <c r="G635" s="43">
        <v>8996</v>
      </c>
      <c r="H635" s="176" t="s">
        <v>13</v>
      </c>
      <c r="I635" s="100" t="s">
        <v>11</v>
      </c>
      <c r="J635" s="177" t="s">
        <v>941</v>
      </c>
      <c r="K635" s="100"/>
      <c r="L635" s="100"/>
      <c r="M635" s="100"/>
      <c r="N635" s="100"/>
      <c r="O635" s="100"/>
      <c r="P635" s="100" t="s">
        <v>16</v>
      </c>
      <c r="Q635" s="210"/>
    </row>
    <row r="636" spans="2:17" ht="19.5" hidden="1" customHeight="1" x14ac:dyDescent="0.3">
      <c r="B636" s="569" t="s">
        <v>31</v>
      </c>
      <c r="C636" s="462">
        <v>45774.583333333336</v>
      </c>
      <c r="D636" s="462"/>
      <c r="E636" s="462"/>
      <c r="F636" s="181" t="s">
        <v>602</v>
      </c>
      <c r="G636" s="62">
        <v>9000</v>
      </c>
      <c r="H636" s="572" t="s">
        <v>94</v>
      </c>
      <c r="I636" s="63" t="s">
        <v>11</v>
      </c>
      <c r="J636" s="183" t="s">
        <v>737</v>
      </c>
      <c r="K636" s="63"/>
      <c r="L636" s="567"/>
      <c r="M636" s="570" t="s">
        <v>16</v>
      </c>
      <c r="N636" s="63"/>
      <c r="O636" s="63"/>
      <c r="P636" s="570" t="s">
        <v>16</v>
      </c>
      <c r="Q636" s="209"/>
    </row>
    <row r="637" spans="2:17" ht="19.5" hidden="1" customHeight="1" x14ac:dyDescent="0.3">
      <c r="B637" s="569"/>
      <c r="C637" s="462"/>
      <c r="D637" s="462"/>
      <c r="E637" s="462"/>
      <c r="F637" s="181" t="s">
        <v>935</v>
      </c>
      <c r="G637" s="62">
        <v>5000</v>
      </c>
      <c r="H637" s="572"/>
      <c r="I637" s="63" t="s">
        <v>11</v>
      </c>
      <c r="J637" s="183" t="s">
        <v>56</v>
      </c>
      <c r="K637" s="63"/>
      <c r="L637" s="567"/>
      <c r="M637" s="570"/>
      <c r="N637" s="63"/>
      <c r="O637" s="63"/>
      <c r="P637" s="570"/>
      <c r="Q637" s="209"/>
    </row>
    <row r="638" spans="2:17" ht="19.5" hidden="1" customHeight="1" x14ac:dyDescent="0.3">
      <c r="B638" s="101" t="s">
        <v>632</v>
      </c>
      <c r="C638" s="479">
        <v>45777.791666666664</v>
      </c>
      <c r="D638" s="479"/>
      <c r="E638" s="479"/>
      <c r="F638" s="175" t="s">
        <v>602</v>
      </c>
      <c r="G638" s="43">
        <v>1500</v>
      </c>
      <c r="H638" s="176" t="s">
        <v>13</v>
      </c>
      <c r="I638" s="100" t="s">
        <v>23</v>
      </c>
      <c r="J638" s="177" t="s">
        <v>942</v>
      </c>
      <c r="K638" s="100"/>
      <c r="L638" s="100" t="s">
        <v>593</v>
      </c>
      <c r="M638" s="100" t="s">
        <v>16</v>
      </c>
      <c r="N638" s="100" t="s">
        <v>254</v>
      </c>
      <c r="O638" s="100" t="s">
        <v>239</v>
      </c>
      <c r="P638" s="100"/>
      <c r="Q638" s="210"/>
    </row>
    <row r="639" spans="2:17" ht="19.5" hidden="1" customHeight="1" x14ac:dyDescent="0.3">
      <c r="B639" s="566" t="s">
        <v>638</v>
      </c>
      <c r="C639" s="479">
        <v>45778.5</v>
      </c>
      <c r="D639" s="479"/>
      <c r="E639" s="479"/>
      <c r="F639" s="479" t="s">
        <v>497</v>
      </c>
      <c r="G639" s="43">
        <v>4143</v>
      </c>
      <c r="H639" s="568" t="s">
        <v>13</v>
      </c>
      <c r="I639" s="100" t="s">
        <v>11</v>
      </c>
      <c r="J639" s="177" t="s">
        <v>941</v>
      </c>
      <c r="K639" s="100"/>
      <c r="L639" s="100"/>
      <c r="M639" s="100"/>
      <c r="N639" s="100" t="s">
        <v>254</v>
      </c>
      <c r="O639" s="100" t="s">
        <v>239</v>
      </c>
      <c r="P639" s="100"/>
      <c r="Q639" s="210"/>
    </row>
    <row r="640" spans="2:17" ht="19.5" hidden="1" customHeight="1" x14ac:dyDescent="0.3">
      <c r="B640" s="566"/>
      <c r="C640" s="479"/>
      <c r="D640" s="479"/>
      <c r="E640" s="479"/>
      <c r="F640" s="479"/>
      <c r="G640" s="43">
        <f>9000-4143</f>
        <v>4857</v>
      </c>
      <c r="H640" s="568"/>
      <c r="I640" s="100" t="s">
        <v>17</v>
      </c>
      <c r="J640" s="177" t="s">
        <v>808</v>
      </c>
      <c r="K640" s="100"/>
      <c r="L640" s="100"/>
      <c r="M640" s="100"/>
      <c r="N640" s="100"/>
      <c r="O640" s="100"/>
      <c r="P640" s="100"/>
      <c r="Q640" s="210"/>
    </row>
    <row r="641" spans="2:17" ht="19.5" hidden="1" customHeight="1" x14ac:dyDescent="0.3">
      <c r="B641" s="566" t="s">
        <v>31</v>
      </c>
      <c r="C641" s="479">
        <v>45780.291666666664</v>
      </c>
      <c r="D641" s="479"/>
      <c r="E641" s="479"/>
      <c r="F641" s="175" t="s">
        <v>602</v>
      </c>
      <c r="G641" s="43">
        <v>1500</v>
      </c>
      <c r="H641" s="568" t="s">
        <v>94</v>
      </c>
      <c r="I641" s="100" t="s">
        <v>11</v>
      </c>
      <c r="J641" s="177" t="s">
        <v>737</v>
      </c>
      <c r="K641" s="100"/>
      <c r="L641" s="565"/>
      <c r="M641" s="571"/>
      <c r="N641" s="100"/>
      <c r="O641" s="100"/>
      <c r="P641" s="571" t="s">
        <v>16</v>
      </c>
      <c r="Q641" s="210"/>
    </row>
    <row r="642" spans="2:17" ht="19.5" hidden="1" customHeight="1" x14ac:dyDescent="0.3">
      <c r="B642" s="566"/>
      <c r="C642" s="479"/>
      <c r="D642" s="479"/>
      <c r="E642" s="479"/>
      <c r="F642" s="175" t="s">
        <v>602</v>
      </c>
      <c r="G642" s="43">
        <f>9000-1500</f>
        <v>7500</v>
      </c>
      <c r="H642" s="568"/>
      <c r="I642" s="100" t="s">
        <v>23</v>
      </c>
      <c r="J642" s="177" t="s">
        <v>944</v>
      </c>
      <c r="K642" s="100"/>
      <c r="L642" s="565"/>
      <c r="M642" s="571"/>
      <c r="N642" s="100"/>
      <c r="O642" s="100"/>
      <c r="P642" s="571"/>
      <c r="Q642" s="210"/>
    </row>
    <row r="643" spans="2:17" ht="19.5" hidden="1" customHeight="1" x14ac:dyDescent="0.3">
      <c r="B643" s="566"/>
      <c r="C643" s="479"/>
      <c r="D643" s="479"/>
      <c r="E643" s="479"/>
      <c r="F643" s="175" t="s">
        <v>935</v>
      </c>
      <c r="G643" s="43">
        <v>5000</v>
      </c>
      <c r="H643" s="568"/>
      <c r="I643" s="100" t="s">
        <v>11</v>
      </c>
      <c r="J643" s="177" t="s">
        <v>29</v>
      </c>
      <c r="K643" s="100"/>
      <c r="L643" s="565"/>
      <c r="M643" s="571"/>
      <c r="N643" s="100"/>
      <c r="O643" s="100"/>
      <c r="P643" s="571"/>
      <c r="Q643" s="210"/>
    </row>
    <row r="644" spans="2:17" ht="19.5" hidden="1" customHeight="1" x14ac:dyDescent="0.3">
      <c r="B644" s="101" t="s">
        <v>632</v>
      </c>
      <c r="C644" s="479">
        <v>45780.833333333336</v>
      </c>
      <c r="D644" s="479"/>
      <c r="E644" s="479"/>
      <c r="F644" s="175" t="s">
        <v>497</v>
      </c>
      <c r="G644" s="43">
        <v>9000</v>
      </c>
      <c r="H644" s="176" t="s">
        <v>13</v>
      </c>
      <c r="I644" s="100" t="s">
        <v>17</v>
      </c>
      <c r="J644" s="177" t="s">
        <v>808</v>
      </c>
      <c r="K644" s="100"/>
      <c r="L644" s="100"/>
      <c r="M644" s="100"/>
      <c r="N644" s="100"/>
      <c r="O644" s="100"/>
      <c r="P644" s="100" t="s">
        <v>16</v>
      </c>
      <c r="Q644" s="210"/>
    </row>
    <row r="645" spans="2:17" ht="19.5" hidden="1" customHeight="1" x14ac:dyDescent="0.3">
      <c r="B645" s="101" t="s">
        <v>638</v>
      </c>
      <c r="C645" s="479">
        <v>45784.350694444445</v>
      </c>
      <c r="D645" s="479"/>
      <c r="E645" s="479"/>
      <c r="F645" s="175" t="s">
        <v>497</v>
      </c>
      <c r="G645" s="43">
        <v>9000</v>
      </c>
      <c r="H645" s="176" t="s">
        <v>13</v>
      </c>
      <c r="I645" s="100" t="s">
        <v>17</v>
      </c>
      <c r="J645" s="177" t="s">
        <v>808</v>
      </c>
      <c r="K645" s="100"/>
      <c r="L645" s="100"/>
      <c r="M645" s="100"/>
      <c r="N645" s="100"/>
      <c r="O645" s="100"/>
      <c r="P645" s="100"/>
      <c r="Q645" s="210" t="s">
        <v>950</v>
      </c>
    </row>
    <row r="646" spans="2:17" ht="19.5" hidden="1" customHeight="1" x14ac:dyDescent="0.3">
      <c r="B646" s="104" t="s">
        <v>31</v>
      </c>
      <c r="C646" s="462">
        <v>45786.416666666664</v>
      </c>
      <c r="D646" s="462"/>
      <c r="E646" s="462"/>
      <c r="F646" s="181" t="s">
        <v>935</v>
      </c>
      <c r="G646" s="62">
        <v>5000</v>
      </c>
      <c r="H646" s="182" t="s">
        <v>94</v>
      </c>
      <c r="I646" s="63" t="s">
        <v>11</v>
      </c>
      <c r="J646" s="183" t="s">
        <v>35</v>
      </c>
      <c r="K646" s="63"/>
      <c r="L646" s="63" t="s">
        <v>953</v>
      </c>
      <c r="M646" s="63"/>
      <c r="N646" s="63"/>
      <c r="O646" s="63"/>
      <c r="P646" s="63"/>
      <c r="Q646" s="209" t="s">
        <v>954</v>
      </c>
    </row>
    <row r="647" spans="2:17" ht="19.5" hidden="1" customHeight="1" x14ac:dyDescent="0.3">
      <c r="B647" s="101" t="s">
        <v>638</v>
      </c>
      <c r="C647" s="479">
        <v>45789.833333333336</v>
      </c>
      <c r="D647" s="479"/>
      <c r="E647" s="479"/>
      <c r="F647" s="175" t="s">
        <v>497</v>
      </c>
      <c r="G647" s="43">
        <v>9000</v>
      </c>
      <c r="H647" s="176" t="s">
        <v>13</v>
      </c>
      <c r="I647" s="100" t="s">
        <v>17</v>
      </c>
      <c r="J647" s="177" t="s">
        <v>808</v>
      </c>
      <c r="K647" s="100"/>
      <c r="L647" s="100"/>
      <c r="M647" s="100"/>
      <c r="N647" s="100"/>
      <c r="O647" s="100"/>
      <c r="P647" s="100"/>
      <c r="Q647" s="210"/>
    </row>
    <row r="648" spans="2:17" ht="19.5" hidden="1" customHeight="1" x14ac:dyDescent="0.3">
      <c r="B648" s="101" t="s">
        <v>31</v>
      </c>
      <c r="C648" s="479">
        <v>45792.333333333336</v>
      </c>
      <c r="D648" s="479"/>
      <c r="E648" s="479"/>
      <c r="F648" s="175" t="s">
        <v>935</v>
      </c>
      <c r="G648" s="43">
        <v>5000</v>
      </c>
      <c r="H648" s="176" t="s">
        <v>94</v>
      </c>
      <c r="I648" s="100" t="s">
        <v>11</v>
      </c>
      <c r="J648" s="177" t="s">
        <v>35</v>
      </c>
      <c r="K648" s="100"/>
      <c r="L648" s="100" t="s">
        <v>957</v>
      </c>
      <c r="M648" s="100" t="s">
        <v>16</v>
      </c>
      <c r="N648" s="100"/>
      <c r="O648" s="100"/>
      <c r="P648" s="100"/>
      <c r="Q648" s="210"/>
    </row>
    <row r="649" spans="2:17" ht="19.5" hidden="1" customHeight="1" x14ac:dyDescent="0.3">
      <c r="B649" s="101" t="s">
        <v>632</v>
      </c>
      <c r="C649" s="479">
        <v>45794.333333333336</v>
      </c>
      <c r="D649" s="479"/>
      <c r="E649" s="479"/>
      <c r="F649" s="175" t="s">
        <v>497</v>
      </c>
      <c r="G649" s="43">
        <v>8600</v>
      </c>
      <c r="H649" s="176" t="s">
        <v>13</v>
      </c>
      <c r="I649" s="100" t="s">
        <v>17</v>
      </c>
      <c r="J649" s="177" t="s">
        <v>808</v>
      </c>
      <c r="K649" s="100"/>
      <c r="L649" s="100"/>
      <c r="M649" s="100"/>
      <c r="N649" s="100"/>
      <c r="O649" s="100"/>
      <c r="P649" s="100"/>
      <c r="Q649" s="210"/>
    </row>
    <row r="650" spans="2:17" ht="19.5" hidden="1" customHeight="1" x14ac:dyDescent="0.3">
      <c r="B650" s="104" t="s">
        <v>638</v>
      </c>
      <c r="C650" s="462">
        <v>45797.347222222219</v>
      </c>
      <c r="D650" s="462"/>
      <c r="E650" s="462"/>
      <c r="F650" s="181" t="s">
        <v>959</v>
      </c>
      <c r="G650" s="62">
        <v>8700</v>
      </c>
      <c r="H650" s="182" t="s">
        <v>13</v>
      </c>
      <c r="I650" s="63" t="s">
        <v>11</v>
      </c>
      <c r="J650" s="183" t="s">
        <v>958</v>
      </c>
      <c r="K650" s="63"/>
      <c r="L650" s="63"/>
      <c r="M650" s="63"/>
      <c r="N650" s="63"/>
      <c r="O650" s="63"/>
      <c r="P650" s="63"/>
      <c r="Q650" s="209"/>
    </row>
    <row r="651" spans="2:17" ht="19.5" hidden="1" customHeight="1" x14ac:dyDescent="0.3">
      <c r="B651" s="104" t="s">
        <v>632</v>
      </c>
      <c r="C651" s="462">
        <v>45797.993055555555</v>
      </c>
      <c r="D651" s="462"/>
      <c r="E651" s="462"/>
      <c r="F651" s="181" t="s">
        <v>959</v>
      </c>
      <c r="G651" s="62">
        <v>4000</v>
      </c>
      <c r="H651" s="182" t="s">
        <v>13</v>
      </c>
      <c r="I651" s="63" t="s">
        <v>11</v>
      </c>
      <c r="J651" s="183" t="s">
        <v>958</v>
      </c>
      <c r="K651" s="63"/>
      <c r="L651" s="63"/>
      <c r="M651" s="63"/>
      <c r="N651" s="63"/>
      <c r="O651" s="63"/>
      <c r="P651" s="63"/>
      <c r="Q651" s="209"/>
    </row>
    <row r="652" spans="2:17" ht="19.5" hidden="1" customHeight="1" x14ac:dyDescent="0.3">
      <c r="B652" s="104" t="s">
        <v>31</v>
      </c>
      <c r="C652" s="462">
        <v>45798.524305555555</v>
      </c>
      <c r="D652" s="462"/>
      <c r="E652" s="462"/>
      <c r="F652" s="181" t="s">
        <v>935</v>
      </c>
      <c r="G652" s="62">
        <v>5000</v>
      </c>
      <c r="H652" s="182" t="s">
        <v>94</v>
      </c>
      <c r="I652" s="63" t="s">
        <v>11</v>
      </c>
      <c r="J652" s="183" t="s">
        <v>35</v>
      </c>
      <c r="K652" s="63"/>
      <c r="L652" s="63" t="s">
        <v>957</v>
      </c>
      <c r="M652" s="63" t="s">
        <v>16</v>
      </c>
      <c r="N652" s="63"/>
      <c r="O652" s="63"/>
      <c r="P652" s="63"/>
      <c r="Q652" s="209"/>
    </row>
    <row r="653" spans="2:17" ht="19.5" hidden="1" customHeight="1" x14ac:dyDescent="0.3">
      <c r="B653" s="101" t="s">
        <v>961</v>
      </c>
      <c r="C653" s="479">
        <v>45801.458333333336</v>
      </c>
      <c r="D653" s="479"/>
      <c r="E653" s="479"/>
      <c r="F653" s="175" t="s">
        <v>963</v>
      </c>
      <c r="G653" s="43">
        <v>8000</v>
      </c>
      <c r="H653" s="176"/>
      <c r="I653" s="100" t="s">
        <v>23</v>
      </c>
      <c r="J653" s="177" t="s">
        <v>962</v>
      </c>
      <c r="K653" s="100"/>
      <c r="L653" s="100"/>
      <c r="M653" s="100" t="s">
        <v>16</v>
      </c>
      <c r="N653" s="100" t="s">
        <v>254</v>
      </c>
      <c r="O653" s="100" t="s">
        <v>964</v>
      </c>
      <c r="P653" s="100" t="s">
        <v>16</v>
      </c>
      <c r="Q653" s="210"/>
    </row>
    <row r="654" spans="2:17" ht="19.5" hidden="1" customHeight="1" x14ac:dyDescent="0.3">
      <c r="B654" s="566" t="s">
        <v>632</v>
      </c>
      <c r="C654" s="479">
        <v>45801.791666666664</v>
      </c>
      <c r="D654" s="479"/>
      <c r="E654" s="479"/>
      <c r="F654" s="479" t="s">
        <v>959</v>
      </c>
      <c r="G654" s="43">
        <v>2451</v>
      </c>
      <c r="H654" s="568" t="s">
        <v>13</v>
      </c>
      <c r="I654" s="100" t="s">
        <v>11</v>
      </c>
      <c r="J654" s="177" t="s">
        <v>967</v>
      </c>
      <c r="K654" s="100"/>
      <c r="L654" s="100"/>
      <c r="M654" s="100"/>
      <c r="N654" s="100" t="s">
        <v>254</v>
      </c>
      <c r="O654" s="100" t="s">
        <v>964</v>
      </c>
      <c r="P654" s="565" t="s">
        <v>16</v>
      </c>
      <c r="Q654" s="210"/>
    </row>
    <row r="655" spans="2:17" ht="19.5" hidden="1" customHeight="1" x14ac:dyDescent="0.3">
      <c r="B655" s="566"/>
      <c r="C655" s="479"/>
      <c r="D655" s="479"/>
      <c r="E655" s="479"/>
      <c r="F655" s="479"/>
      <c r="G655" s="43">
        <f>8600-2451</f>
        <v>6149</v>
      </c>
      <c r="H655" s="568"/>
      <c r="I655" s="100" t="s">
        <v>17</v>
      </c>
      <c r="J655" s="177" t="s">
        <v>968</v>
      </c>
      <c r="K655" s="100"/>
      <c r="L655" s="100"/>
      <c r="M655" s="100"/>
      <c r="N655" s="100"/>
      <c r="O655" s="100"/>
      <c r="P655" s="565"/>
      <c r="Q655" s="210"/>
    </row>
    <row r="656" spans="2:17" ht="19.5" hidden="1" customHeight="1" x14ac:dyDescent="0.3">
      <c r="B656" s="101" t="s">
        <v>638</v>
      </c>
      <c r="C656" s="479">
        <v>45805.375</v>
      </c>
      <c r="D656" s="479"/>
      <c r="E656" s="479"/>
      <c r="F656" s="175" t="s">
        <v>976</v>
      </c>
      <c r="G656" s="43">
        <v>8700</v>
      </c>
      <c r="H656" s="176" t="s">
        <v>966</v>
      </c>
      <c r="I656" s="100" t="s">
        <v>17</v>
      </c>
      <c r="J656" s="177" t="s">
        <v>731</v>
      </c>
      <c r="K656" s="100" t="s">
        <v>27</v>
      </c>
      <c r="L656" s="100"/>
      <c r="M656" s="100"/>
      <c r="N656" s="100"/>
      <c r="O656" s="100"/>
      <c r="P656" s="100"/>
      <c r="Q656" s="210"/>
    </row>
    <row r="657" spans="2:17" ht="19.5" hidden="1" customHeight="1" x14ac:dyDescent="0.3">
      <c r="B657" s="104" t="s">
        <v>638</v>
      </c>
      <c r="C657" s="462">
        <v>45807.326388888891</v>
      </c>
      <c r="D657" s="462"/>
      <c r="E657" s="462"/>
      <c r="F657" s="181" t="s">
        <v>976</v>
      </c>
      <c r="G657" s="62">
        <v>8767</v>
      </c>
      <c r="H657" s="182" t="s">
        <v>621</v>
      </c>
      <c r="I657" s="63" t="s">
        <v>17</v>
      </c>
      <c r="J657" s="183" t="s">
        <v>978</v>
      </c>
      <c r="K657" s="63"/>
      <c r="L657" s="63"/>
      <c r="M657" s="63"/>
      <c r="N657" s="63"/>
      <c r="O657" s="63"/>
      <c r="P657" s="63" t="s">
        <v>16</v>
      </c>
      <c r="Q657" s="209"/>
    </row>
    <row r="658" spans="2:17" ht="19.5" hidden="1" customHeight="1" x14ac:dyDescent="0.3">
      <c r="B658" s="566" t="s">
        <v>31</v>
      </c>
      <c r="C658" s="479">
        <v>45808.645833333336</v>
      </c>
      <c r="D658" s="479"/>
      <c r="E658" s="479"/>
      <c r="F658" s="175" t="s">
        <v>965</v>
      </c>
      <c r="G658" s="43">
        <v>3500</v>
      </c>
      <c r="H658" s="568" t="s">
        <v>966</v>
      </c>
      <c r="I658" s="100" t="s">
        <v>23</v>
      </c>
      <c r="J658" s="177" t="s">
        <v>979</v>
      </c>
      <c r="K658" s="100" t="s">
        <v>27</v>
      </c>
      <c r="L658" s="100"/>
      <c r="M658" s="565" t="s">
        <v>16</v>
      </c>
      <c r="N658" s="100" t="s">
        <v>254</v>
      </c>
      <c r="O658" s="100" t="s">
        <v>964</v>
      </c>
      <c r="P658" s="565" t="s">
        <v>16</v>
      </c>
      <c r="Q658" s="210"/>
    </row>
    <row r="659" spans="2:17" ht="19.5" hidden="1" customHeight="1" x14ac:dyDescent="0.3">
      <c r="B659" s="566"/>
      <c r="C659" s="479"/>
      <c r="D659" s="479"/>
      <c r="E659" s="479"/>
      <c r="F659" s="175" t="s">
        <v>674</v>
      </c>
      <c r="G659" s="43">
        <f>9000-3500</f>
        <v>5500</v>
      </c>
      <c r="H659" s="568"/>
      <c r="I659" s="100" t="s">
        <v>11</v>
      </c>
      <c r="J659" s="177" t="s">
        <v>977</v>
      </c>
      <c r="K659" s="100"/>
      <c r="L659" s="100"/>
      <c r="M659" s="565"/>
      <c r="N659" s="100"/>
      <c r="O659" s="100"/>
      <c r="P659" s="565"/>
      <c r="Q659" s="210"/>
    </row>
    <row r="660" spans="2:17" ht="19.5" hidden="1" customHeight="1" x14ac:dyDescent="0.3">
      <c r="B660" s="566"/>
      <c r="C660" s="479"/>
      <c r="D660" s="479"/>
      <c r="E660" s="479"/>
      <c r="F660" s="479" t="s">
        <v>602</v>
      </c>
      <c r="G660" s="43">
        <v>2000</v>
      </c>
      <c r="H660" s="568"/>
      <c r="I660" s="100" t="s">
        <v>11</v>
      </c>
      <c r="J660" s="177" t="s">
        <v>980</v>
      </c>
      <c r="K660" s="100"/>
      <c r="L660" s="100"/>
      <c r="M660" s="565"/>
      <c r="N660" s="100" t="s">
        <v>254</v>
      </c>
      <c r="O660" s="100" t="s">
        <v>964</v>
      </c>
      <c r="P660" s="565"/>
      <c r="Q660" s="210"/>
    </row>
    <row r="661" spans="2:17" ht="19.5" hidden="1" customHeight="1" x14ac:dyDescent="0.3">
      <c r="B661" s="566"/>
      <c r="C661" s="479"/>
      <c r="D661" s="479"/>
      <c r="E661" s="479"/>
      <c r="F661" s="479"/>
      <c r="G661" s="43">
        <v>3000</v>
      </c>
      <c r="H661" s="568"/>
      <c r="I661" s="100" t="s">
        <v>23</v>
      </c>
      <c r="J661" s="177" t="s">
        <v>981</v>
      </c>
      <c r="K661" s="100"/>
      <c r="L661" s="100"/>
      <c r="M661" s="565"/>
      <c r="N661" s="100"/>
      <c r="O661" s="100"/>
      <c r="P661" s="565"/>
      <c r="Q661" s="210"/>
    </row>
    <row r="662" spans="2:17" ht="19.5" hidden="1" customHeight="1" x14ac:dyDescent="0.3">
      <c r="B662" s="101" t="s">
        <v>632</v>
      </c>
      <c r="C662" s="479">
        <v>45813.319444444445</v>
      </c>
      <c r="D662" s="479"/>
      <c r="E662" s="479"/>
      <c r="F662" s="175" t="s">
        <v>976</v>
      </c>
      <c r="G662" s="43">
        <v>8700</v>
      </c>
      <c r="H662" s="176" t="s">
        <v>621</v>
      </c>
      <c r="I662" s="100" t="s">
        <v>17</v>
      </c>
      <c r="J662" s="177" t="s">
        <v>978</v>
      </c>
      <c r="K662" s="100"/>
      <c r="L662" s="100"/>
      <c r="M662" s="100"/>
      <c r="N662" s="100"/>
      <c r="O662" s="100"/>
      <c r="P662" s="100" t="s">
        <v>16</v>
      </c>
      <c r="Q662" s="210"/>
    </row>
    <row r="663" spans="2:17" ht="19.5" hidden="1" customHeight="1" x14ac:dyDescent="0.3">
      <c r="B663" s="101" t="s">
        <v>31</v>
      </c>
      <c r="C663" s="479">
        <v>45814.145833333336</v>
      </c>
      <c r="D663" s="479"/>
      <c r="E663" s="479"/>
      <c r="F663" s="175" t="s">
        <v>674</v>
      </c>
      <c r="G663" s="43">
        <v>9000</v>
      </c>
      <c r="H663" s="176" t="s">
        <v>94</v>
      </c>
      <c r="I663" s="100" t="s">
        <v>11</v>
      </c>
      <c r="J663" s="177" t="s">
        <v>28</v>
      </c>
      <c r="K663" s="100"/>
      <c r="L663" s="100" t="s">
        <v>957</v>
      </c>
      <c r="M663" s="100" t="s">
        <v>16</v>
      </c>
      <c r="N663" s="100"/>
      <c r="O663" s="100"/>
      <c r="P663" s="100" t="s">
        <v>16</v>
      </c>
      <c r="Q663" s="210"/>
    </row>
    <row r="664" spans="2:17" ht="19.5" hidden="1" customHeight="1" x14ac:dyDescent="0.3">
      <c r="B664" s="104" t="s">
        <v>31</v>
      </c>
      <c r="C664" s="462">
        <v>45818.354166666664</v>
      </c>
      <c r="D664" s="462"/>
      <c r="E664" s="462"/>
      <c r="F664" s="181" t="s">
        <v>674</v>
      </c>
      <c r="G664" s="62">
        <v>14000</v>
      </c>
      <c r="H664" s="182" t="s">
        <v>94</v>
      </c>
      <c r="I664" s="63" t="s">
        <v>11</v>
      </c>
      <c r="J664" s="183" t="s">
        <v>113</v>
      </c>
      <c r="K664" s="63"/>
      <c r="L664" s="63"/>
      <c r="M664" s="63"/>
      <c r="N664" s="63"/>
      <c r="O664" s="63"/>
      <c r="P664" s="63" t="s">
        <v>16</v>
      </c>
      <c r="Q664" s="209"/>
    </row>
    <row r="665" spans="2:17" ht="19.5" hidden="1" customHeight="1" x14ac:dyDescent="0.3">
      <c r="B665" s="104" t="s">
        <v>638</v>
      </c>
      <c r="C665" s="462">
        <v>45819.298611111109</v>
      </c>
      <c r="D665" s="462"/>
      <c r="E665" s="462"/>
      <c r="F665" s="181" t="s">
        <v>497</v>
      </c>
      <c r="G665" s="62">
        <v>9000</v>
      </c>
      <c r="H665" s="182" t="s">
        <v>621</v>
      </c>
      <c r="I665" s="63" t="s">
        <v>17</v>
      </c>
      <c r="J665" s="183" t="s">
        <v>56</v>
      </c>
      <c r="K665" s="63"/>
      <c r="L665" s="63"/>
      <c r="M665" s="63"/>
      <c r="N665" s="63"/>
      <c r="O665" s="63"/>
      <c r="P665" s="63"/>
      <c r="Q665" s="209"/>
    </row>
    <row r="666" spans="2:17" ht="19.5" hidden="1" customHeight="1" x14ac:dyDescent="0.3">
      <c r="B666" s="101" t="s">
        <v>632</v>
      </c>
      <c r="C666" s="479">
        <v>45819.791666666664</v>
      </c>
      <c r="D666" s="479"/>
      <c r="E666" s="479"/>
      <c r="F666" s="187" t="s">
        <v>497</v>
      </c>
      <c r="G666" s="43">
        <v>8881</v>
      </c>
      <c r="H666" s="176" t="s">
        <v>621</v>
      </c>
      <c r="I666" s="100" t="s">
        <v>17</v>
      </c>
      <c r="J666" s="177" t="s">
        <v>56</v>
      </c>
      <c r="K666" s="100"/>
      <c r="L666" s="100"/>
      <c r="M666" s="100" t="s">
        <v>16</v>
      </c>
      <c r="N666" s="100"/>
      <c r="O666" s="100"/>
      <c r="P666" s="100" t="s">
        <v>16</v>
      </c>
      <c r="Q666" s="210" t="s">
        <v>990</v>
      </c>
    </row>
    <row r="667" spans="2:17" ht="19.5" hidden="1" customHeight="1" x14ac:dyDescent="0.3">
      <c r="B667" s="104" t="s">
        <v>31</v>
      </c>
      <c r="C667" s="462">
        <v>45824.458333333336</v>
      </c>
      <c r="D667" s="462"/>
      <c r="E667" s="462"/>
      <c r="F667" s="181" t="s">
        <v>674</v>
      </c>
      <c r="G667" s="62">
        <v>9000</v>
      </c>
      <c r="H667" s="182" t="s">
        <v>966</v>
      </c>
      <c r="I667" s="63" t="s">
        <v>989</v>
      </c>
      <c r="J667" s="183" t="s">
        <v>998</v>
      </c>
      <c r="K667" s="63"/>
      <c r="L667" s="63" t="s">
        <v>953</v>
      </c>
      <c r="M667" s="63" t="s">
        <v>16</v>
      </c>
      <c r="N667" s="63"/>
      <c r="O667" s="63"/>
      <c r="P667" s="63" t="s">
        <v>16</v>
      </c>
      <c r="Q667" s="209"/>
    </row>
    <row r="668" spans="2:17" ht="19.5" hidden="1" customHeight="1" x14ac:dyDescent="0.3">
      <c r="B668" s="104" t="s">
        <v>632</v>
      </c>
      <c r="C668" s="462">
        <v>45828.118055555555</v>
      </c>
      <c r="D668" s="462"/>
      <c r="E668" s="462"/>
      <c r="F668" s="181" t="s">
        <v>976</v>
      </c>
      <c r="G668" s="62">
        <v>8519</v>
      </c>
      <c r="H668" s="182" t="s">
        <v>13</v>
      </c>
      <c r="I668" s="63" t="s">
        <v>17</v>
      </c>
      <c r="J668" s="183" t="s">
        <v>701</v>
      </c>
      <c r="K668" s="63"/>
      <c r="L668" s="63"/>
      <c r="M668" s="63"/>
      <c r="N668" s="63"/>
      <c r="O668" s="63"/>
      <c r="P668" s="63"/>
      <c r="Q668" s="209"/>
    </row>
    <row r="669" spans="2:17" ht="19.5" hidden="1" customHeight="1" x14ac:dyDescent="0.3">
      <c r="B669" s="566" t="s">
        <v>638</v>
      </c>
      <c r="C669" s="479" t="s">
        <v>999</v>
      </c>
      <c r="D669" s="479"/>
      <c r="E669" s="479"/>
      <c r="F669" s="175" t="s">
        <v>497</v>
      </c>
      <c r="G669" s="43">
        <v>950</v>
      </c>
      <c r="H669" s="568" t="s">
        <v>13</v>
      </c>
      <c r="I669" s="100" t="s">
        <v>17</v>
      </c>
      <c r="J669" s="177" t="s">
        <v>661</v>
      </c>
      <c r="K669" s="100"/>
      <c r="L669" s="100"/>
      <c r="M669" s="565" t="s">
        <v>16</v>
      </c>
      <c r="N669" s="100" t="s">
        <v>254</v>
      </c>
      <c r="O669" s="100" t="s">
        <v>964</v>
      </c>
      <c r="P669" s="100"/>
      <c r="Q669" s="210"/>
    </row>
    <row r="670" spans="2:17" ht="19.5" hidden="1" customHeight="1" x14ac:dyDescent="0.3">
      <c r="B670" s="566"/>
      <c r="C670" s="479"/>
      <c r="D670" s="479"/>
      <c r="E670" s="479"/>
      <c r="F670" s="175" t="s">
        <v>976</v>
      </c>
      <c r="G670" s="43">
        <v>7700</v>
      </c>
      <c r="H670" s="568"/>
      <c r="I670" s="100" t="s">
        <v>17</v>
      </c>
      <c r="J670" s="177" t="s">
        <v>701</v>
      </c>
      <c r="K670" s="100"/>
      <c r="L670" s="100"/>
      <c r="M670" s="565"/>
      <c r="N670" s="100"/>
      <c r="O670" s="100"/>
      <c r="P670" s="100"/>
      <c r="Q670" s="210"/>
    </row>
    <row r="671" spans="2:17" ht="19.5" hidden="1" customHeight="1" x14ac:dyDescent="0.3">
      <c r="B671" s="101" t="s">
        <v>31</v>
      </c>
      <c r="C671" s="479">
        <v>45831.666666666664</v>
      </c>
      <c r="D671" s="479"/>
      <c r="E671" s="479"/>
      <c r="F671" s="175" t="s">
        <v>674</v>
      </c>
      <c r="G671" s="43">
        <v>13000</v>
      </c>
      <c r="H671" s="176" t="s">
        <v>966</v>
      </c>
      <c r="I671" s="100" t="s">
        <v>11</v>
      </c>
      <c r="J671" s="177" t="s">
        <v>998</v>
      </c>
      <c r="K671" s="100"/>
      <c r="L671" s="100" t="s">
        <v>953</v>
      </c>
      <c r="M671" s="100" t="s">
        <v>16</v>
      </c>
      <c r="N671" s="100" t="s">
        <v>254</v>
      </c>
      <c r="O671" s="100" t="s">
        <v>964</v>
      </c>
      <c r="P671" s="100" t="s">
        <v>16</v>
      </c>
      <c r="Q671" s="210"/>
    </row>
    <row r="672" spans="2:17" ht="19.5" hidden="1" customHeight="1" x14ac:dyDescent="0.3">
      <c r="B672" s="104" t="s">
        <v>632</v>
      </c>
      <c r="C672" s="462">
        <v>45832.638888888891</v>
      </c>
      <c r="D672" s="462"/>
      <c r="E672" s="462"/>
      <c r="F672" s="181" t="s">
        <v>976</v>
      </c>
      <c r="G672" s="62">
        <v>8200</v>
      </c>
      <c r="H672" s="182" t="s">
        <v>13</v>
      </c>
      <c r="I672" s="63" t="s">
        <v>17</v>
      </c>
      <c r="J672" s="183" t="s">
        <v>1004</v>
      </c>
      <c r="K672" s="63"/>
      <c r="L672" s="63"/>
      <c r="M672" s="63" t="s">
        <v>16</v>
      </c>
      <c r="N672" s="63" t="s">
        <v>254</v>
      </c>
      <c r="O672" s="63" t="s">
        <v>964</v>
      </c>
      <c r="P672" s="63"/>
      <c r="Q672" s="209" t="s">
        <v>1006</v>
      </c>
    </row>
    <row r="673" spans="2:17" ht="19.5" hidden="1" customHeight="1" x14ac:dyDescent="0.3">
      <c r="B673" s="101" t="s">
        <v>638</v>
      </c>
      <c r="C673" s="479">
        <v>45832.333333333336</v>
      </c>
      <c r="D673" s="479"/>
      <c r="E673" s="479"/>
      <c r="F673" s="175" t="s">
        <v>976</v>
      </c>
      <c r="G673" s="43">
        <v>5245</v>
      </c>
      <c r="H673" s="176" t="s">
        <v>13</v>
      </c>
      <c r="I673" s="100" t="s">
        <v>17</v>
      </c>
      <c r="J673" s="177" t="s">
        <v>701</v>
      </c>
      <c r="K673" s="100"/>
      <c r="L673" s="100" t="s">
        <v>953</v>
      </c>
      <c r="M673" s="100" t="s">
        <v>16</v>
      </c>
      <c r="N673" s="100" t="s">
        <v>254</v>
      </c>
      <c r="O673" s="100" t="s">
        <v>964</v>
      </c>
      <c r="P673" s="100"/>
      <c r="Q673" s="210"/>
    </row>
    <row r="674" spans="2:17" ht="19.5" hidden="1" customHeight="1" x14ac:dyDescent="0.3">
      <c r="B674" s="569" t="s">
        <v>1012</v>
      </c>
      <c r="C674" s="462">
        <v>45841.833333333336</v>
      </c>
      <c r="D674" s="462"/>
      <c r="E674" s="462"/>
      <c r="F674" s="181" t="s">
        <v>976</v>
      </c>
      <c r="G674" s="62">
        <v>3500</v>
      </c>
      <c r="H674" s="572" t="s">
        <v>13</v>
      </c>
      <c r="I674" s="63" t="s">
        <v>17</v>
      </c>
      <c r="J674" s="183" t="s">
        <v>334</v>
      </c>
      <c r="K674" s="63"/>
      <c r="L674" s="63"/>
      <c r="M674" s="567" t="s">
        <v>16</v>
      </c>
      <c r="N674" s="63" t="s">
        <v>254</v>
      </c>
      <c r="O674" s="63" t="s">
        <v>964</v>
      </c>
      <c r="P674" s="63"/>
      <c r="Q674" s="209"/>
    </row>
    <row r="675" spans="2:17" ht="19.5" hidden="1" customHeight="1" x14ac:dyDescent="0.3">
      <c r="B675" s="569"/>
      <c r="C675" s="462"/>
      <c r="D675" s="462"/>
      <c r="E675" s="462"/>
      <c r="F675" s="181" t="s">
        <v>22</v>
      </c>
      <c r="G675" s="62">
        <v>5200</v>
      </c>
      <c r="H675" s="572"/>
      <c r="I675" s="63" t="s">
        <v>11</v>
      </c>
      <c r="J675" s="183" t="s">
        <v>1011</v>
      </c>
      <c r="K675" s="63"/>
      <c r="L675" s="63"/>
      <c r="M675" s="567"/>
      <c r="N675" s="63"/>
      <c r="O675" s="63"/>
      <c r="P675" s="63"/>
      <c r="Q675" s="209"/>
    </row>
    <row r="676" spans="2:17" ht="19.5" hidden="1" customHeight="1" x14ac:dyDescent="0.3">
      <c r="B676" s="566" t="s">
        <v>632</v>
      </c>
      <c r="C676" s="479">
        <v>45845.333333333336</v>
      </c>
      <c r="D676" s="479"/>
      <c r="E676" s="479"/>
      <c r="F676" s="479" t="s">
        <v>22</v>
      </c>
      <c r="G676" s="43">
        <v>4500</v>
      </c>
      <c r="H676" s="568" t="s">
        <v>13</v>
      </c>
      <c r="I676" s="100" t="s">
        <v>11</v>
      </c>
      <c r="J676" s="177" t="s">
        <v>1011</v>
      </c>
      <c r="K676" s="100"/>
      <c r="L676" s="100"/>
      <c r="M676" s="100"/>
      <c r="N676" s="100"/>
      <c r="O676" s="100"/>
      <c r="P676" s="100"/>
      <c r="Q676" s="210"/>
    </row>
    <row r="677" spans="2:17" ht="19.5" hidden="1" customHeight="1" x14ac:dyDescent="0.3">
      <c r="B677" s="566"/>
      <c r="C677" s="479"/>
      <c r="D677" s="479"/>
      <c r="E677" s="479"/>
      <c r="F677" s="479"/>
      <c r="G677" s="43">
        <f>8700-4500</f>
        <v>4200</v>
      </c>
      <c r="H677" s="568"/>
      <c r="I677" s="100" t="s">
        <v>11</v>
      </c>
      <c r="J677" s="177" t="s">
        <v>25</v>
      </c>
      <c r="K677" s="100"/>
      <c r="L677" s="100"/>
      <c r="M677" s="100"/>
      <c r="N677" s="100"/>
      <c r="O677" s="100"/>
      <c r="P677" s="100"/>
      <c r="Q677" s="210"/>
    </row>
    <row r="678" spans="2:17" ht="19.5" hidden="1" customHeight="1" x14ac:dyDescent="0.3">
      <c r="B678" s="95" t="s">
        <v>632</v>
      </c>
      <c r="C678" s="479">
        <v>45849.833333333336</v>
      </c>
      <c r="D678" s="479"/>
      <c r="E678" s="479"/>
      <c r="F678" s="96" t="s">
        <v>22</v>
      </c>
      <c r="G678" s="96">
        <v>8700</v>
      </c>
      <c r="H678" s="152" t="s">
        <v>621</v>
      </c>
      <c r="I678" s="86" t="s">
        <v>11</v>
      </c>
      <c r="J678" s="52" t="s">
        <v>25</v>
      </c>
      <c r="K678" s="95"/>
      <c r="L678" s="51"/>
      <c r="M678" s="95"/>
      <c r="N678" s="124"/>
      <c r="O678" s="86"/>
      <c r="P678" s="179"/>
      <c r="Q678" s="151"/>
    </row>
    <row r="679" spans="2:17" ht="19.5" hidden="1" customHeight="1" x14ac:dyDescent="0.3">
      <c r="B679" s="95" t="s">
        <v>632</v>
      </c>
      <c r="C679" s="479">
        <v>45857.583333333336</v>
      </c>
      <c r="D679" s="479"/>
      <c r="E679" s="479"/>
      <c r="F679" s="96" t="s">
        <v>22</v>
      </c>
      <c r="G679" s="96">
        <v>8700</v>
      </c>
      <c r="H679" s="152" t="s">
        <v>621</v>
      </c>
      <c r="I679" s="86" t="s">
        <v>11</v>
      </c>
      <c r="J679" s="52" t="s">
        <v>25</v>
      </c>
      <c r="K679" s="95"/>
      <c r="L679" s="51"/>
      <c r="M679" s="95"/>
      <c r="N679" s="124"/>
      <c r="O679" s="86"/>
      <c r="P679" s="179"/>
      <c r="Q679" s="151"/>
    </row>
    <row r="680" spans="2:17" ht="19.5" hidden="1" customHeight="1" x14ac:dyDescent="0.3">
      <c r="B680" s="429" t="s">
        <v>1015</v>
      </c>
      <c r="C680" s="462" t="s">
        <v>1022</v>
      </c>
      <c r="D680" s="462"/>
      <c r="E680" s="462"/>
      <c r="F680" s="463" t="s">
        <v>1014</v>
      </c>
      <c r="G680" s="252">
        <v>12000</v>
      </c>
      <c r="H680" s="464" t="s">
        <v>224</v>
      </c>
      <c r="I680" s="253" t="s">
        <v>23</v>
      </c>
      <c r="J680" s="254" t="s">
        <v>962</v>
      </c>
      <c r="K680" s="75"/>
      <c r="L680" s="54"/>
      <c r="M680" s="429" t="s">
        <v>16</v>
      </c>
      <c r="N680" s="145"/>
      <c r="O680" s="533"/>
      <c r="P680" s="429" t="s">
        <v>16</v>
      </c>
      <c r="Q680" s="563" t="s">
        <v>1016</v>
      </c>
    </row>
    <row r="681" spans="2:17" ht="19.5" hidden="1" customHeight="1" x14ac:dyDescent="0.3">
      <c r="B681" s="429"/>
      <c r="C681" s="462"/>
      <c r="D681" s="462"/>
      <c r="E681" s="462"/>
      <c r="F681" s="463"/>
      <c r="G681" s="78">
        <v>5000</v>
      </c>
      <c r="H681" s="464"/>
      <c r="I681" s="73" t="s">
        <v>18</v>
      </c>
      <c r="J681" s="53" t="s">
        <v>1017</v>
      </c>
      <c r="K681" s="75"/>
      <c r="L681" s="54"/>
      <c r="M681" s="429"/>
      <c r="N681" s="145"/>
      <c r="O681" s="533"/>
      <c r="P681" s="429"/>
      <c r="Q681" s="563"/>
    </row>
    <row r="682" spans="2:17" ht="19.5" hidden="1" customHeight="1" x14ac:dyDescent="0.3">
      <c r="B682" s="450" t="s">
        <v>632</v>
      </c>
      <c r="C682" s="479">
        <v>45859.708333333336</v>
      </c>
      <c r="D682" s="479"/>
      <c r="E682" s="479"/>
      <c r="F682" s="564" t="s">
        <v>22</v>
      </c>
      <c r="G682" s="96">
        <v>2000</v>
      </c>
      <c r="H682" s="562" t="s">
        <v>621</v>
      </c>
      <c r="I682" s="86" t="s">
        <v>11</v>
      </c>
      <c r="J682" s="52" t="s">
        <v>25</v>
      </c>
      <c r="K682" s="95"/>
      <c r="L682" s="51"/>
      <c r="M682" s="95"/>
      <c r="N682" s="124" t="s">
        <v>254</v>
      </c>
      <c r="O682" s="86" t="s">
        <v>964</v>
      </c>
      <c r="P682" s="95"/>
      <c r="Q682" s="151"/>
    </row>
    <row r="683" spans="2:17" ht="19.5" hidden="1" customHeight="1" x14ac:dyDescent="0.3">
      <c r="B683" s="450"/>
      <c r="C683" s="479"/>
      <c r="D683" s="479"/>
      <c r="E683" s="479"/>
      <c r="F683" s="564"/>
      <c r="G683" s="96">
        <v>5700</v>
      </c>
      <c r="H683" s="562"/>
      <c r="I683" s="86" t="s">
        <v>17</v>
      </c>
      <c r="J683" s="52" t="s">
        <v>1024</v>
      </c>
      <c r="K683" s="95"/>
      <c r="L683" s="51"/>
      <c r="M683" s="95"/>
      <c r="N683" s="124"/>
      <c r="O683" s="86"/>
      <c r="P683" s="95"/>
      <c r="Q683" s="151"/>
    </row>
    <row r="684" spans="2:17" ht="19.5" hidden="1" customHeight="1" x14ac:dyDescent="0.3">
      <c r="B684" s="75" t="s">
        <v>638</v>
      </c>
      <c r="C684" s="462">
        <v>45861.333333333336</v>
      </c>
      <c r="D684" s="462"/>
      <c r="E684" s="462"/>
      <c r="F684" s="78" t="s">
        <v>22</v>
      </c>
      <c r="G684" s="78">
        <v>8700</v>
      </c>
      <c r="H684" s="57" t="s">
        <v>621</v>
      </c>
      <c r="I684" s="73" t="s">
        <v>17</v>
      </c>
      <c r="J684" s="53" t="s">
        <v>1024</v>
      </c>
      <c r="K684" s="75"/>
      <c r="L684" s="54"/>
      <c r="M684" s="75"/>
      <c r="N684" s="145"/>
      <c r="O684" s="73"/>
      <c r="P684" s="185"/>
      <c r="Q684" s="58"/>
    </row>
    <row r="685" spans="2:17" ht="19.5" hidden="1" customHeight="1" x14ac:dyDescent="0.3">
      <c r="B685" s="75" t="s">
        <v>638</v>
      </c>
      <c r="C685" s="462">
        <v>45863.333333333336</v>
      </c>
      <c r="D685" s="462"/>
      <c r="E685" s="462"/>
      <c r="F685" s="78" t="s">
        <v>22</v>
      </c>
      <c r="G685" s="78">
        <v>8700</v>
      </c>
      <c r="H685" s="57" t="s">
        <v>621</v>
      </c>
      <c r="I685" s="73" t="s">
        <v>17</v>
      </c>
      <c r="J685" s="53" t="s">
        <v>1024</v>
      </c>
      <c r="K685" s="75"/>
      <c r="L685" s="54"/>
      <c r="M685" s="75"/>
      <c r="N685" s="145"/>
      <c r="O685" s="73"/>
      <c r="P685" s="185"/>
      <c r="Q685" s="58"/>
    </row>
    <row r="686" spans="2:17" ht="19.5" hidden="1" customHeight="1" x14ac:dyDescent="0.3">
      <c r="B686" s="75" t="s">
        <v>632</v>
      </c>
      <c r="C686" s="462">
        <v>45867.708333333336</v>
      </c>
      <c r="D686" s="462"/>
      <c r="E686" s="462"/>
      <c r="F686" s="78" t="s">
        <v>22</v>
      </c>
      <c r="G686" s="78">
        <v>8700</v>
      </c>
      <c r="H686" s="57" t="s">
        <v>621</v>
      </c>
      <c r="I686" s="73" t="s">
        <v>17</v>
      </c>
      <c r="J686" s="53" t="s">
        <v>1024</v>
      </c>
      <c r="K686" s="75"/>
      <c r="L686" s="54"/>
      <c r="M686" s="75"/>
      <c r="N686" s="145"/>
      <c r="O686" s="73"/>
      <c r="P686" s="185"/>
      <c r="Q686" s="58"/>
    </row>
    <row r="687" spans="2:17" ht="19.5" hidden="1" customHeight="1" x14ac:dyDescent="0.3">
      <c r="B687" s="95" t="s">
        <v>31</v>
      </c>
      <c r="C687" s="479">
        <v>45874.75</v>
      </c>
      <c r="D687" s="479"/>
      <c r="E687" s="479"/>
      <c r="F687" s="96" t="s">
        <v>531</v>
      </c>
      <c r="G687" s="96">
        <v>5000</v>
      </c>
      <c r="H687" s="152" t="s">
        <v>94</v>
      </c>
      <c r="I687" s="86" t="s">
        <v>11</v>
      </c>
      <c r="J687" s="52" t="s">
        <v>865</v>
      </c>
      <c r="K687" s="95"/>
      <c r="L687" s="95" t="s">
        <v>957</v>
      </c>
      <c r="M687" s="95" t="s">
        <v>16</v>
      </c>
      <c r="N687" s="124"/>
      <c r="O687" s="86"/>
      <c r="P687" s="179"/>
      <c r="Q687" s="151"/>
    </row>
    <row r="688" spans="2:17" ht="19.5" hidden="1" customHeight="1" x14ac:dyDescent="0.3">
      <c r="B688" s="95" t="s">
        <v>632</v>
      </c>
      <c r="C688" s="479">
        <v>45875.333333333336</v>
      </c>
      <c r="D688" s="479"/>
      <c r="E688" s="479"/>
      <c r="F688" s="96" t="s">
        <v>22</v>
      </c>
      <c r="G688" s="96">
        <v>8700</v>
      </c>
      <c r="H688" s="152" t="s">
        <v>621</v>
      </c>
      <c r="I688" s="229" t="s">
        <v>17</v>
      </c>
      <c r="J688" s="229" t="s">
        <v>1039</v>
      </c>
      <c r="K688" s="95"/>
      <c r="L688" s="51"/>
      <c r="M688" s="95"/>
      <c r="N688" s="124"/>
      <c r="O688" s="86"/>
      <c r="P688" s="179"/>
      <c r="Q688" s="151"/>
    </row>
    <row r="689" spans="1:17" ht="19.5" hidden="1" customHeight="1" x14ac:dyDescent="0.3">
      <c r="B689" s="95" t="s">
        <v>638</v>
      </c>
      <c r="C689" s="479">
        <v>45876.833333333336</v>
      </c>
      <c r="D689" s="479"/>
      <c r="E689" s="479"/>
      <c r="F689" s="96" t="s">
        <v>22</v>
      </c>
      <c r="G689" s="96">
        <v>8700</v>
      </c>
      <c r="H689" s="152" t="s">
        <v>621</v>
      </c>
      <c r="I689" s="229" t="s">
        <v>17</v>
      </c>
      <c r="J689" s="229" t="s">
        <v>1039</v>
      </c>
      <c r="K689" s="95"/>
      <c r="L689" s="51"/>
      <c r="M689" s="95"/>
      <c r="N689" s="124"/>
      <c r="O689" s="86"/>
      <c r="P689" s="179"/>
      <c r="Q689" s="151"/>
    </row>
    <row r="690" spans="1:17" hidden="1" x14ac:dyDescent="0.3">
      <c r="B690" s="75" t="s">
        <v>632</v>
      </c>
      <c r="C690" s="462">
        <v>45880</v>
      </c>
      <c r="D690" s="462"/>
      <c r="E690" s="462"/>
      <c r="F690" s="78" t="s">
        <v>22</v>
      </c>
      <c r="G690" s="257">
        <v>4490</v>
      </c>
      <c r="H690" s="57" t="s">
        <v>621</v>
      </c>
      <c r="I690" s="232" t="s">
        <v>17</v>
      </c>
      <c r="J690" s="232" t="s">
        <v>1040</v>
      </c>
      <c r="K690" s="75"/>
      <c r="L690" s="75" t="s">
        <v>957</v>
      </c>
      <c r="M690" s="75" t="s">
        <v>16</v>
      </c>
      <c r="N690" s="145"/>
      <c r="O690" s="73"/>
      <c r="P690" s="185"/>
      <c r="Q690" s="267" t="s">
        <v>1045</v>
      </c>
    </row>
    <row r="691" spans="1:17" ht="19.5" hidden="1" customHeight="1" x14ac:dyDescent="0.3">
      <c r="B691" s="75" t="s">
        <v>638</v>
      </c>
      <c r="C691" s="462">
        <v>45881.395833333336</v>
      </c>
      <c r="D691" s="462"/>
      <c r="E691" s="462"/>
      <c r="F691" s="78" t="s">
        <v>22</v>
      </c>
      <c r="G691" s="57">
        <v>8700</v>
      </c>
      <c r="H691" s="57" t="s">
        <v>621</v>
      </c>
      <c r="I691" s="232" t="s">
        <v>17</v>
      </c>
      <c r="J691" s="232" t="s">
        <v>1040</v>
      </c>
      <c r="K691" s="75"/>
      <c r="L691" s="75"/>
      <c r="M691" s="75"/>
      <c r="N691" s="145"/>
      <c r="O691" s="73"/>
      <c r="P691" s="185"/>
      <c r="Q691" s="267"/>
    </row>
    <row r="692" spans="1:17" ht="19.5" hidden="1" customHeight="1" x14ac:dyDescent="0.3">
      <c r="B692" s="75" t="s">
        <v>31</v>
      </c>
      <c r="C692" s="462">
        <v>45882.375</v>
      </c>
      <c r="D692" s="462"/>
      <c r="E692" s="462"/>
      <c r="F692" s="78" t="s">
        <v>531</v>
      </c>
      <c r="G692" s="78">
        <v>3600</v>
      </c>
      <c r="H692" s="57" t="s">
        <v>94</v>
      </c>
      <c r="I692" s="232" t="s">
        <v>11</v>
      </c>
      <c r="J692" s="232" t="s">
        <v>865</v>
      </c>
      <c r="K692" s="75"/>
      <c r="L692" s="75" t="s">
        <v>957</v>
      </c>
      <c r="M692" s="75" t="s">
        <v>16</v>
      </c>
      <c r="N692" s="145"/>
      <c r="O692" s="73"/>
      <c r="P692" s="185"/>
      <c r="Q692" s="267" t="s">
        <v>1048</v>
      </c>
    </row>
    <row r="693" spans="1:17" ht="19.5" hidden="1" customHeight="1" x14ac:dyDescent="0.3">
      <c r="B693" s="95" t="s">
        <v>632</v>
      </c>
      <c r="C693" s="479">
        <v>45883.75</v>
      </c>
      <c r="D693" s="479"/>
      <c r="E693" s="479"/>
      <c r="F693" s="96" t="s">
        <v>22</v>
      </c>
      <c r="G693" s="152">
        <v>8700</v>
      </c>
      <c r="H693" s="152" t="s">
        <v>621</v>
      </c>
      <c r="I693" s="229" t="s">
        <v>17</v>
      </c>
      <c r="J693" s="229" t="s">
        <v>1040</v>
      </c>
      <c r="K693" s="95"/>
      <c r="L693" s="95"/>
      <c r="M693" s="95"/>
      <c r="N693" s="124"/>
      <c r="O693" s="86"/>
      <c r="P693" s="179"/>
      <c r="Q693" s="268"/>
    </row>
    <row r="694" spans="1:17" ht="19.5" hidden="1" customHeight="1" x14ac:dyDescent="0.3">
      <c r="B694" s="95" t="s">
        <v>638</v>
      </c>
      <c r="C694" s="479">
        <v>45884.333333333336</v>
      </c>
      <c r="D694" s="479"/>
      <c r="E694" s="479"/>
      <c r="F694" s="96" t="s">
        <v>22</v>
      </c>
      <c r="G694" s="96">
        <v>8700</v>
      </c>
      <c r="H694" s="152" t="s">
        <v>621</v>
      </c>
      <c r="I694" s="229" t="s">
        <v>17</v>
      </c>
      <c r="J694" s="229" t="s">
        <v>1040</v>
      </c>
      <c r="K694" s="95"/>
      <c r="L694" s="51"/>
      <c r="M694" s="95"/>
      <c r="N694" s="124"/>
      <c r="O694" s="86"/>
      <c r="P694" s="179"/>
      <c r="Q694" s="268"/>
    </row>
    <row r="695" spans="1:17" ht="19.5" hidden="1" customHeight="1" x14ac:dyDescent="0.3">
      <c r="B695" s="95" t="s">
        <v>632</v>
      </c>
      <c r="C695" s="479">
        <v>45885.333333333336</v>
      </c>
      <c r="D695" s="479"/>
      <c r="E695" s="479"/>
      <c r="F695" s="96" t="s">
        <v>22</v>
      </c>
      <c r="G695" s="96">
        <v>8700</v>
      </c>
      <c r="H695" s="152" t="s">
        <v>621</v>
      </c>
      <c r="I695" s="229" t="s">
        <v>17</v>
      </c>
      <c r="J695" s="229" t="s">
        <v>1040</v>
      </c>
      <c r="K695" s="95"/>
      <c r="L695" s="51"/>
      <c r="M695" s="95"/>
      <c r="N695" s="124"/>
      <c r="O695" s="86"/>
      <c r="P695" s="179"/>
      <c r="Q695" s="268"/>
    </row>
    <row r="696" spans="1:17" ht="19.5" hidden="1" customHeight="1" x14ac:dyDescent="0.3">
      <c r="B696" s="95" t="s">
        <v>31</v>
      </c>
      <c r="C696" s="479" t="s">
        <v>1052</v>
      </c>
      <c r="D696" s="479"/>
      <c r="E696" s="479"/>
      <c r="F696" s="96" t="s">
        <v>531</v>
      </c>
      <c r="G696" s="96">
        <v>5000</v>
      </c>
      <c r="H696" s="152" t="s">
        <v>94</v>
      </c>
      <c r="I696" s="229" t="s">
        <v>11</v>
      </c>
      <c r="J696" s="229" t="s">
        <v>865</v>
      </c>
      <c r="K696" s="95"/>
      <c r="L696" s="95"/>
      <c r="M696" s="95" t="s">
        <v>16</v>
      </c>
      <c r="N696" s="124"/>
      <c r="O696" s="86"/>
      <c r="P696" s="179"/>
      <c r="Q696" s="268"/>
    </row>
    <row r="697" spans="1:17" ht="19.5" hidden="1" customHeight="1" x14ac:dyDescent="0.3">
      <c r="B697" s="95" t="s">
        <v>638</v>
      </c>
      <c r="C697" s="479" t="s">
        <v>1049</v>
      </c>
      <c r="D697" s="479"/>
      <c r="E697" s="479"/>
      <c r="F697" s="96" t="s">
        <v>22</v>
      </c>
      <c r="G697" s="96">
        <v>8700</v>
      </c>
      <c r="H697" s="152" t="s">
        <v>621</v>
      </c>
      <c r="I697" s="229" t="s">
        <v>17</v>
      </c>
      <c r="J697" s="229" t="s">
        <v>1040</v>
      </c>
      <c r="K697" s="95"/>
      <c r="L697" s="51"/>
      <c r="M697" s="95"/>
      <c r="N697" s="124"/>
      <c r="O697" s="86"/>
      <c r="P697" s="179"/>
      <c r="Q697" s="268"/>
    </row>
    <row r="698" spans="1:17" ht="19.5" hidden="1" customHeight="1" x14ac:dyDescent="0.3">
      <c r="B698" s="429" t="s">
        <v>834</v>
      </c>
      <c r="C698" s="462" t="s">
        <v>1053</v>
      </c>
      <c r="D698" s="462"/>
      <c r="E698" s="462"/>
      <c r="F698" s="463" t="s">
        <v>1014</v>
      </c>
      <c r="G698" s="78">
        <v>5000</v>
      </c>
      <c r="H698" s="464" t="s">
        <v>224</v>
      </c>
      <c r="I698" s="232" t="s">
        <v>18</v>
      </c>
      <c r="J698" s="232" t="s">
        <v>1064</v>
      </c>
      <c r="K698" s="75"/>
      <c r="L698" s="429"/>
      <c r="M698" s="429" t="s">
        <v>53</v>
      </c>
      <c r="N698" s="532"/>
      <c r="O698" s="533"/>
      <c r="P698" s="529"/>
      <c r="Q698" s="535" t="s">
        <v>1067</v>
      </c>
    </row>
    <row r="699" spans="1:17" ht="19.5" hidden="1" customHeight="1" x14ac:dyDescent="0.3">
      <c r="B699" s="429"/>
      <c r="C699" s="462"/>
      <c r="D699" s="462"/>
      <c r="E699" s="462"/>
      <c r="F699" s="463"/>
      <c r="G699" s="78">
        <v>4000</v>
      </c>
      <c r="H699" s="464"/>
      <c r="I699" s="272" t="s">
        <v>11</v>
      </c>
      <c r="J699" s="272" t="s">
        <v>1066</v>
      </c>
      <c r="K699" s="75"/>
      <c r="L699" s="429"/>
      <c r="M699" s="429"/>
      <c r="N699" s="532"/>
      <c r="O699" s="533"/>
      <c r="P699" s="529"/>
      <c r="Q699" s="535"/>
    </row>
    <row r="700" spans="1:17" ht="19.5" hidden="1" customHeight="1" x14ac:dyDescent="0.3">
      <c r="A700" s="153" t="s">
        <v>1073</v>
      </c>
      <c r="B700" s="429"/>
      <c r="C700" s="462"/>
      <c r="D700" s="462"/>
      <c r="E700" s="462"/>
      <c r="F700" s="463"/>
      <c r="G700" s="78">
        <v>8000</v>
      </c>
      <c r="H700" s="464"/>
      <c r="I700" s="272" t="s">
        <v>1062</v>
      </c>
      <c r="J700" s="272" t="s">
        <v>1063</v>
      </c>
      <c r="K700" s="75"/>
      <c r="L700" s="429"/>
      <c r="M700" s="429"/>
      <c r="N700" s="532"/>
      <c r="O700" s="533"/>
      <c r="P700" s="529"/>
      <c r="Q700" s="535"/>
    </row>
    <row r="701" spans="1:17" ht="19.5" hidden="1" customHeight="1" x14ac:dyDescent="0.3">
      <c r="B701" s="95" t="s">
        <v>31</v>
      </c>
      <c r="C701" s="479">
        <v>45892.291666666664</v>
      </c>
      <c r="D701" s="479"/>
      <c r="E701" s="479"/>
      <c r="F701" s="96" t="s">
        <v>531</v>
      </c>
      <c r="G701" s="97">
        <v>3400</v>
      </c>
      <c r="H701" s="152" t="s">
        <v>94</v>
      </c>
      <c r="I701" s="229" t="s">
        <v>11</v>
      </c>
      <c r="J701" s="229" t="s">
        <v>737</v>
      </c>
      <c r="K701" s="95"/>
      <c r="L701" s="95"/>
      <c r="M701" s="95" t="s">
        <v>16</v>
      </c>
      <c r="N701" s="124"/>
      <c r="O701" s="86"/>
      <c r="P701" s="179"/>
      <c r="Q701" s="268"/>
    </row>
    <row r="702" spans="1:17" ht="19.5" hidden="1" customHeight="1" x14ac:dyDescent="0.3">
      <c r="B702" s="95" t="s">
        <v>638</v>
      </c>
      <c r="C702" s="479">
        <v>45892.458333333336</v>
      </c>
      <c r="D702" s="479"/>
      <c r="E702" s="479"/>
      <c r="F702" s="96" t="s">
        <v>22</v>
      </c>
      <c r="G702" s="97">
        <v>8700</v>
      </c>
      <c r="H702" s="152" t="s">
        <v>621</v>
      </c>
      <c r="I702" s="229" t="s">
        <v>17</v>
      </c>
      <c r="J702" s="229" t="s">
        <v>1055</v>
      </c>
      <c r="K702" s="95"/>
      <c r="L702" s="95"/>
      <c r="M702" s="95"/>
      <c r="N702" s="124"/>
      <c r="O702" s="86"/>
      <c r="P702" s="179"/>
      <c r="Q702" s="268"/>
    </row>
    <row r="703" spans="1:17" ht="19.5" hidden="1" customHeight="1" x14ac:dyDescent="0.3">
      <c r="B703" s="429" t="s">
        <v>632</v>
      </c>
      <c r="C703" s="462">
        <v>45895.326388888891</v>
      </c>
      <c r="D703" s="462"/>
      <c r="E703" s="462"/>
      <c r="F703" s="463" t="s">
        <v>22</v>
      </c>
      <c r="G703" s="78">
        <v>4500</v>
      </c>
      <c r="H703" s="464" t="s">
        <v>621</v>
      </c>
      <c r="I703" s="232" t="s">
        <v>17</v>
      </c>
      <c r="J703" s="232" t="s">
        <v>1055</v>
      </c>
      <c r="K703" s="75"/>
      <c r="L703" s="75"/>
      <c r="M703" s="75"/>
      <c r="N703" s="145" t="s">
        <v>254</v>
      </c>
      <c r="O703" s="73" t="s">
        <v>964</v>
      </c>
      <c r="P703" s="185"/>
      <c r="Q703" s="267"/>
    </row>
    <row r="704" spans="1:17" ht="19.5" hidden="1" customHeight="1" x14ac:dyDescent="0.3">
      <c r="B704" s="429"/>
      <c r="C704" s="462"/>
      <c r="D704" s="462"/>
      <c r="E704" s="462"/>
      <c r="F704" s="463"/>
      <c r="G704" s="78">
        <f>8700-4500</f>
        <v>4200</v>
      </c>
      <c r="H704" s="464"/>
      <c r="I704" s="232" t="s">
        <v>1074</v>
      </c>
      <c r="J704" s="232" t="s">
        <v>1077</v>
      </c>
      <c r="K704" s="75"/>
      <c r="L704" s="75"/>
      <c r="M704" s="75"/>
      <c r="N704" s="145"/>
      <c r="O704" s="73"/>
      <c r="P704" s="185"/>
      <c r="Q704" s="267"/>
    </row>
    <row r="705" spans="2:17" ht="19.5" hidden="1" customHeight="1" x14ac:dyDescent="0.3">
      <c r="B705" s="450" t="s">
        <v>31</v>
      </c>
      <c r="C705" s="479">
        <v>45896.625</v>
      </c>
      <c r="D705" s="479"/>
      <c r="E705" s="479"/>
      <c r="F705" s="564" t="s">
        <v>531</v>
      </c>
      <c r="G705" s="97">
        <v>3000</v>
      </c>
      <c r="H705" s="562" t="s">
        <v>94</v>
      </c>
      <c r="I705" s="229" t="s">
        <v>11</v>
      </c>
      <c r="J705" s="229" t="s">
        <v>737</v>
      </c>
      <c r="K705" s="95"/>
      <c r="L705" s="95"/>
      <c r="M705" s="450" t="s">
        <v>16</v>
      </c>
      <c r="N705" s="124" t="s">
        <v>254</v>
      </c>
      <c r="O705" s="86" t="s">
        <v>964</v>
      </c>
      <c r="P705" s="179"/>
      <c r="Q705" s="268"/>
    </row>
    <row r="706" spans="2:17" ht="19.5" hidden="1" customHeight="1" x14ac:dyDescent="0.3">
      <c r="B706" s="450"/>
      <c r="C706" s="479"/>
      <c r="D706" s="479"/>
      <c r="E706" s="479"/>
      <c r="F706" s="564"/>
      <c r="G706" s="97">
        <v>2000</v>
      </c>
      <c r="H706" s="562"/>
      <c r="I706" s="229" t="s">
        <v>1074</v>
      </c>
      <c r="J706" s="229" t="s">
        <v>1075</v>
      </c>
      <c r="K706" s="95"/>
      <c r="L706" s="95"/>
      <c r="M706" s="450"/>
      <c r="N706" s="124"/>
      <c r="O706" s="86"/>
      <c r="P706" s="179"/>
      <c r="Q706" s="268"/>
    </row>
    <row r="707" spans="2:17" ht="19.5" hidden="1" customHeight="1" x14ac:dyDescent="0.3">
      <c r="B707" s="450" t="s">
        <v>834</v>
      </c>
      <c r="C707" s="479">
        <v>45898.791666666664</v>
      </c>
      <c r="D707" s="479"/>
      <c r="E707" s="479"/>
      <c r="F707" s="553" t="s">
        <v>1014</v>
      </c>
      <c r="G707" s="96">
        <v>5500</v>
      </c>
      <c r="H707" s="562" t="s">
        <v>224</v>
      </c>
      <c r="I707" s="229" t="s">
        <v>18</v>
      </c>
      <c r="J707" s="86" t="s">
        <v>1078</v>
      </c>
      <c r="K707" s="95"/>
      <c r="L707" s="86"/>
      <c r="M707" s="450" t="s">
        <v>16</v>
      </c>
      <c r="N707" s="124" t="s">
        <v>254</v>
      </c>
      <c r="O707" s="86" t="s">
        <v>964</v>
      </c>
      <c r="P707" s="179"/>
      <c r="Q707" s="558"/>
    </row>
    <row r="708" spans="2:17" ht="19.5" hidden="1" customHeight="1" x14ac:dyDescent="0.3">
      <c r="B708" s="450"/>
      <c r="C708" s="479"/>
      <c r="D708" s="479"/>
      <c r="E708" s="479"/>
      <c r="F708" s="553"/>
      <c r="G708" s="96">
        <v>8000</v>
      </c>
      <c r="H708" s="562"/>
      <c r="I708" s="229" t="s">
        <v>11</v>
      </c>
      <c r="J708" s="86" t="s">
        <v>1082</v>
      </c>
      <c r="K708" s="95"/>
      <c r="L708" s="86"/>
      <c r="M708" s="450"/>
      <c r="N708" s="124" t="s">
        <v>254</v>
      </c>
      <c r="O708" s="86" t="s">
        <v>964</v>
      </c>
      <c r="P708" s="179"/>
      <c r="Q708" s="558"/>
    </row>
    <row r="709" spans="2:17" ht="19.5" hidden="1" customHeight="1" x14ac:dyDescent="0.3">
      <c r="B709" s="450"/>
      <c r="C709" s="479"/>
      <c r="D709" s="479"/>
      <c r="E709" s="479"/>
      <c r="F709" s="553"/>
      <c r="G709" s="96">
        <v>3500</v>
      </c>
      <c r="H709" s="562"/>
      <c r="I709" s="229" t="s">
        <v>1074</v>
      </c>
      <c r="J709" s="86" t="s">
        <v>1081</v>
      </c>
      <c r="K709" s="95"/>
      <c r="L709" s="86"/>
      <c r="M709" s="450"/>
      <c r="N709" s="124"/>
      <c r="O709" s="86"/>
      <c r="P709" s="179"/>
      <c r="Q709" s="558"/>
    </row>
    <row r="710" spans="2:17" ht="19.5" hidden="1" customHeight="1" x14ac:dyDescent="0.3">
      <c r="B710" s="75" t="s">
        <v>638</v>
      </c>
      <c r="C710" s="462">
        <v>45903.034722222219</v>
      </c>
      <c r="D710" s="462"/>
      <c r="E710" s="462"/>
      <c r="F710" s="78" t="s">
        <v>22</v>
      </c>
      <c r="G710" s="78">
        <v>8694</v>
      </c>
      <c r="H710" s="57" t="s">
        <v>621</v>
      </c>
      <c r="I710" s="232" t="s">
        <v>1074</v>
      </c>
      <c r="J710" s="73" t="s">
        <v>1087</v>
      </c>
      <c r="K710" s="75"/>
      <c r="L710" s="73"/>
      <c r="M710" s="75"/>
      <c r="N710" s="145"/>
      <c r="O710" s="73"/>
      <c r="P710" s="185"/>
      <c r="Q710" s="267"/>
    </row>
    <row r="711" spans="2:17" ht="19.5" hidden="1" customHeight="1" x14ac:dyDescent="0.3">
      <c r="B711" s="75" t="s">
        <v>31</v>
      </c>
      <c r="C711" s="462">
        <v>45903.618055555555</v>
      </c>
      <c r="D711" s="462"/>
      <c r="E711" s="462"/>
      <c r="F711" s="78" t="s">
        <v>531</v>
      </c>
      <c r="G711" s="78">
        <v>5000</v>
      </c>
      <c r="H711" s="57" t="s">
        <v>94</v>
      </c>
      <c r="I711" s="232" t="s">
        <v>1074</v>
      </c>
      <c r="J711" s="73" t="s">
        <v>1088</v>
      </c>
      <c r="K711" s="75"/>
      <c r="L711" s="73" t="s">
        <v>957</v>
      </c>
      <c r="M711" s="75" t="s">
        <v>16</v>
      </c>
      <c r="N711" s="145"/>
      <c r="O711" s="73"/>
      <c r="P711" s="185"/>
      <c r="Q711" s="267"/>
    </row>
    <row r="712" spans="2:17" ht="19.5" hidden="1" customHeight="1" x14ac:dyDescent="0.3">
      <c r="B712" s="429" t="s">
        <v>1085</v>
      </c>
      <c r="C712" s="462">
        <v>45903.916666666664</v>
      </c>
      <c r="D712" s="462"/>
      <c r="E712" s="462"/>
      <c r="F712" s="463" t="s">
        <v>1014</v>
      </c>
      <c r="G712" s="78">
        <v>3000</v>
      </c>
      <c r="H712" s="464" t="s">
        <v>224</v>
      </c>
      <c r="I712" s="232" t="s">
        <v>11</v>
      </c>
      <c r="J712" s="73" t="s">
        <v>874</v>
      </c>
      <c r="K712" s="75"/>
      <c r="L712" s="73"/>
      <c r="M712" s="429" t="s">
        <v>16</v>
      </c>
      <c r="N712" s="145" t="s">
        <v>254</v>
      </c>
      <c r="O712" s="73" t="s">
        <v>964</v>
      </c>
      <c r="P712" s="185"/>
      <c r="Q712" s="267"/>
    </row>
    <row r="713" spans="2:17" ht="19.5" hidden="1" customHeight="1" x14ac:dyDescent="0.3">
      <c r="B713" s="429"/>
      <c r="C713" s="462"/>
      <c r="D713" s="462"/>
      <c r="E713" s="462"/>
      <c r="F713" s="463"/>
      <c r="G713" s="78">
        <v>715</v>
      </c>
      <c r="H713" s="464"/>
      <c r="I713" s="232" t="s">
        <v>1074</v>
      </c>
      <c r="J713" s="73" t="s">
        <v>651</v>
      </c>
      <c r="K713" s="75"/>
      <c r="L713" s="73"/>
      <c r="M713" s="429"/>
      <c r="N713" s="145"/>
      <c r="O713" s="73"/>
      <c r="P713" s="185"/>
      <c r="Q713" s="267"/>
    </row>
    <row r="714" spans="2:17" ht="19.5" hidden="1" customHeight="1" x14ac:dyDescent="0.3">
      <c r="B714" s="75" t="s">
        <v>1086</v>
      </c>
      <c r="C714" s="462">
        <v>45904.673611111109</v>
      </c>
      <c r="D714" s="462"/>
      <c r="E714" s="462"/>
      <c r="F714" s="78" t="s">
        <v>602</v>
      </c>
      <c r="G714" s="78">
        <v>5875</v>
      </c>
      <c r="H714" s="57" t="s">
        <v>621</v>
      </c>
      <c r="I714" s="232" t="s">
        <v>17</v>
      </c>
      <c r="J714" s="73" t="s">
        <v>1096</v>
      </c>
      <c r="K714" s="75"/>
      <c r="L714" s="73" t="s">
        <v>953</v>
      </c>
      <c r="M714" s="75" t="s">
        <v>16</v>
      </c>
      <c r="N714" s="145"/>
      <c r="O714" s="73"/>
      <c r="P714" s="185"/>
      <c r="Q714" s="267"/>
    </row>
    <row r="715" spans="2:17" ht="19.5" hidden="1" customHeight="1" x14ac:dyDescent="0.3">
      <c r="B715" s="450" t="s">
        <v>632</v>
      </c>
      <c r="C715" s="479">
        <v>45905.75</v>
      </c>
      <c r="D715" s="479"/>
      <c r="E715" s="479"/>
      <c r="F715" s="257" t="s">
        <v>22</v>
      </c>
      <c r="G715" s="192">
        <v>2377</v>
      </c>
      <c r="H715" s="152" t="s">
        <v>621</v>
      </c>
      <c r="I715" s="229" t="s">
        <v>1074</v>
      </c>
      <c r="J715" s="100" t="s">
        <v>194</v>
      </c>
      <c r="K715" s="95"/>
      <c r="L715" s="95"/>
      <c r="M715" s="450" t="s">
        <v>16</v>
      </c>
      <c r="N715" s="124" t="s">
        <v>254</v>
      </c>
      <c r="O715" s="86" t="s">
        <v>964</v>
      </c>
      <c r="P715" s="179"/>
      <c r="Q715" s="268"/>
    </row>
    <row r="716" spans="2:17" ht="19.5" hidden="1" customHeight="1" x14ac:dyDescent="0.3">
      <c r="B716" s="450"/>
      <c r="C716" s="479"/>
      <c r="D716" s="479"/>
      <c r="E716" s="479"/>
      <c r="F716" s="257" t="s">
        <v>602</v>
      </c>
      <c r="G716" s="96">
        <v>6223</v>
      </c>
      <c r="H716" s="152" t="s">
        <v>621</v>
      </c>
      <c r="I716" s="229" t="s">
        <v>17</v>
      </c>
      <c r="J716" s="100" t="s">
        <v>1098</v>
      </c>
      <c r="K716" s="95"/>
      <c r="L716" s="95"/>
      <c r="M716" s="450"/>
      <c r="N716" s="124"/>
      <c r="O716" s="86"/>
      <c r="P716" s="179"/>
      <c r="Q716" s="268"/>
    </row>
    <row r="717" spans="2:17" hidden="1" x14ac:dyDescent="0.3">
      <c r="B717" s="75" t="s">
        <v>638</v>
      </c>
      <c r="C717" s="462">
        <v>45910.357638888891</v>
      </c>
      <c r="D717" s="462"/>
      <c r="E717" s="462"/>
      <c r="F717" s="78" t="s">
        <v>602</v>
      </c>
      <c r="G717" s="78">
        <v>4700</v>
      </c>
      <c r="H717" s="57" t="s">
        <v>621</v>
      </c>
      <c r="I717" s="232" t="s">
        <v>17</v>
      </c>
      <c r="J717" s="232" t="s">
        <v>1100</v>
      </c>
      <c r="K717" s="75"/>
      <c r="L717" s="75" t="s">
        <v>953</v>
      </c>
      <c r="M717" s="75" t="s">
        <v>16</v>
      </c>
      <c r="N717" s="145"/>
      <c r="O717" s="73"/>
      <c r="P717" s="185"/>
      <c r="Q717" s="267"/>
    </row>
    <row r="718" spans="2:17" ht="19.5" hidden="1" customHeight="1" x14ac:dyDescent="0.3">
      <c r="B718" s="75" t="s">
        <v>31</v>
      </c>
      <c r="C718" s="462">
        <v>45912.270833333336</v>
      </c>
      <c r="D718" s="462"/>
      <c r="E718" s="462"/>
      <c r="F718" s="78" t="s">
        <v>531</v>
      </c>
      <c r="G718" s="78">
        <v>5000</v>
      </c>
      <c r="H718" s="57" t="s">
        <v>94</v>
      </c>
      <c r="I718" s="232" t="s">
        <v>1074</v>
      </c>
      <c r="J718" s="232" t="s">
        <v>1097</v>
      </c>
      <c r="K718" s="75"/>
      <c r="L718" s="75" t="s">
        <v>953</v>
      </c>
      <c r="M718" s="75" t="s">
        <v>16</v>
      </c>
      <c r="N718" s="145"/>
      <c r="O718" s="73"/>
      <c r="P718" s="185"/>
      <c r="Q718" s="267"/>
    </row>
    <row r="719" spans="2:17" ht="19.5" hidden="1" customHeight="1" x14ac:dyDescent="0.3">
      <c r="B719" s="95" t="s">
        <v>638</v>
      </c>
      <c r="C719" s="479">
        <v>45912.916666666664</v>
      </c>
      <c r="D719" s="479"/>
      <c r="E719" s="479"/>
      <c r="F719" s="97" t="s">
        <v>602</v>
      </c>
      <c r="G719" s="257">
        <v>4000</v>
      </c>
      <c r="H719" s="152" t="s">
        <v>621</v>
      </c>
      <c r="I719" s="229" t="s">
        <v>17</v>
      </c>
      <c r="J719" s="229" t="s">
        <v>1100</v>
      </c>
      <c r="K719" s="95"/>
      <c r="L719" s="95" t="s">
        <v>953</v>
      </c>
      <c r="M719" s="95" t="s">
        <v>16</v>
      </c>
      <c r="N719" s="124"/>
      <c r="O719" s="86"/>
      <c r="P719" s="179"/>
      <c r="Q719" s="268"/>
    </row>
    <row r="720" spans="2:17" ht="19.5" hidden="1" customHeight="1" x14ac:dyDescent="0.3">
      <c r="B720" s="75" t="s">
        <v>1103</v>
      </c>
      <c r="C720" s="462">
        <v>45915.416666666664</v>
      </c>
      <c r="D720" s="462"/>
      <c r="E720" s="462"/>
      <c r="F720" s="78" t="s">
        <v>1105</v>
      </c>
      <c r="G720" s="78">
        <v>15000</v>
      </c>
      <c r="H720" s="57" t="s">
        <v>710</v>
      </c>
      <c r="I720" s="232" t="s">
        <v>11</v>
      </c>
      <c r="J720" s="232" t="s">
        <v>1104</v>
      </c>
      <c r="K720" s="75"/>
      <c r="L720" s="75"/>
      <c r="M720" s="75"/>
      <c r="N720" s="145"/>
      <c r="O720" s="73"/>
      <c r="P720" s="185"/>
      <c r="Q720" s="267"/>
    </row>
    <row r="721" spans="1:17" ht="19.5" hidden="1" customHeight="1" x14ac:dyDescent="0.3">
      <c r="B721" s="95" t="s">
        <v>638</v>
      </c>
      <c r="C721" s="479">
        <v>45917.291666666664</v>
      </c>
      <c r="D721" s="479"/>
      <c r="E721" s="479"/>
      <c r="F721" s="97" t="s">
        <v>602</v>
      </c>
      <c r="G721" s="96">
        <v>3000</v>
      </c>
      <c r="H721" s="152" t="s">
        <v>621</v>
      </c>
      <c r="I721" s="229" t="s">
        <v>11</v>
      </c>
      <c r="J721" s="229" t="s">
        <v>1106</v>
      </c>
      <c r="K721" s="95"/>
      <c r="L721" s="95"/>
      <c r="M721" s="95"/>
      <c r="N721" s="124"/>
      <c r="O721" s="86"/>
      <c r="P721" s="179"/>
      <c r="Q721" s="268"/>
    </row>
    <row r="722" spans="1:17" ht="19.5" hidden="1" customHeight="1" x14ac:dyDescent="0.3">
      <c r="B722" s="95" t="s">
        <v>632</v>
      </c>
      <c r="C722" s="479">
        <v>45917.5</v>
      </c>
      <c r="D722" s="479"/>
      <c r="E722" s="479"/>
      <c r="F722" s="97" t="s">
        <v>602</v>
      </c>
      <c r="G722" s="96">
        <v>8600</v>
      </c>
      <c r="H722" s="152" t="s">
        <v>621</v>
      </c>
      <c r="I722" s="229" t="s">
        <v>11</v>
      </c>
      <c r="J722" s="229" t="s">
        <v>1106</v>
      </c>
      <c r="K722" s="95"/>
      <c r="L722" s="95"/>
      <c r="M722" s="95"/>
      <c r="N722" s="124"/>
      <c r="O722" s="86"/>
      <c r="P722" s="179"/>
      <c r="Q722" s="268"/>
    </row>
    <row r="723" spans="1:17" ht="19.5" hidden="1" customHeight="1" x14ac:dyDescent="0.3">
      <c r="B723" s="75" t="s">
        <v>31</v>
      </c>
      <c r="C723" s="462">
        <v>45918.482638888891</v>
      </c>
      <c r="D723" s="462"/>
      <c r="E723" s="462"/>
      <c r="F723" s="78" t="s">
        <v>602</v>
      </c>
      <c r="G723" s="78">
        <v>5000</v>
      </c>
      <c r="H723" s="57" t="s">
        <v>621</v>
      </c>
      <c r="I723" s="232" t="s">
        <v>1074</v>
      </c>
      <c r="J723" s="232" t="s">
        <v>1107</v>
      </c>
      <c r="K723" s="75"/>
      <c r="L723" s="75"/>
      <c r="M723" s="75" t="s">
        <v>16</v>
      </c>
      <c r="N723" s="145"/>
      <c r="O723" s="73"/>
      <c r="P723" s="185"/>
      <c r="Q723" s="267"/>
    </row>
    <row r="724" spans="1:17" ht="19.5" hidden="1" customHeight="1" x14ac:dyDescent="0.3">
      <c r="B724" s="95" t="s">
        <v>632</v>
      </c>
      <c r="C724" s="479">
        <v>45918.833333333336</v>
      </c>
      <c r="D724" s="479"/>
      <c r="E724" s="479"/>
      <c r="F724" s="97" t="s">
        <v>602</v>
      </c>
      <c r="G724" s="96">
        <v>8600</v>
      </c>
      <c r="H724" s="152" t="s">
        <v>621</v>
      </c>
      <c r="I724" s="229" t="s">
        <v>11</v>
      </c>
      <c r="J724" s="229" t="s">
        <v>1106</v>
      </c>
      <c r="K724" s="95"/>
      <c r="L724" s="95"/>
      <c r="M724" s="95"/>
      <c r="N724" s="124"/>
      <c r="O724" s="86"/>
      <c r="P724" s="179"/>
      <c r="Q724" s="268"/>
    </row>
    <row r="725" spans="1:17" hidden="1" x14ac:dyDescent="0.3">
      <c r="B725" s="450" t="s">
        <v>1112</v>
      </c>
      <c r="C725" s="479">
        <v>45920.791666666664</v>
      </c>
      <c r="D725" s="479"/>
      <c r="E725" s="479"/>
      <c r="F725" s="553" t="s">
        <v>1109</v>
      </c>
      <c r="G725" s="96">
        <v>25000</v>
      </c>
      <c r="H725" s="562" t="s">
        <v>710</v>
      </c>
      <c r="I725" s="229" t="s">
        <v>11</v>
      </c>
      <c r="J725" s="229" t="s">
        <v>1110</v>
      </c>
      <c r="K725" s="95"/>
      <c r="L725" s="95"/>
      <c r="M725" s="95"/>
      <c r="N725" s="124" t="s">
        <v>254</v>
      </c>
      <c r="O725" s="86" t="s">
        <v>964</v>
      </c>
      <c r="P725" s="179" t="s">
        <v>16</v>
      </c>
      <c r="Q725" s="558" t="s">
        <v>1111</v>
      </c>
    </row>
    <row r="726" spans="1:17" hidden="1" x14ac:dyDescent="0.3">
      <c r="B726" s="450"/>
      <c r="C726" s="479"/>
      <c r="D726" s="479"/>
      <c r="E726" s="479"/>
      <c r="F726" s="553"/>
      <c r="G726" s="96">
        <v>15000</v>
      </c>
      <c r="H726" s="562"/>
      <c r="I726" s="229" t="s">
        <v>17</v>
      </c>
      <c r="J726" s="229" t="s">
        <v>1061</v>
      </c>
      <c r="K726" s="95"/>
      <c r="L726" s="95"/>
      <c r="M726" s="95"/>
      <c r="N726" s="124"/>
      <c r="O726" s="86"/>
      <c r="P726" s="179"/>
      <c r="Q726" s="558"/>
    </row>
    <row r="727" spans="1:17" ht="19.5" hidden="1" customHeight="1" x14ac:dyDescent="0.3">
      <c r="B727" s="95" t="s">
        <v>638</v>
      </c>
      <c r="C727" s="479">
        <v>45922.833333333336</v>
      </c>
      <c r="D727" s="479"/>
      <c r="E727" s="479"/>
      <c r="F727" s="97" t="s">
        <v>602</v>
      </c>
      <c r="G727" s="96">
        <v>8750</v>
      </c>
      <c r="H727" s="152" t="s">
        <v>621</v>
      </c>
      <c r="I727" s="229" t="s">
        <v>11</v>
      </c>
      <c r="J727" s="280" t="s">
        <v>1106</v>
      </c>
      <c r="K727" s="95"/>
      <c r="L727" s="95"/>
      <c r="M727" s="95"/>
      <c r="N727" s="124"/>
      <c r="O727" s="86"/>
      <c r="P727" s="179"/>
      <c r="Q727" s="268"/>
    </row>
    <row r="728" spans="1:17" ht="19.5" hidden="1" customHeight="1" x14ac:dyDescent="0.3">
      <c r="B728" s="95" t="s">
        <v>31</v>
      </c>
      <c r="C728" s="479" t="s">
        <v>1113</v>
      </c>
      <c r="D728" s="479"/>
      <c r="E728" s="479"/>
      <c r="F728" s="97" t="s">
        <v>602</v>
      </c>
      <c r="G728" s="96">
        <v>5000</v>
      </c>
      <c r="H728" s="152" t="s">
        <v>621</v>
      </c>
      <c r="I728" s="229" t="s">
        <v>1074</v>
      </c>
      <c r="J728" s="280" t="s">
        <v>809</v>
      </c>
      <c r="K728" s="95"/>
      <c r="L728" s="95" t="s">
        <v>957</v>
      </c>
      <c r="M728" s="95" t="s">
        <v>16</v>
      </c>
      <c r="N728" s="124"/>
      <c r="O728" s="86"/>
      <c r="P728" s="179"/>
      <c r="Q728" s="268"/>
    </row>
    <row r="729" spans="1:17" s="279" customFormat="1" ht="19.5" hidden="1" customHeight="1" x14ac:dyDescent="0.3">
      <c r="A729" s="278"/>
      <c r="B729" s="75" t="s">
        <v>632</v>
      </c>
      <c r="C729" s="462">
        <v>45930.364583333336</v>
      </c>
      <c r="D729" s="462"/>
      <c r="E729" s="462"/>
      <c r="F729" s="78" t="s">
        <v>602</v>
      </c>
      <c r="G729" s="78">
        <v>8700</v>
      </c>
      <c r="H729" s="57" t="s">
        <v>621</v>
      </c>
      <c r="I729" s="232" t="s">
        <v>11</v>
      </c>
      <c r="J729" s="232" t="s">
        <v>1118</v>
      </c>
      <c r="K729" s="75"/>
      <c r="L729" s="75"/>
      <c r="M729" s="75"/>
      <c r="N729" s="145"/>
      <c r="O729" s="73"/>
      <c r="P729" s="185"/>
      <c r="Q729" s="267"/>
    </row>
    <row r="730" spans="1:17" s="279" customFormat="1" ht="19.5" hidden="1" customHeight="1" x14ac:dyDescent="0.3">
      <c r="A730" s="278"/>
      <c r="B730" s="85" t="s">
        <v>1103</v>
      </c>
      <c r="C730" s="461">
        <v>45932.791666666664</v>
      </c>
      <c r="D730" s="461"/>
      <c r="E730" s="461"/>
      <c r="F730" s="97" t="s">
        <v>1136</v>
      </c>
      <c r="G730" s="97">
        <v>11786</v>
      </c>
      <c r="H730" s="239" t="s">
        <v>710</v>
      </c>
      <c r="I730" s="229" t="s">
        <v>17</v>
      </c>
      <c r="J730" s="229" t="s">
        <v>1131</v>
      </c>
      <c r="K730" s="85"/>
      <c r="L730" s="85"/>
      <c r="M730" s="85"/>
      <c r="N730" s="124" t="s">
        <v>1126</v>
      </c>
      <c r="O730" s="86" t="s">
        <v>964</v>
      </c>
      <c r="P730" s="301"/>
      <c r="Q730" s="299" t="s">
        <v>1133</v>
      </c>
    </row>
    <row r="731" spans="1:17" s="279" customFormat="1" ht="19.5" hidden="1" customHeight="1" x14ac:dyDescent="0.3">
      <c r="A731" s="278"/>
      <c r="B731" s="85" t="s">
        <v>1103</v>
      </c>
      <c r="C731" s="461" t="s">
        <v>1119</v>
      </c>
      <c r="D731" s="461"/>
      <c r="E731" s="461"/>
      <c r="F731" s="97" t="s">
        <v>1105</v>
      </c>
      <c r="G731" s="97">
        <v>8000</v>
      </c>
      <c r="H731" s="239" t="s">
        <v>710</v>
      </c>
      <c r="I731" s="229" t="s">
        <v>11</v>
      </c>
      <c r="J731" s="229" t="s">
        <v>1132</v>
      </c>
      <c r="K731" s="85"/>
      <c r="L731" s="95"/>
      <c r="M731" s="95"/>
      <c r="N731" s="242"/>
      <c r="O731" s="69"/>
      <c r="P731" s="301"/>
      <c r="Q731" s="299" t="s">
        <v>1134</v>
      </c>
    </row>
    <row r="732" spans="1:17" s="279" customFormat="1" ht="19.5" hidden="1" customHeight="1" x14ac:dyDescent="0.3">
      <c r="A732" s="278"/>
      <c r="B732" s="85" t="s">
        <v>31</v>
      </c>
      <c r="C732" s="461">
        <v>45934.041666666664</v>
      </c>
      <c r="D732" s="461"/>
      <c r="E732" s="461"/>
      <c r="F732" s="97" t="s">
        <v>531</v>
      </c>
      <c r="G732" s="97">
        <v>5000</v>
      </c>
      <c r="H732" s="239" t="s">
        <v>94</v>
      </c>
      <c r="I732" s="229" t="s">
        <v>1074</v>
      </c>
      <c r="J732" s="229" t="s">
        <v>1123</v>
      </c>
      <c r="K732" s="85"/>
      <c r="L732" s="95" t="s">
        <v>953</v>
      </c>
      <c r="M732" s="95" t="s">
        <v>16</v>
      </c>
      <c r="N732" s="242"/>
      <c r="O732" s="69"/>
      <c r="P732" s="301"/>
      <c r="Q732" s="299"/>
    </row>
    <row r="733" spans="1:17" s="279" customFormat="1" ht="19.5" hidden="1" customHeight="1" x14ac:dyDescent="0.3">
      <c r="A733" s="278"/>
      <c r="B733" s="432" t="s">
        <v>1103</v>
      </c>
      <c r="C733" s="461">
        <v>45934.333333333336</v>
      </c>
      <c r="D733" s="461"/>
      <c r="E733" s="461"/>
      <c r="F733" s="553" t="s">
        <v>1105</v>
      </c>
      <c r="G733" s="97">
        <f>45000-25000-8000</f>
        <v>12000</v>
      </c>
      <c r="H733" s="469" t="s">
        <v>710</v>
      </c>
      <c r="I733" s="229" t="s">
        <v>11</v>
      </c>
      <c r="J733" s="229" t="s">
        <v>1132</v>
      </c>
      <c r="K733" s="85"/>
      <c r="L733" s="95"/>
      <c r="M733" s="95"/>
      <c r="N733" s="124" t="s">
        <v>1126</v>
      </c>
      <c r="O733" s="86" t="s">
        <v>964</v>
      </c>
      <c r="P733" s="301"/>
      <c r="Q733" s="561" t="s">
        <v>1134</v>
      </c>
    </row>
    <row r="734" spans="1:17" s="279" customFormat="1" ht="19.5" hidden="1" customHeight="1" x14ac:dyDescent="0.3">
      <c r="A734" s="278"/>
      <c r="B734" s="432"/>
      <c r="C734" s="461"/>
      <c r="D734" s="461"/>
      <c r="E734" s="461"/>
      <c r="F734" s="553"/>
      <c r="G734" s="97">
        <v>25000</v>
      </c>
      <c r="H734" s="469"/>
      <c r="I734" s="229" t="s">
        <v>17</v>
      </c>
      <c r="J734" s="229" t="s">
        <v>1121</v>
      </c>
      <c r="K734" s="85"/>
      <c r="L734" s="95"/>
      <c r="M734" s="95"/>
      <c r="N734" s="242"/>
      <c r="O734" s="69"/>
      <c r="P734" s="301"/>
      <c r="Q734" s="561"/>
    </row>
    <row r="735" spans="1:17" s="279" customFormat="1" ht="19.5" hidden="1" customHeight="1" x14ac:dyDescent="0.3">
      <c r="A735" s="278"/>
      <c r="B735" s="85" t="s">
        <v>31</v>
      </c>
      <c r="C735" s="461" t="s">
        <v>1129</v>
      </c>
      <c r="D735" s="461"/>
      <c r="E735" s="461"/>
      <c r="F735" s="97" t="s">
        <v>531</v>
      </c>
      <c r="G735" s="97">
        <v>5000</v>
      </c>
      <c r="H735" s="239" t="s">
        <v>94</v>
      </c>
      <c r="I735" s="229" t="s">
        <v>1074</v>
      </c>
      <c r="J735" s="229" t="s">
        <v>1123</v>
      </c>
      <c r="K735" s="85"/>
      <c r="L735" s="95" t="s">
        <v>953</v>
      </c>
      <c r="M735" s="95" t="s">
        <v>16</v>
      </c>
      <c r="N735" s="242"/>
      <c r="O735" s="69"/>
      <c r="P735" s="301"/>
      <c r="Q735" s="299"/>
    </row>
    <row r="736" spans="1:17" ht="19.5" hidden="1" customHeight="1" x14ac:dyDescent="0.3">
      <c r="B736" s="450" t="s">
        <v>632</v>
      </c>
      <c r="C736" s="479">
        <v>45941.333333333336</v>
      </c>
      <c r="D736" s="479"/>
      <c r="E736" s="479"/>
      <c r="F736" s="553" t="s">
        <v>602</v>
      </c>
      <c r="G736" s="96">
        <v>3603</v>
      </c>
      <c r="H736" s="562" t="s">
        <v>621</v>
      </c>
      <c r="I736" s="229" t="s">
        <v>11</v>
      </c>
      <c r="J736" s="280" t="s">
        <v>1139</v>
      </c>
      <c r="K736" s="95"/>
      <c r="L736" s="95"/>
      <c r="M736" s="95"/>
      <c r="N736" s="124" t="s">
        <v>1126</v>
      </c>
      <c r="O736" s="86" t="s">
        <v>964</v>
      </c>
      <c r="P736" s="95"/>
      <c r="Q736" s="299"/>
    </row>
    <row r="737" spans="1:17" ht="19.5" hidden="1" customHeight="1" x14ac:dyDescent="0.3">
      <c r="B737" s="450"/>
      <c r="C737" s="479"/>
      <c r="D737" s="479"/>
      <c r="E737" s="479"/>
      <c r="F737" s="553"/>
      <c r="G737" s="96">
        <v>3447</v>
      </c>
      <c r="H737" s="562"/>
      <c r="I737" s="229" t="s">
        <v>17</v>
      </c>
      <c r="J737" s="280" t="s">
        <v>980</v>
      </c>
      <c r="K737" s="95"/>
      <c r="L737" s="95" t="s">
        <v>27</v>
      </c>
      <c r="M737" s="95"/>
      <c r="N737" s="124" t="s">
        <v>1126</v>
      </c>
      <c r="O737" s="86" t="s">
        <v>964</v>
      </c>
      <c r="P737" s="95"/>
      <c r="Q737" s="299"/>
    </row>
    <row r="738" spans="1:17" hidden="1" x14ac:dyDescent="0.3">
      <c r="B738" s="450"/>
      <c r="C738" s="479"/>
      <c r="D738" s="479"/>
      <c r="E738" s="479"/>
      <c r="F738" s="97" t="s">
        <v>22</v>
      </c>
      <c r="G738" s="96">
        <f>8800-7050</f>
        <v>1750</v>
      </c>
      <c r="H738" s="562"/>
      <c r="I738" s="229" t="s">
        <v>17</v>
      </c>
      <c r="J738" s="280" t="s">
        <v>237</v>
      </c>
      <c r="K738" s="95"/>
      <c r="L738" s="95"/>
      <c r="M738" s="95"/>
      <c r="N738" s="124"/>
      <c r="O738" s="86"/>
      <c r="P738" s="95"/>
      <c r="Q738" s="299"/>
    </row>
    <row r="739" spans="1:17" s="279" customFormat="1" hidden="1" x14ac:dyDescent="0.3">
      <c r="A739" s="278"/>
      <c r="B739" s="85" t="s">
        <v>1103</v>
      </c>
      <c r="C739" s="461">
        <v>45941.791666666664</v>
      </c>
      <c r="D739" s="461"/>
      <c r="E739" s="461"/>
      <c r="F739" s="97" t="s">
        <v>1105</v>
      </c>
      <c r="G739" s="97">
        <f>45000-17926</f>
        <v>27074</v>
      </c>
      <c r="H739" s="239" t="s">
        <v>710</v>
      </c>
      <c r="I739" s="229" t="s">
        <v>11</v>
      </c>
      <c r="J739" s="229" t="s">
        <v>1132</v>
      </c>
      <c r="K739" s="85"/>
      <c r="L739" s="95"/>
      <c r="M739" s="95"/>
      <c r="N739" s="124" t="s">
        <v>1126</v>
      </c>
      <c r="O739" s="86" t="s">
        <v>964</v>
      </c>
      <c r="P739" s="301"/>
      <c r="Q739" s="299" t="s">
        <v>1134</v>
      </c>
    </row>
    <row r="740" spans="1:17" s="279" customFormat="1" hidden="1" x14ac:dyDescent="0.3">
      <c r="A740" s="278"/>
      <c r="B740" s="75" t="s">
        <v>31</v>
      </c>
      <c r="C740" s="462">
        <v>45945.520833333336</v>
      </c>
      <c r="D740" s="462"/>
      <c r="E740" s="462"/>
      <c r="F740" s="78" t="s">
        <v>531</v>
      </c>
      <c r="G740" s="78">
        <v>5000</v>
      </c>
      <c r="H740" s="57" t="s">
        <v>94</v>
      </c>
      <c r="I740" s="232" t="s">
        <v>1074</v>
      </c>
      <c r="J740" s="232" t="s">
        <v>889</v>
      </c>
      <c r="K740" s="75"/>
      <c r="L740" s="75" t="s">
        <v>957</v>
      </c>
      <c r="M740" s="75" t="s">
        <v>16</v>
      </c>
      <c r="N740" s="145"/>
      <c r="O740" s="73"/>
      <c r="P740" s="185" t="s">
        <v>16</v>
      </c>
      <c r="Q740" s="267"/>
    </row>
    <row r="741" spans="1:17" s="279" customFormat="1" hidden="1" x14ac:dyDescent="0.3">
      <c r="A741" s="278"/>
      <c r="B741" s="85" t="s">
        <v>1103</v>
      </c>
      <c r="C741" s="461">
        <v>45948.375</v>
      </c>
      <c r="D741" s="461"/>
      <c r="E741" s="461"/>
      <c r="F741" s="97" t="s">
        <v>1105</v>
      </c>
      <c r="G741" s="97">
        <v>10000</v>
      </c>
      <c r="H741" s="239" t="s">
        <v>710</v>
      </c>
      <c r="I741" s="229" t="s">
        <v>11</v>
      </c>
      <c r="J741" s="229" t="s">
        <v>1146</v>
      </c>
      <c r="K741" s="85"/>
      <c r="L741" s="95"/>
      <c r="M741" s="95"/>
      <c r="N741" s="124"/>
      <c r="O741" s="86"/>
      <c r="P741" s="301"/>
      <c r="Q741" s="299" t="s">
        <v>1148</v>
      </c>
    </row>
    <row r="742" spans="1:17" s="279" customFormat="1" hidden="1" x14ac:dyDescent="0.3">
      <c r="A742" s="278"/>
      <c r="B742" s="432" t="s">
        <v>638</v>
      </c>
      <c r="C742" s="461">
        <v>45946.583333333336</v>
      </c>
      <c r="D742" s="461"/>
      <c r="E742" s="461"/>
      <c r="F742" s="97" t="s">
        <v>602</v>
      </c>
      <c r="G742" s="97">
        <v>3000</v>
      </c>
      <c r="H742" s="239" t="s">
        <v>621</v>
      </c>
      <c r="I742" s="229" t="s">
        <v>1074</v>
      </c>
      <c r="J742" s="229" t="s">
        <v>1144</v>
      </c>
      <c r="K742" s="85"/>
      <c r="L742" s="95"/>
      <c r="M742" s="450" t="s">
        <v>16</v>
      </c>
      <c r="N742" s="124"/>
      <c r="O742" s="86"/>
      <c r="P742" s="301"/>
      <c r="Q742" s="299"/>
    </row>
    <row r="743" spans="1:17" s="279" customFormat="1" hidden="1" x14ac:dyDescent="0.3">
      <c r="A743" s="278"/>
      <c r="B743" s="432"/>
      <c r="C743" s="461"/>
      <c r="D743" s="461"/>
      <c r="E743" s="461"/>
      <c r="F743" s="97" t="s">
        <v>22</v>
      </c>
      <c r="G743" s="97">
        <v>5700</v>
      </c>
      <c r="H743" s="239" t="s">
        <v>621</v>
      </c>
      <c r="I743" s="229" t="s">
        <v>17</v>
      </c>
      <c r="J743" s="229" t="s">
        <v>59</v>
      </c>
      <c r="K743" s="85"/>
      <c r="L743" s="95"/>
      <c r="M743" s="450"/>
      <c r="N743" s="242"/>
      <c r="O743" s="69"/>
      <c r="P743" s="301"/>
      <c r="Q743" s="299"/>
    </row>
    <row r="744" spans="1:17" s="279" customFormat="1" hidden="1" x14ac:dyDescent="0.3">
      <c r="A744" s="278"/>
      <c r="B744" s="85" t="s">
        <v>632</v>
      </c>
      <c r="C744" s="461">
        <v>45948.416666666664</v>
      </c>
      <c r="D744" s="461"/>
      <c r="E744" s="461"/>
      <c r="F744" s="97" t="s">
        <v>22</v>
      </c>
      <c r="G744" s="97">
        <v>8800</v>
      </c>
      <c r="H744" s="239" t="s">
        <v>621</v>
      </c>
      <c r="I744" s="229" t="s">
        <v>17</v>
      </c>
      <c r="J744" s="229" t="s">
        <v>59</v>
      </c>
      <c r="K744" s="85"/>
      <c r="L744" s="95"/>
      <c r="M744" s="95"/>
      <c r="N744" s="124"/>
      <c r="O744" s="86"/>
      <c r="P744" s="301"/>
      <c r="Q744" s="299"/>
    </row>
    <row r="745" spans="1:17" s="279" customFormat="1" hidden="1" x14ac:dyDescent="0.3">
      <c r="A745" s="278"/>
      <c r="B745" s="432" t="s">
        <v>1103</v>
      </c>
      <c r="C745" s="461" t="s">
        <v>1149</v>
      </c>
      <c r="D745" s="461"/>
      <c r="E745" s="461"/>
      <c r="F745" s="553" t="s">
        <v>1155</v>
      </c>
      <c r="G745" s="553"/>
      <c r="H745" s="469" t="s">
        <v>710</v>
      </c>
      <c r="I745" s="229" t="s">
        <v>11</v>
      </c>
      <c r="J745" s="229" t="s">
        <v>575</v>
      </c>
      <c r="K745" s="85"/>
      <c r="L745" s="95"/>
      <c r="M745" s="95"/>
      <c r="N745" s="124"/>
      <c r="O745" s="86"/>
      <c r="P745" s="301"/>
      <c r="Q745" s="299" t="s">
        <v>1156</v>
      </c>
    </row>
    <row r="746" spans="1:17" s="279" customFormat="1" hidden="1" x14ac:dyDescent="0.3">
      <c r="A746" s="278"/>
      <c r="B746" s="432"/>
      <c r="C746" s="461"/>
      <c r="D746" s="461"/>
      <c r="E746" s="461"/>
      <c r="F746" s="553"/>
      <c r="G746" s="553"/>
      <c r="H746" s="469"/>
      <c r="I746" s="229" t="s">
        <v>17</v>
      </c>
      <c r="J746" s="229" t="s">
        <v>1157</v>
      </c>
      <c r="K746" s="85"/>
      <c r="L746" s="95"/>
      <c r="M746" s="95"/>
      <c r="N746" s="124"/>
      <c r="O746" s="86"/>
      <c r="P746" s="301"/>
      <c r="Q746" s="299"/>
    </row>
    <row r="747" spans="1:17" s="279" customFormat="1" hidden="1" x14ac:dyDescent="0.3">
      <c r="A747" s="278"/>
      <c r="B747" s="75" t="s">
        <v>31</v>
      </c>
      <c r="C747" s="462">
        <v>45952.451388888891</v>
      </c>
      <c r="D747" s="462"/>
      <c r="E747" s="462"/>
      <c r="F747" s="78" t="s">
        <v>531</v>
      </c>
      <c r="G747" s="78">
        <v>3600</v>
      </c>
      <c r="H747" s="57" t="s">
        <v>94</v>
      </c>
      <c r="I747" s="232" t="s">
        <v>1074</v>
      </c>
      <c r="J747" s="232" t="s">
        <v>1159</v>
      </c>
      <c r="K747" s="75"/>
      <c r="L747" s="75" t="s">
        <v>957</v>
      </c>
      <c r="M747" s="75" t="s">
        <v>16</v>
      </c>
      <c r="N747" s="145"/>
      <c r="O747" s="73"/>
      <c r="P747" s="185"/>
      <c r="Q747" s="267"/>
    </row>
    <row r="748" spans="1:17" s="279" customFormat="1" hidden="1" x14ac:dyDescent="0.3">
      <c r="A748" s="278"/>
      <c r="B748" s="432" t="s">
        <v>31</v>
      </c>
      <c r="C748" s="461">
        <v>45956.333333333336</v>
      </c>
      <c r="D748" s="461"/>
      <c r="E748" s="461"/>
      <c r="F748" s="553" t="s">
        <v>531</v>
      </c>
      <c r="G748" s="97">
        <v>200</v>
      </c>
      <c r="H748" s="469" t="s">
        <v>94</v>
      </c>
      <c r="I748" s="451" t="s">
        <v>1074</v>
      </c>
      <c r="J748" s="229" t="s">
        <v>1160</v>
      </c>
      <c r="K748" s="85"/>
      <c r="L748" s="432" t="s">
        <v>953</v>
      </c>
      <c r="M748" s="432" t="s">
        <v>16</v>
      </c>
      <c r="N748" s="430" t="s">
        <v>1126</v>
      </c>
      <c r="O748" s="431" t="s">
        <v>964</v>
      </c>
      <c r="P748" s="432" t="s">
        <v>16</v>
      </c>
      <c r="Q748" s="299"/>
    </row>
    <row r="749" spans="1:17" s="279" customFormat="1" hidden="1" x14ac:dyDescent="0.3">
      <c r="A749" s="278"/>
      <c r="B749" s="432"/>
      <c r="C749" s="461"/>
      <c r="D749" s="461"/>
      <c r="E749" s="461"/>
      <c r="F749" s="553"/>
      <c r="G749" s="97">
        <v>4000</v>
      </c>
      <c r="H749" s="469"/>
      <c r="I749" s="451"/>
      <c r="J749" s="229" t="s">
        <v>589</v>
      </c>
      <c r="K749" s="85"/>
      <c r="L749" s="432"/>
      <c r="M749" s="432"/>
      <c r="N749" s="430"/>
      <c r="O749" s="431"/>
      <c r="P749" s="432"/>
      <c r="Q749" s="299"/>
    </row>
    <row r="750" spans="1:17" s="279" customFormat="1" hidden="1" x14ac:dyDescent="0.3">
      <c r="A750" s="278"/>
      <c r="B750" s="429" t="s">
        <v>638</v>
      </c>
      <c r="C750" s="462">
        <v>45960.333333333336</v>
      </c>
      <c r="D750" s="462"/>
      <c r="E750" s="462"/>
      <c r="F750" s="78" t="s">
        <v>1163</v>
      </c>
      <c r="G750" s="78">
        <v>3000</v>
      </c>
      <c r="H750" s="464" t="s">
        <v>621</v>
      </c>
      <c r="I750" s="232" t="s">
        <v>1074</v>
      </c>
      <c r="J750" s="232" t="s">
        <v>1165</v>
      </c>
      <c r="K750" s="75"/>
      <c r="L750" s="75"/>
      <c r="M750" s="75"/>
      <c r="N750" s="145" t="s">
        <v>1126</v>
      </c>
      <c r="O750" s="73" t="s">
        <v>964</v>
      </c>
      <c r="P750" s="185"/>
      <c r="Q750" s="267"/>
    </row>
    <row r="751" spans="1:17" s="279" customFormat="1" hidden="1" x14ac:dyDescent="0.3">
      <c r="A751" s="278"/>
      <c r="B751" s="429"/>
      <c r="C751" s="462"/>
      <c r="D751" s="462"/>
      <c r="E751" s="462"/>
      <c r="F751" s="78" t="s">
        <v>1164</v>
      </c>
      <c r="G751" s="78">
        <v>5800</v>
      </c>
      <c r="H751" s="464"/>
      <c r="I751" s="232" t="s">
        <v>17</v>
      </c>
      <c r="J751" s="232" t="s">
        <v>25</v>
      </c>
      <c r="K751" s="75"/>
      <c r="L751" s="75"/>
      <c r="M751" s="75"/>
      <c r="N751" s="145"/>
      <c r="O751" s="73"/>
      <c r="P751" s="185"/>
      <c r="Q751" s="267"/>
    </row>
    <row r="752" spans="1:17" s="279" customFormat="1" hidden="1" x14ac:dyDescent="0.3">
      <c r="A752" s="278"/>
      <c r="B752" s="85" t="s">
        <v>632</v>
      </c>
      <c r="C752" s="461">
        <v>45962.333333333336</v>
      </c>
      <c r="D752" s="461"/>
      <c r="E752" s="461"/>
      <c r="F752" s="97" t="s">
        <v>1164</v>
      </c>
      <c r="G752" s="97">
        <v>8800</v>
      </c>
      <c r="H752" s="239" t="s">
        <v>621</v>
      </c>
      <c r="I752" s="229" t="s">
        <v>17</v>
      </c>
      <c r="J752" s="229" t="s">
        <v>25</v>
      </c>
      <c r="K752" s="85"/>
      <c r="L752" s="85"/>
      <c r="M752" s="85"/>
      <c r="N752" s="242"/>
      <c r="O752" s="69"/>
      <c r="P752" s="301"/>
      <c r="Q752" s="299"/>
    </row>
    <row r="753" spans="1:17" s="279" customFormat="1" hidden="1" x14ac:dyDescent="0.3">
      <c r="A753" s="278"/>
      <c r="B753" s="85" t="s">
        <v>31</v>
      </c>
      <c r="C753" s="461" t="s">
        <v>1168</v>
      </c>
      <c r="D753" s="461"/>
      <c r="E753" s="461"/>
      <c r="F753" s="97" t="s">
        <v>1169</v>
      </c>
      <c r="G753" s="97">
        <v>5000</v>
      </c>
      <c r="H753" s="239" t="s">
        <v>94</v>
      </c>
      <c r="I753" s="229" t="s">
        <v>11</v>
      </c>
      <c r="J753" s="229" t="s">
        <v>898</v>
      </c>
      <c r="K753" s="85"/>
      <c r="L753" s="85"/>
      <c r="M753" s="85" t="s">
        <v>16</v>
      </c>
      <c r="N753" s="242"/>
      <c r="O753" s="69"/>
      <c r="P753" s="301"/>
      <c r="Q753" s="299"/>
    </row>
    <row r="754" spans="1:17" s="279" customFormat="1" hidden="1" x14ac:dyDescent="0.3">
      <c r="A754" s="278"/>
      <c r="B754" s="429" t="s">
        <v>638</v>
      </c>
      <c r="C754" s="462">
        <v>45964.465277777781</v>
      </c>
      <c r="D754" s="462"/>
      <c r="E754" s="462"/>
      <c r="F754" s="463" t="s">
        <v>1164</v>
      </c>
      <c r="G754" s="78">
        <v>2000</v>
      </c>
      <c r="H754" s="464" t="s">
        <v>621</v>
      </c>
      <c r="I754" s="232" t="s">
        <v>17</v>
      </c>
      <c r="J754" s="232" t="s">
        <v>898</v>
      </c>
      <c r="K754" s="75"/>
      <c r="L754" s="75"/>
      <c r="M754" s="429"/>
      <c r="N754" s="145"/>
      <c r="O754" s="73"/>
      <c r="P754" s="185"/>
      <c r="Q754" s="267"/>
    </row>
    <row r="755" spans="1:17" s="279" customFormat="1" hidden="1" x14ac:dyDescent="0.3">
      <c r="A755" s="278"/>
      <c r="B755" s="429"/>
      <c r="C755" s="462"/>
      <c r="D755" s="462"/>
      <c r="E755" s="462"/>
      <c r="F755" s="463"/>
      <c r="G755" s="78">
        <v>6800</v>
      </c>
      <c r="H755" s="464"/>
      <c r="I755" s="232" t="s">
        <v>1074</v>
      </c>
      <c r="J755" s="232" t="s">
        <v>1171</v>
      </c>
      <c r="K755" s="75"/>
      <c r="L755" s="75"/>
      <c r="M755" s="429"/>
      <c r="N755" s="145"/>
      <c r="O755" s="73"/>
      <c r="P755" s="185"/>
      <c r="Q755" s="267"/>
    </row>
    <row r="756" spans="1:17" s="279" customFormat="1" hidden="1" x14ac:dyDescent="0.3">
      <c r="A756" s="278"/>
      <c r="B756" s="85" t="s">
        <v>638</v>
      </c>
      <c r="C756" s="461" t="s">
        <v>1184</v>
      </c>
      <c r="D756" s="461"/>
      <c r="E756" s="461"/>
      <c r="F756" s="97" t="s">
        <v>1174</v>
      </c>
      <c r="G756" s="97">
        <v>3055</v>
      </c>
      <c r="H756" s="239" t="s">
        <v>621</v>
      </c>
      <c r="I756" s="229" t="s">
        <v>17</v>
      </c>
      <c r="J756" s="229" t="s">
        <v>1040</v>
      </c>
      <c r="K756" s="85"/>
      <c r="L756" s="85" t="s">
        <v>957</v>
      </c>
      <c r="M756" s="85" t="s">
        <v>16</v>
      </c>
      <c r="N756" s="242"/>
      <c r="O756" s="69"/>
      <c r="P756" s="301"/>
      <c r="Q756" s="299"/>
    </row>
    <row r="757" spans="1:17" s="279" customFormat="1" hidden="1" x14ac:dyDescent="0.3">
      <c r="A757" s="278"/>
      <c r="B757" s="85" t="s">
        <v>31</v>
      </c>
      <c r="C757" s="461">
        <v>45974.625</v>
      </c>
      <c r="D757" s="461"/>
      <c r="E757" s="461"/>
      <c r="F757" s="97" t="s">
        <v>1169</v>
      </c>
      <c r="G757" s="97">
        <v>4300</v>
      </c>
      <c r="H757" s="239" t="s">
        <v>94</v>
      </c>
      <c r="I757" s="229" t="s">
        <v>11</v>
      </c>
      <c r="J757" s="229" t="s">
        <v>1187</v>
      </c>
      <c r="K757" s="85"/>
      <c r="L757" s="85" t="s">
        <v>957</v>
      </c>
      <c r="M757" s="85" t="s">
        <v>16</v>
      </c>
      <c r="N757" s="242"/>
      <c r="O757" s="69"/>
      <c r="P757" s="301"/>
      <c r="Q757" s="299"/>
    </row>
    <row r="758" spans="1:17" s="279" customFormat="1" hidden="1" x14ac:dyDescent="0.3">
      <c r="A758" s="278"/>
      <c r="B758" s="85" t="s">
        <v>632</v>
      </c>
      <c r="C758" s="461">
        <v>45974.979166666664</v>
      </c>
      <c r="D758" s="461"/>
      <c r="E758" s="461"/>
      <c r="F758" s="97" t="s">
        <v>1174</v>
      </c>
      <c r="G758" s="97">
        <v>8800</v>
      </c>
      <c r="H758" s="239" t="s">
        <v>621</v>
      </c>
      <c r="I758" s="229" t="s">
        <v>17</v>
      </c>
      <c r="J758" s="229" t="s">
        <v>893</v>
      </c>
      <c r="K758" s="85"/>
      <c r="L758" s="85"/>
      <c r="M758" s="85"/>
      <c r="N758" s="242"/>
      <c r="O758" s="69"/>
      <c r="P758" s="301"/>
      <c r="Q758" s="299"/>
    </row>
    <row r="759" spans="1:17" s="279" customFormat="1" hidden="1" x14ac:dyDescent="0.3">
      <c r="A759" s="278"/>
      <c r="B759" s="75" t="s">
        <v>638</v>
      </c>
      <c r="C759" s="462">
        <v>45975.604166666664</v>
      </c>
      <c r="D759" s="462"/>
      <c r="E759" s="462"/>
      <c r="F759" s="78" t="s">
        <v>1174</v>
      </c>
      <c r="G759" s="78">
        <v>8800</v>
      </c>
      <c r="H759" s="57" t="s">
        <v>621</v>
      </c>
      <c r="I759" s="232" t="s">
        <v>17</v>
      </c>
      <c r="J759" s="232" t="s">
        <v>893</v>
      </c>
      <c r="K759" s="75"/>
      <c r="L759" s="75"/>
      <c r="M759" s="75"/>
      <c r="N759" s="145"/>
      <c r="O759" s="73"/>
      <c r="P759" s="185"/>
      <c r="Q759" s="267"/>
    </row>
    <row r="760" spans="1:17" s="279" customFormat="1" hidden="1" x14ac:dyDescent="0.3">
      <c r="A760" s="278"/>
      <c r="B760" s="85" t="s">
        <v>1188</v>
      </c>
      <c r="C760" s="461">
        <v>45976.291666666664</v>
      </c>
      <c r="D760" s="461"/>
      <c r="E760" s="461"/>
      <c r="F760" s="97" t="s">
        <v>1189</v>
      </c>
      <c r="G760" s="97">
        <v>45000</v>
      </c>
      <c r="H760" s="239" t="s">
        <v>710</v>
      </c>
      <c r="I760" s="229" t="s">
        <v>11</v>
      </c>
      <c r="J760" s="229" t="s">
        <v>1190</v>
      </c>
      <c r="K760" s="85"/>
      <c r="L760" s="85"/>
      <c r="M760" s="85"/>
      <c r="N760" s="242"/>
      <c r="O760" s="69"/>
      <c r="P760" s="301"/>
      <c r="Q760" s="299" t="s">
        <v>1191</v>
      </c>
    </row>
    <row r="761" spans="1:17" s="279" customFormat="1" hidden="1" x14ac:dyDescent="0.3">
      <c r="A761" s="278"/>
      <c r="B761" s="85" t="s">
        <v>632</v>
      </c>
      <c r="C761" s="461" t="s">
        <v>1186</v>
      </c>
      <c r="D761" s="461"/>
      <c r="E761" s="461"/>
      <c r="F761" s="257" t="s">
        <v>1164</v>
      </c>
      <c r="G761" s="97">
        <v>8800</v>
      </c>
      <c r="H761" s="239" t="s">
        <v>621</v>
      </c>
      <c r="I761" s="229" t="s">
        <v>1074</v>
      </c>
      <c r="J761" s="229" t="s">
        <v>711</v>
      </c>
      <c r="K761" s="85"/>
      <c r="L761" s="85"/>
      <c r="M761" s="85"/>
      <c r="N761" s="242"/>
      <c r="O761" s="69"/>
      <c r="P761" s="301"/>
      <c r="Q761" s="299"/>
    </row>
    <row r="762" spans="1:17" s="279" customFormat="1" hidden="1" x14ac:dyDescent="0.3">
      <c r="A762" s="278"/>
      <c r="B762" s="85" t="s">
        <v>31</v>
      </c>
      <c r="C762" s="461">
        <v>45979.75</v>
      </c>
      <c r="D762" s="461"/>
      <c r="E762" s="461"/>
      <c r="F762" s="97" t="s">
        <v>1169</v>
      </c>
      <c r="G762" s="97">
        <v>3400</v>
      </c>
      <c r="H762" s="239" t="s">
        <v>94</v>
      </c>
      <c r="I762" s="229" t="s">
        <v>11</v>
      </c>
      <c r="J762" s="229" t="s">
        <v>1193</v>
      </c>
      <c r="K762" s="85"/>
      <c r="L762" s="85" t="s">
        <v>957</v>
      </c>
      <c r="M762" s="85" t="s">
        <v>16</v>
      </c>
      <c r="N762" s="242"/>
      <c r="O762" s="69"/>
      <c r="P762" s="301"/>
      <c r="Q762" s="299"/>
    </row>
    <row r="763" spans="1:17" s="279" customFormat="1" hidden="1" x14ac:dyDescent="0.3">
      <c r="A763" s="278"/>
      <c r="B763" s="85" t="s">
        <v>1199</v>
      </c>
      <c r="C763" s="461">
        <v>45982.791666666664</v>
      </c>
      <c r="D763" s="461"/>
      <c r="E763" s="461"/>
      <c r="F763" s="97" t="s">
        <v>1200</v>
      </c>
      <c r="G763" s="97">
        <v>5000</v>
      </c>
      <c r="H763" s="239" t="s">
        <v>710</v>
      </c>
      <c r="I763" s="229" t="s">
        <v>17</v>
      </c>
      <c r="J763" s="229" t="s">
        <v>1202</v>
      </c>
      <c r="K763" s="85"/>
      <c r="L763" s="85"/>
      <c r="M763" s="85"/>
      <c r="N763" s="242" t="s">
        <v>1126</v>
      </c>
      <c r="O763" s="69" t="s">
        <v>964</v>
      </c>
      <c r="P763" s="301"/>
      <c r="Q763" s="299" t="s">
        <v>1191</v>
      </c>
    </row>
    <row r="764" spans="1:17" s="279" customFormat="1" hidden="1" x14ac:dyDescent="0.3">
      <c r="A764" s="278"/>
      <c r="B764" s="85" t="s">
        <v>632</v>
      </c>
      <c r="C764" s="461">
        <v>45986.625</v>
      </c>
      <c r="D764" s="461"/>
      <c r="E764" s="461"/>
      <c r="F764" s="97" t="s">
        <v>1164</v>
      </c>
      <c r="G764" s="97">
        <v>6361</v>
      </c>
      <c r="H764" s="239" t="s">
        <v>621</v>
      </c>
      <c r="I764" s="229" t="s">
        <v>1074</v>
      </c>
      <c r="J764" s="229" t="s">
        <v>209</v>
      </c>
      <c r="K764" s="85"/>
      <c r="L764" s="85" t="s">
        <v>957</v>
      </c>
      <c r="M764" s="85" t="s">
        <v>16</v>
      </c>
      <c r="N764" s="242"/>
      <c r="O764" s="69"/>
      <c r="P764" s="301"/>
      <c r="Q764" s="299"/>
    </row>
    <row r="765" spans="1:17" s="279" customFormat="1" hidden="1" x14ac:dyDescent="0.3">
      <c r="A765" s="278"/>
      <c r="B765" s="85" t="s">
        <v>1199</v>
      </c>
      <c r="C765" s="461" t="s">
        <v>1203</v>
      </c>
      <c r="D765" s="461"/>
      <c r="E765" s="461"/>
      <c r="F765" s="97" t="s">
        <v>1200</v>
      </c>
      <c r="G765" s="97">
        <v>500</v>
      </c>
      <c r="H765" s="239" t="s">
        <v>710</v>
      </c>
      <c r="I765" s="229" t="s">
        <v>17</v>
      </c>
      <c r="J765" s="229" t="s">
        <v>1206</v>
      </c>
      <c r="K765" s="85"/>
      <c r="L765" s="85"/>
      <c r="M765" s="85"/>
      <c r="N765" s="242" t="s">
        <v>1126</v>
      </c>
      <c r="O765" s="69" t="s">
        <v>964</v>
      </c>
      <c r="P765" s="301"/>
      <c r="Q765" s="299" t="s">
        <v>1191</v>
      </c>
    </row>
    <row r="766" spans="1:17" s="279" customFormat="1" hidden="1" x14ac:dyDescent="0.3">
      <c r="A766" s="278"/>
      <c r="B766" s="85" t="s">
        <v>1199</v>
      </c>
      <c r="C766" s="461" t="s">
        <v>1207</v>
      </c>
      <c r="D766" s="461"/>
      <c r="E766" s="461"/>
      <c r="F766" s="97"/>
      <c r="G766" s="97"/>
      <c r="H766" s="239"/>
      <c r="I766" s="229"/>
      <c r="J766" s="229"/>
      <c r="K766" s="85"/>
      <c r="L766" s="85"/>
      <c r="M766" s="85"/>
      <c r="N766" s="242"/>
      <c r="O766" s="69"/>
      <c r="P766" s="301"/>
      <c r="Q766" s="299"/>
    </row>
    <row r="767" spans="1:17" s="279" customFormat="1" hidden="1" x14ac:dyDescent="0.3">
      <c r="A767" s="278"/>
      <c r="B767" s="85" t="s">
        <v>31</v>
      </c>
      <c r="C767" s="461" t="s">
        <v>1204</v>
      </c>
      <c r="D767" s="461"/>
      <c r="E767" s="461"/>
      <c r="F767" s="97" t="s">
        <v>1169</v>
      </c>
      <c r="G767" s="97">
        <v>5000</v>
      </c>
      <c r="H767" s="239" t="s">
        <v>94</v>
      </c>
      <c r="I767" s="229" t="s">
        <v>11</v>
      </c>
      <c r="J767" s="229" t="s">
        <v>1193</v>
      </c>
      <c r="K767" s="85"/>
      <c r="L767" s="85" t="s">
        <v>957</v>
      </c>
      <c r="M767" s="85" t="s">
        <v>16</v>
      </c>
      <c r="N767" s="242"/>
      <c r="O767" s="69"/>
      <c r="P767" s="301"/>
      <c r="Q767" s="299"/>
    </row>
    <row r="768" spans="1:17" s="279" customFormat="1" hidden="1" x14ac:dyDescent="0.3">
      <c r="A768" s="278"/>
      <c r="B768" s="85" t="s">
        <v>632</v>
      </c>
      <c r="C768" s="461">
        <v>45996.791666666664</v>
      </c>
      <c r="D768" s="461"/>
      <c r="E768" s="461"/>
      <c r="F768" s="97" t="s">
        <v>1174</v>
      </c>
      <c r="G768" s="97">
        <v>8700</v>
      </c>
      <c r="H768" s="239" t="s">
        <v>621</v>
      </c>
      <c r="I768" s="229" t="s">
        <v>17</v>
      </c>
      <c r="J768" s="229" t="s">
        <v>622</v>
      </c>
      <c r="K768" s="85"/>
      <c r="L768" s="85"/>
      <c r="M768" s="85"/>
      <c r="N768" s="242"/>
      <c r="O768" s="69"/>
      <c r="P768" s="301"/>
      <c r="Q768" s="299"/>
    </row>
    <row r="769" spans="1:17" s="279" customFormat="1" hidden="1" x14ac:dyDescent="0.3">
      <c r="A769" s="278"/>
      <c r="B769" s="85" t="s">
        <v>31</v>
      </c>
      <c r="C769" s="319">
        <v>45998.270833333336</v>
      </c>
      <c r="D769" s="319"/>
      <c r="E769" s="319"/>
      <c r="F769" s="97" t="s">
        <v>1169</v>
      </c>
      <c r="G769" s="97">
        <v>3000</v>
      </c>
      <c r="H769" s="239" t="s">
        <v>94</v>
      </c>
      <c r="I769" s="229" t="s">
        <v>11</v>
      </c>
      <c r="J769" s="229" t="s">
        <v>622</v>
      </c>
      <c r="K769" s="85"/>
      <c r="L769" s="85"/>
      <c r="M769" s="85"/>
      <c r="N769" s="242"/>
      <c r="O769" s="69"/>
      <c r="P769" s="301"/>
      <c r="Q769" s="299"/>
    </row>
    <row r="770" spans="1:17" s="279" customFormat="1" hidden="1" x14ac:dyDescent="0.3">
      <c r="A770" s="278"/>
      <c r="B770" s="85" t="s">
        <v>31</v>
      </c>
      <c r="C770" s="461">
        <v>46002</v>
      </c>
      <c r="D770" s="461"/>
      <c r="E770" s="461"/>
      <c r="F770" s="97" t="s">
        <v>1169</v>
      </c>
      <c r="G770" s="97">
        <v>4600</v>
      </c>
      <c r="H770" s="239" t="s">
        <v>94</v>
      </c>
      <c r="I770" s="229" t="s">
        <v>11</v>
      </c>
      <c r="J770" s="229" t="s">
        <v>1055</v>
      </c>
      <c r="K770" s="85"/>
      <c r="L770" s="85" t="s">
        <v>953</v>
      </c>
      <c r="M770" s="85" t="s">
        <v>16</v>
      </c>
      <c r="N770" s="242"/>
      <c r="O770" s="69"/>
      <c r="P770" s="301"/>
      <c r="Q770" s="299"/>
    </row>
    <row r="771" spans="1:17" s="279" customFormat="1" hidden="1" x14ac:dyDescent="0.3">
      <c r="A771" s="278"/>
      <c r="B771" s="75" t="s">
        <v>638</v>
      </c>
      <c r="C771" s="462">
        <v>46006.048611111109</v>
      </c>
      <c r="D771" s="462"/>
      <c r="E771" s="462"/>
      <c r="F771" s="78" t="s">
        <v>1221</v>
      </c>
      <c r="G771" s="78">
        <v>8700</v>
      </c>
      <c r="H771" s="57" t="s">
        <v>621</v>
      </c>
      <c r="I771" s="232" t="s">
        <v>11</v>
      </c>
      <c r="J771" s="318" t="s">
        <v>1223</v>
      </c>
      <c r="K771" s="75"/>
      <c r="L771" s="75"/>
      <c r="M771" s="75"/>
      <c r="N771" s="145"/>
      <c r="O771" s="73"/>
      <c r="P771" s="185"/>
      <c r="Q771" s="267"/>
    </row>
    <row r="772" spans="1:17" s="279" customFormat="1" hidden="1" x14ac:dyDescent="0.3">
      <c r="A772" s="278"/>
      <c r="B772" s="85" t="s">
        <v>638</v>
      </c>
      <c r="C772" s="461">
        <v>46007.791666666664</v>
      </c>
      <c r="D772" s="461"/>
      <c r="E772" s="461"/>
      <c r="F772" s="97" t="s">
        <v>1226</v>
      </c>
      <c r="G772" s="97">
        <v>8800</v>
      </c>
      <c r="H772" s="239" t="s">
        <v>621</v>
      </c>
      <c r="I772" s="229" t="s">
        <v>17</v>
      </c>
      <c r="J772" s="229" t="s">
        <v>737</v>
      </c>
      <c r="K772" s="85"/>
      <c r="L772" s="85"/>
      <c r="M772" s="85"/>
      <c r="N772" s="242"/>
      <c r="O772" s="69"/>
      <c r="P772" s="301"/>
      <c r="Q772" s="299"/>
    </row>
    <row r="773" spans="1:17" s="279" customFormat="1" hidden="1" x14ac:dyDescent="0.3">
      <c r="A773" s="278"/>
      <c r="B773" s="432" t="s">
        <v>632</v>
      </c>
      <c r="C773" s="461">
        <v>46008.833333333336</v>
      </c>
      <c r="D773" s="461"/>
      <c r="E773" s="461"/>
      <c r="F773" s="553" t="s">
        <v>1226</v>
      </c>
      <c r="G773" s="97">
        <f>9712-8700</f>
        <v>1012</v>
      </c>
      <c r="H773" s="469" t="s">
        <v>621</v>
      </c>
      <c r="I773" s="229" t="s">
        <v>17</v>
      </c>
      <c r="J773" s="229" t="s">
        <v>737</v>
      </c>
      <c r="K773" s="85"/>
      <c r="L773" s="85"/>
      <c r="M773" s="85"/>
      <c r="N773" s="242"/>
      <c r="O773" s="69"/>
      <c r="P773" s="301"/>
      <c r="Q773" s="299"/>
    </row>
    <row r="774" spans="1:17" s="279" customFormat="1" hidden="1" x14ac:dyDescent="0.3">
      <c r="A774" s="278"/>
      <c r="B774" s="432"/>
      <c r="C774" s="461"/>
      <c r="D774" s="461"/>
      <c r="E774" s="461"/>
      <c r="F774" s="553"/>
      <c r="G774" s="97">
        <f>8700-1012</f>
        <v>7688</v>
      </c>
      <c r="H774" s="469"/>
      <c r="I774" s="229" t="s">
        <v>23</v>
      </c>
      <c r="J774" s="229" t="s">
        <v>831</v>
      </c>
      <c r="K774" s="85"/>
      <c r="L774" s="85"/>
      <c r="M774" s="85"/>
      <c r="N774" s="242"/>
      <c r="O774" s="69"/>
      <c r="P774" s="301"/>
      <c r="Q774" s="299"/>
    </row>
    <row r="775" spans="1:17" s="279" customFormat="1" hidden="1" x14ac:dyDescent="0.3">
      <c r="A775" s="278"/>
      <c r="B775" s="432" t="s">
        <v>31</v>
      </c>
      <c r="C775" s="461" t="s">
        <v>1225</v>
      </c>
      <c r="D775" s="461"/>
      <c r="E775" s="461"/>
      <c r="F775" s="553" t="s">
        <v>1169</v>
      </c>
      <c r="G775" s="97">
        <v>1018</v>
      </c>
      <c r="H775" s="469" t="s">
        <v>94</v>
      </c>
      <c r="I775" s="229" t="s">
        <v>11</v>
      </c>
      <c r="J775" s="229" t="s">
        <v>1230</v>
      </c>
      <c r="K775" s="85"/>
      <c r="L775" s="85"/>
      <c r="M775" s="432" t="s">
        <v>16</v>
      </c>
      <c r="N775" s="242" t="s">
        <v>1126</v>
      </c>
      <c r="O775" s="69" t="s">
        <v>964</v>
      </c>
      <c r="P775" s="301"/>
      <c r="Q775" s="299"/>
    </row>
    <row r="776" spans="1:17" s="279" customFormat="1" hidden="1" x14ac:dyDescent="0.3">
      <c r="A776" s="278"/>
      <c r="B776" s="432"/>
      <c r="C776" s="461"/>
      <c r="D776" s="461"/>
      <c r="E776" s="461"/>
      <c r="F776" s="553"/>
      <c r="G776" s="97">
        <f>5000-1018</f>
        <v>3982</v>
      </c>
      <c r="H776" s="469"/>
      <c r="I776" s="229" t="s">
        <v>23</v>
      </c>
      <c r="J776" s="229" t="s">
        <v>1075</v>
      </c>
      <c r="K776" s="85"/>
      <c r="L776" s="85"/>
      <c r="M776" s="432"/>
      <c r="N776" s="322"/>
      <c r="O776" s="323"/>
      <c r="P776" s="301"/>
      <c r="Q776" s="299"/>
    </row>
    <row r="777" spans="1:17" s="279" customFormat="1" hidden="1" x14ac:dyDescent="0.3">
      <c r="A777" s="278"/>
      <c r="B777" s="85" t="s">
        <v>638</v>
      </c>
      <c r="C777" s="461">
        <v>46013.8125</v>
      </c>
      <c r="D777" s="461"/>
      <c r="E777" s="461"/>
      <c r="F777" s="257" t="s">
        <v>1221</v>
      </c>
      <c r="G777" s="97">
        <v>8850</v>
      </c>
      <c r="H777" s="239" t="s">
        <v>621</v>
      </c>
      <c r="I777" s="229" t="s">
        <v>11</v>
      </c>
      <c r="J777" s="229" t="s">
        <v>744</v>
      </c>
      <c r="K777" s="85"/>
      <c r="L777" s="85"/>
      <c r="M777" s="85"/>
      <c r="N777" s="242"/>
      <c r="O777" s="69"/>
      <c r="P777" s="301"/>
      <c r="Q777" s="299"/>
    </row>
    <row r="778" spans="1:17" s="279" customFormat="1" hidden="1" x14ac:dyDescent="0.3">
      <c r="A778" s="278"/>
      <c r="B778" s="432" t="s">
        <v>632</v>
      </c>
      <c r="C778" s="461">
        <v>46014.333333333336</v>
      </c>
      <c r="D778" s="461"/>
      <c r="E778" s="461"/>
      <c r="F778" s="553" t="s">
        <v>1226</v>
      </c>
      <c r="G778" s="97">
        <v>1146</v>
      </c>
      <c r="H778" s="469" t="s">
        <v>621</v>
      </c>
      <c r="I778" s="229" t="s">
        <v>17</v>
      </c>
      <c r="J778" s="229" t="s">
        <v>1231</v>
      </c>
      <c r="K778" s="85"/>
      <c r="L778" s="85"/>
      <c r="M778" s="85"/>
      <c r="N778" s="242" t="s">
        <v>1126</v>
      </c>
      <c r="O778" s="69" t="s">
        <v>964</v>
      </c>
      <c r="P778" s="301"/>
      <c r="Q778" s="299"/>
    </row>
    <row r="779" spans="1:17" s="279" customFormat="1" hidden="1" x14ac:dyDescent="0.3">
      <c r="A779" s="278"/>
      <c r="B779" s="432"/>
      <c r="C779" s="461"/>
      <c r="D779" s="461"/>
      <c r="E779" s="461"/>
      <c r="F779" s="553"/>
      <c r="G779" s="97">
        <f>8800-1146</f>
        <v>7654</v>
      </c>
      <c r="H779" s="469"/>
      <c r="I779" s="229" t="s">
        <v>23</v>
      </c>
      <c r="J779" s="229" t="s">
        <v>831</v>
      </c>
      <c r="K779" s="85"/>
      <c r="L779" s="85"/>
      <c r="M779" s="85"/>
      <c r="N779" s="242"/>
      <c r="O779" s="69"/>
      <c r="P779" s="301"/>
      <c r="Q779" s="299"/>
    </row>
    <row r="780" spans="1:17" s="279" customFormat="1" hidden="1" x14ac:dyDescent="0.3">
      <c r="A780" s="278"/>
      <c r="B780" s="429" t="s">
        <v>638</v>
      </c>
      <c r="C780" s="462">
        <v>46015.333333333336</v>
      </c>
      <c r="D780" s="462"/>
      <c r="E780" s="462"/>
      <c r="F780" s="463" t="s">
        <v>1221</v>
      </c>
      <c r="G780" s="463">
        <v>8847</v>
      </c>
      <c r="H780" s="464" t="s">
        <v>621</v>
      </c>
      <c r="I780" s="232" t="s">
        <v>11</v>
      </c>
      <c r="J780" s="232" t="s">
        <v>744</v>
      </c>
      <c r="K780" s="75"/>
      <c r="L780" s="75"/>
      <c r="M780" s="75"/>
      <c r="N780" s="532" t="s">
        <v>1126</v>
      </c>
      <c r="O780" s="533" t="s">
        <v>964</v>
      </c>
      <c r="P780" s="185"/>
      <c r="Q780" s="267"/>
    </row>
    <row r="781" spans="1:17" s="279" customFormat="1" hidden="1" x14ac:dyDescent="0.3">
      <c r="A781" s="278"/>
      <c r="B781" s="429"/>
      <c r="C781" s="462"/>
      <c r="D781" s="462"/>
      <c r="E781" s="462"/>
      <c r="F781" s="463"/>
      <c r="G781" s="463"/>
      <c r="H781" s="464"/>
      <c r="I781" s="232" t="s">
        <v>23</v>
      </c>
      <c r="J781" s="232" t="s">
        <v>1233</v>
      </c>
      <c r="K781" s="75"/>
      <c r="L781" s="75"/>
      <c r="M781" s="75"/>
      <c r="N781" s="532"/>
      <c r="O781" s="533"/>
      <c r="P781" s="185"/>
      <c r="Q781" s="267"/>
    </row>
    <row r="782" spans="1:17" s="279" customFormat="1" hidden="1" x14ac:dyDescent="0.3">
      <c r="A782" s="278"/>
      <c r="B782" s="85" t="s">
        <v>1199</v>
      </c>
      <c r="C782" s="461" t="s">
        <v>1241</v>
      </c>
      <c r="D782" s="461"/>
      <c r="E782" s="461"/>
      <c r="F782" s="97" t="s">
        <v>1238</v>
      </c>
      <c r="G782" s="97">
        <v>10000</v>
      </c>
      <c r="H782" s="239" t="s">
        <v>1239</v>
      </c>
      <c r="I782" s="229" t="s">
        <v>17</v>
      </c>
      <c r="J782" s="229" t="s">
        <v>843</v>
      </c>
      <c r="K782" s="85"/>
      <c r="L782" s="85"/>
      <c r="M782" s="85"/>
      <c r="N782" s="242"/>
      <c r="O782" s="69"/>
      <c r="P782" s="301"/>
      <c r="Q782" s="299" t="s">
        <v>1240</v>
      </c>
    </row>
    <row r="783" spans="1:17" s="279" customFormat="1" hidden="1" x14ac:dyDescent="0.3">
      <c r="A783" s="278"/>
      <c r="B783" s="75" t="s">
        <v>31</v>
      </c>
      <c r="C783" s="462">
        <v>46017.013888888891</v>
      </c>
      <c r="D783" s="462"/>
      <c r="E783" s="462"/>
      <c r="F783" s="78" t="s">
        <v>1169</v>
      </c>
      <c r="G783" s="78">
        <v>5000</v>
      </c>
      <c r="H783" s="57" t="s">
        <v>621</v>
      </c>
      <c r="I783" s="232" t="s">
        <v>23</v>
      </c>
      <c r="J783" s="232" t="s">
        <v>1234</v>
      </c>
      <c r="K783" s="75"/>
      <c r="L783" s="75" t="s">
        <v>1000</v>
      </c>
      <c r="M783" s="75" t="s">
        <v>16</v>
      </c>
      <c r="N783" s="145"/>
      <c r="O783" s="73"/>
      <c r="P783" s="185"/>
      <c r="Q783" s="267"/>
    </row>
    <row r="784" spans="1:17" s="279" customFormat="1" hidden="1" x14ac:dyDescent="0.3">
      <c r="A784" s="278"/>
      <c r="B784" s="432" t="s">
        <v>632</v>
      </c>
      <c r="C784" s="461">
        <v>46017.666666666664</v>
      </c>
      <c r="D784" s="461"/>
      <c r="E784" s="461"/>
      <c r="F784" s="97" t="s">
        <v>1221</v>
      </c>
      <c r="G784" s="97">
        <v>3695</v>
      </c>
      <c r="H784" s="469" t="s">
        <v>621</v>
      </c>
      <c r="I784" s="229" t="s">
        <v>23</v>
      </c>
      <c r="J784" s="229" t="s">
        <v>1233</v>
      </c>
      <c r="K784" s="85"/>
      <c r="L784" s="85"/>
      <c r="M784" s="432" t="s">
        <v>16</v>
      </c>
      <c r="N784" s="242" t="s">
        <v>1126</v>
      </c>
      <c r="O784" s="69" t="s">
        <v>964</v>
      </c>
      <c r="P784" s="301"/>
      <c r="Q784" s="299"/>
    </row>
    <row r="785" spans="1:17" s="279" customFormat="1" hidden="1" x14ac:dyDescent="0.3">
      <c r="A785" s="278"/>
      <c r="B785" s="432"/>
      <c r="C785" s="461"/>
      <c r="D785" s="461"/>
      <c r="E785" s="461"/>
      <c r="F785" s="97" t="s">
        <v>1226</v>
      </c>
      <c r="G785" s="97">
        <f>8800-3695</f>
        <v>5105</v>
      </c>
      <c r="H785" s="469"/>
      <c r="I785" s="229" t="s">
        <v>23</v>
      </c>
      <c r="J785" s="229" t="s">
        <v>831</v>
      </c>
      <c r="K785" s="85"/>
      <c r="L785" s="85"/>
      <c r="M785" s="432"/>
      <c r="N785" s="242"/>
      <c r="O785" s="69"/>
      <c r="P785" s="301"/>
      <c r="Q785" s="299"/>
    </row>
    <row r="786" spans="1:17" s="279" customFormat="1" hidden="1" x14ac:dyDescent="0.3">
      <c r="A786" s="278"/>
      <c r="B786" s="85" t="s">
        <v>1199</v>
      </c>
      <c r="C786" s="461" t="s">
        <v>1246</v>
      </c>
      <c r="D786" s="461"/>
      <c r="E786" s="461"/>
      <c r="F786" s="97" t="s">
        <v>1238</v>
      </c>
      <c r="G786" s="97">
        <v>45000</v>
      </c>
      <c r="H786" s="239" t="s">
        <v>1239</v>
      </c>
      <c r="I786" s="229" t="s">
        <v>17</v>
      </c>
      <c r="J786" s="229" t="s">
        <v>843</v>
      </c>
      <c r="K786" s="85"/>
      <c r="L786" s="85"/>
      <c r="M786" s="85"/>
      <c r="N786" s="242"/>
      <c r="O786" s="69"/>
      <c r="P786" s="301"/>
      <c r="Q786" s="299" t="s">
        <v>1240</v>
      </c>
    </row>
    <row r="787" spans="1:17" s="279" customFormat="1" hidden="1" x14ac:dyDescent="0.3">
      <c r="A787" s="278"/>
      <c r="B787" s="75" t="s">
        <v>638</v>
      </c>
      <c r="C787" s="462">
        <v>46021.614583333336</v>
      </c>
      <c r="D787" s="462"/>
      <c r="E787" s="462"/>
      <c r="F787" s="78" t="s">
        <v>1226</v>
      </c>
      <c r="G787" s="78">
        <v>8700</v>
      </c>
      <c r="H787" s="57" t="s">
        <v>621</v>
      </c>
      <c r="I787" s="232" t="s">
        <v>23</v>
      </c>
      <c r="J787" s="232" t="s">
        <v>831</v>
      </c>
      <c r="K787" s="75"/>
      <c r="L787" s="75"/>
      <c r="M787" s="75"/>
      <c r="N787" s="145"/>
      <c r="O787" s="73"/>
      <c r="P787" s="185"/>
      <c r="Q787" s="267"/>
    </row>
    <row r="788" spans="1:17" s="279" customFormat="1" hidden="1" x14ac:dyDescent="0.3">
      <c r="A788" s="278"/>
      <c r="B788" s="75" t="s">
        <v>31</v>
      </c>
      <c r="C788" s="462">
        <v>46022.451388888891</v>
      </c>
      <c r="D788" s="462"/>
      <c r="E788" s="462"/>
      <c r="F788" s="78" t="s">
        <v>1169</v>
      </c>
      <c r="G788" s="78">
        <v>5100</v>
      </c>
      <c r="H788" s="57" t="s">
        <v>94</v>
      </c>
      <c r="I788" s="232" t="s">
        <v>23</v>
      </c>
      <c r="J788" s="232" t="s">
        <v>1234</v>
      </c>
      <c r="K788" s="75"/>
      <c r="L788" s="75" t="s">
        <v>957</v>
      </c>
      <c r="M788" s="75" t="s">
        <v>16</v>
      </c>
      <c r="N788" s="145"/>
      <c r="O788" s="73"/>
      <c r="P788" s="185"/>
      <c r="Q788" s="267"/>
    </row>
    <row r="789" spans="1:17" s="279" customFormat="1" hidden="1" x14ac:dyDescent="0.3">
      <c r="A789" s="278"/>
      <c r="B789" s="85" t="s">
        <v>632</v>
      </c>
      <c r="C789" s="461" t="s">
        <v>1244</v>
      </c>
      <c r="D789" s="461"/>
      <c r="E789" s="461"/>
      <c r="F789" s="97" t="s">
        <v>1174</v>
      </c>
      <c r="G789" s="97">
        <v>8700</v>
      </c>
      <c r="H789" s="239" t="s">
        <v>621</v>
      </c>
      <c r="I789" s="229" t="s">
        <v>23</v>
      </c>
      <c r="J789" s="229" t="s">
        <v>711</v>
      </c>
      <c r="K789" s="85"/>
      <c r="L789" s="85"/>
      <c r="M789" s="85"/>
      <c r="N789" s="242"/>
      <c r="O789" s="69"/>
      <c r="P789" s="301"/>
      <c r="Q789" s="299"/>
    </row>
    <row r="790" spans="1:17" s="279" customFormat="1" hidden="1" x14ac:dyDescent="0.3">
      <c r="A790" s="278"/>
      <c r="B790" s="75" t="s">
        <v>1199</v>
      </c>
      <c r="C790" s="462">
        <v>46027.513888888891</v>
      </c>
      <c r="D790" s="462"/>
      <c r="E790" s="462"/>
      <c r="F790" s="78" t="s">
        <v>1256</v>
      </c>
      <c r="G790" s="78">
        <f>55000-39750-5500</f>
        <v>9750</v>
      </c>
      <c r="H790" s="57" t="s">
        <v>710</v>
      </c>
      <c r="I790" s="232" t="s">
        <v>17</v>
      </c>
      <c r="J790" s="232" t="s">
        <v>701</v>
      </c>
      <c r="K790" s="75"/>
      <c r="L790" s="75"/>
      <c r="M790" s="75"/>
      <c r="N790" s="145"/>
      <c r="O790" s="73"/>
      <c r="P790" s="185"/>
      <c r="Q790" s="267" t="s">
        <v>1257</v>
      </c>
    </row>
    <row r="791" spans="1:17" s="279" customFormat="1" ht="19.5" hidden="1" customHeight="1" x14ac:dyDescent="0.3">
      <c r="A791" s="278"/>
      <c r="B791" s="85" t="s">
        <v>31</v>
      </c>
      <c r="C791" s="461">
        <v>46031.791666666664</v>
      </c>
      <c r="D791" s="461"/>
      <c r="E791" s="461"/>
      <c r="F791" s="97" t="s">
        <v>1169</v>
      </c>
      <c r="G791" s="97">
        <v>8500</v>
      </c>
      <c r="H791" s="239" t="s">
        <v>94</v>
      </c>
      <c r="I791" s="229" t="s">
        <v>23</v>
      </c>
      <c r="J791" s="229" t="s">
        <v>1261</v>
      </c>
      <c r="K791" s="85"/>
      <c r="L791" s="85" t="s">
        <v>957</v>
      </c>
      <c r="M791" s="85" t="s">
        <v>16</v>
      </c>
      <c r="N791" s="242"/>
      <c r="O791" s="69"/>
      <c r="P791" s="301"/>
      <c r="Q791" s="299"/>
    </row>
    <row r="792" spans="1:17" s="279" customFormat="1" ht="19.5" hidden="1" customHeight="1" x14ac:dyDescent="0.3">
      <c r="A792" s="278"/>
      <c r="B792" s="85" t="s">
        <v>1255</v>
      </c>
      <c r="C792" s="461">
        <v>46032.791666666664</v>
      </c>
      <c r="D792" s="461"/>
      <c r="E792" s="461"/>
      <c r="F792" s="97" t="s">
        <v>1258</v>
      </c>
      <c r="G792" s="97">
        <v>20562</v>
      </c>
      <c r="H792" s="239" t="s">
        <v>710</v>
      </c>
      <c r="I792" s="229" t="s">
        <v>17</v>
      </c>
      <c r="J792" s="229" t="s">
        <v>1259</v>
      </c>
      <c r="K792" s="85"/>
      <c r="L792" s="85"/>
      <c r="M792" s="85"/>
      <c r="N792" s="242"/>
      <c r="O792" s="69"/>
      <c r="P792" s="301"/>
      <c r="Q792" s="299" t="s">
        <v>1260</v>
      </c>
    </row>
    <row r="793" spans="1:17" s="279" customFormat="1" ht="19.5" hidden="1" customHeight="1" x14ac:dyDescent="0.3">
      <c r="A793" s="278"/>
      <c r="B793" s="429" t="s">
        <v>632</v>
      </c>
      <c r="C793" s="462">
        <v>46033.340277777781</v>
      </c>
      <c r="D793" s="462"/>
      <c r="E793" s="462"/>
      <c r="F793" s="78" t="s">
        <v>1174</v>
      </c>
      <c r="G793" s="78">
        <v>2500</v>
      </c>
      <c r="H793" s="467" t="s">
        <v>13</v>
      </c>
      <c r="I793" s="232" t="s">
        <v>23</v>
      </c>
      <c r="J793" s="232" t="s">
        <v>1267</v>
      </c>
      <c r="K793" s="75"/>
      <c r="L793" s="448"/>
      <c r="M793" s="448" t="s">
        <v>16</v>
      </c>
      <c r="N793" s="145" t="s">
        <v>1126</v>
      </c>
      <c r="O793" s="73" t="s">
        <v>964</v>
      </c>
      <c r="P793" s="185"/>
      <c r="Q793" s="267"/>
    </row>
    <row r="794" spans="1:17" s="279" customFormat="1" ht="19.5" hidden="1" customHeight="1" x14ac:dyDescent="0.3">
      <c r="A794" s="278"/>
      <c r="B794" s="429"/>
      <c r="C794" s="462"/>
      <c r="D794" s="462"/>
      <c r="E794" s="462"/>
      <c r="F794" s="78" t="s">
        <v>1266</v>
      </c>
      <c r="G794" s="78">
        <v>6200</v>
      </c>
      <c r="H794" s="468"/>
      <c r="I794" s="232" t="s">
        <v>17</v>
      </c>
      <c r="J794" s="232" t="s">
        <v>40</v>
      </c>
      <c r="K794" s="75"/>
      <c r="L794" s="449"/>
      <c r="M794" s="449"/>
      <c r="N794" s="145"/>
      <c r="O794" s="73"/>
      <c r="P794" s="185"/>
      <c r="Q794" s="267"/>
    </row>
    <row r="795" spans="1:17" s="279" customFormat="1" ht="19.5" hidden="1" customHeight="1" x14ac:dyDescent="0.3">
      <c r="A795" s="278"/>
      <c r="B795" s="465" t="s">
        <v>31</v>
      </c>
      <c r="C795" s="419">
        <v>46038.875</v>
      </c>
      <c r="D795" s="420"/>
      <c r="E795" s="421"/>
      <c r="F795" s="425" t="s">
        <v>1268</v>
      </c>
      <c r="G795" s="97">
        <v>3000</v>
      </c>
      <c r="H795" s="427" t="s">
        <v>94</v>
      </c>
      <c r="I795" s="229" t="s">
        <v>23</v>
      </c>
      <c r="J795" s="229" t="s">
        <v>1272</v>
      </c>
      <c r="K795" s="85"/>
      <c r="L795" s="85"/>
      <c r="M795" s="85"/>
      <c r="N795" s="242"/>
      <c r="O795" s="69" t="s">
        <v>964</v>
      </c>
      <c r="P795" s="301"/>
      <c r="Q795" s="299" t="s">
        <v>1273</v>
      </c>
    </row>
    <row r="796" spans="1:17" s="279" customFormat="1" ht="19.5" hidden="1" customHeight="1" x14ac:dyDescent="0.3">
      <c r="A796" s="278"/>
      <c r="B796" s="466"/>
      <c r="C796" s="422"/>
      <c r="D796" s="423"/>
      <c r="E796" s="424"/>
      <c r="F796" s="426"/>
      <c r="G796" s="97">
        <f>8403-3000</f>
        <v>5403</v>
      </c>
      <c r="H796" s="428"/>
      <c r="I796" s="229" t="s">
        <v>11</v>
      </c>
      <c r="J796" s="229" t="s">
        <v>113</v>
      </c>
      <c r="K796" s="85"/>
      <c r="L796" s="85"/>
      <c r="M796" s="85"/>
      <c r="N796" s="242"/>
      <c r="O796" s="69"/>
      <c r="P796" s="301"/>
      <c r="Q796" s="299"/>
    </row>
    <row r="797" spans="1:17" s="279" customFormat="1" hidden="1" x14ac:dyDescent="0.3">
      <c r="A797" s="278"/>
      <c r="B797" s="85" t="s">
        <v>632</v>
      </c>
      <c r="C797" s="461">
        <v>46039.375</v>
      </c>
      <c r="D797" s="461"/>
      <c r="E797" s="461"/>
      <c r="F797" s="97" t="s">
        <v>1266</v>
      </c>
      <c r="G797" s="97">
        <v>8700</v>
      </c>
      <c r="H797" s="239" t="s">
        <v>621</v>
      </c>
      <c r="I797" s="229" t="s">
        <v>17</v>
      </c>
      <c r="J797" s="229" t="s">
        <v>40</v>
      </c>
      <c r="K797" s="85"/>
      <c r="L797" s="85"/>
      <c r="M797" s="85"/>
      <c r="N797" s="242"/>
      <c r="O797" s="69"/>
      <c r="P797" s="301"/>
      <c r="Q797" s="299"/>
    </row>
    <row r="798" spans="1:17" s="279" customFormat="1" hidden="1" x14ac:dyDescent="0.3">
      <c r="A798" s="278"/>
      <c r="B798" s="432" t="s">
        <v>638</v>
      </c>
      <c r="C798" s="419" t="s">
        <v>1271</v>
      </c>
      <c r="D798" s="420"/>
      <c r="E798" s="421"/>
      <c r="F798" s="425" t="s">
        <v>1266</v>
      </c>
      <c r="G798" s="97">
        <f>11059-8700</f>
        <v>2359</v>
      </c>
      <c r="H798" s="239" t="s">
        <v>621</v>
      </c>
      <c r="I798" s="229" t="s">
        <v>17</v>
      </c>
      <c r="J798" s="229" t="s">
        <v>40</v>
      </c>
      <c r="K798" s="85"/>
      <c r="L798" s="85"/>
      <c r="M798" s="85"/>
      <c r="N798" s="242" t="s">
        <v>1269</v>
      </c>
      <c r="O798" s="69" t="s">
        <v>1270</v>
      </c>
      <c r="P798" s="301"/>
      <c r="Q798" s="299"/>
    </row>
    <row r="799" spans="1:17" s="279" customFormat="1" hidden="1" x14ac:dyDescent="0.3">
      <c r="A799" s="278"/>
      <c r="B799" s="432"/>
      <c r="C799" s="422"/>
      <c r="D799" s="423"/>
      <c r="E799" s="424"/>
      <c r="F799" s="426"/>
      <c r="G799" s="97">
        <f>8700-G798</f>
        <v>6341</v>
      </c>
      <c r="H799" s="239" t="s">
        <v>621</v>
      </c>
      <c r="I799" s="229" t="s">
        <v>1074</v>
      </c>
      <c r="J799" s="229" t="s">
        <v>1276</v>
      </c>
      <c r="K799" s="85"/>
      <c r="L799" s="85"/>
      <c r="M799" s="85"/>
      <c r="N799" s="242"/>
      <c r="O799" s="69"/>
      <c r="P799" s="301"/>
      <c r="Q799" s="299"/>
    </row>
    <row r="800" spans="1:17" s="279" customFormat="1" hidden="1" x14ac:dyDescent="0.3">
      <c r="A800" s="278"/>
      <c r="B800" s="75" t="s">
        <v>632</v>
      </c>
      <c r="C800" s="462">
        <v>46041.333333333336</v>
      </c>
      <c r="D800" s="462"/>
      <c r="E800" s="462"/>
      <c r="F800" s="78" t="s">
        <v>1266</v>
      </c>
      <c r="G800" s="78">
        <v>8579</v>
      </c>
      <c r="H800" s="57" t="s">
        <v>621</v>
      </c>
      <c r="I800" s="232" t="s">
        <v>1074</v>
      </c>
      <c r="J800" s="232" t="s">
        <v>1278</v>
      </c>
      <c r="K800" s="75"/>
      <c r="L800" s="75"/>
      <c r="M800" s="75"/>
      <c r="N800" s="145"/>
      <c r="O800" s="73"/>
      <c r="P800" s="185"/>
      <c r="Q800" s="267"/>
    </row>
    <row r="801" spans="1:17" s="279" customFormat="1" hidden="1" x14ac:dyDescent="0.3">
      <c r="A801" s="278"/>
      <c r="B801" s="85" t="s">
        <v>1199</v>
      </c>
      <c r="C801" s="461">
        <v>46043.791666666664</v>
      </c>
      <c r="D801" s="461"/>
      <c r="E801" s="461"/>
      <c r="F801" s="97" t="s">
        <v>1258</v>
      </c>
      <c r="G801" s="97">
        <v>2020</v>
      </c>
      <c r="H801" s="239" t="s">
        <v>710</v>
      </c>
      <c r="I801" s="229" t="s">
        <v>17</v>
      </c>
      <c r="J801" s="229" t="s">
        <v>1283</v>
      </c>
      <c r="K801" s="85"/>
      <c r="L801" s="85"/>
      <c r="M801" s="85"/>
      <c r="N801" s="242" t="s">
        <v>1269</v>
      </c>
      <c r="O801" s="69" t="s">
        <v>1270</v>
      </c>
      <c r="P801" s="301"/>
      <c r="Q801" s="299"/>
    </row>
    <row r="802" spans="1:17" s="279" customFormat="1" hidden="1" x14ac:dyDescent="0.3">
      <c r="A802" s="278"/>
      <c r="B802" s="85" t="s">
        <v>31</v>
      </c>
      <c r="C802" s="461">
        <v>46043.833333333336</v>
      </c>
      <c r="D802" s="461"/>
      <c r="E802" s="461"/>
      <c r="F802" s="97" t="s">
        <v>1268</v>
      </c>
      <c r="G802" s="97">
        <v>4500</v>
      </c>
      <c r="H802" s="239" t="s">
        <v>94</v>
      </c>
      <c r="I802" s="229" t="s">
        <v>11</v>
      </c>
      <c r="J802" s="229" t="s">
        <v>113</v>
      </c>
      <c r="K802" s="85"/>
      <c r="L802" s="85"/>
      <c r="M802" s="85"/>
      <c r="N802" s="242"/>
      <c r="O802" s="69"/>
      <c r="P802" s="301"/>
      <c r="Q802" s="299"/>
    </row>
    <row r="803" spans="1:17" s="279" customFormat="1" hidden="1" x14ac:dyDescent="0.3">
      <c r="A803" s="278"/>
      <c r="B803" s="75" t="s">
        <v>632</v>
      </c>
      <c r="C803" s="462">
        <v>46044.465277777781</v>
      </c>
      <c r="D803" s="462"/>
      <c r="E803" s="462"/>
      <c r="F803" s="78" t="s">
        <v>1266</v>
      </c>
      <c r="G803" s="78">
        <v>8600</v>
      </c>
      <c r="H803" s="57" t="s">
        <v>621</v>
      </c>
      <c r="I803" s="232" t="s">
        <v>11</v>
      </c>
      <c r="J803" s="232" t="s">
        <v>1284</v>
      </c>
      <c r="K803" s="75"/>
      <c r="L803" s="75"/>
      <c r="M803" s="75"/>
      <c r="N803" s="145"/>
      <c r="O803" s="73"/>
      <c r="P803" s="185"/>
      <c r="Q803" s="267"/>
    </row>
    <row r="804" spans="1:17" s="279" customFormat="1" hidden="1" x14ac:dyDescent="0.3">
      <c r="A804" s="278"/>
      <c r="B804" s="465" t="s">
        <v>638</v>
      </c>
      <c r="C804" s="419">
        <v>46044.791666666664</v>
      </c>
      <c r="D804" s="420"/>
      <c r="E804" s="421"/>
      <c r="F804" s="97" t="s">
        <v>1266</v>
      </c>
      <c r="G804" s="97">
        <v>6399</v>
      </c>
      <c r="H804" s="239" t="s">
        <v>621</v>
      </c>
      <c r="I804" s="229" t="s">
        <v>11</v>
      </c>
      <c r="J804" s="229" t="s">
        <v>1284</v>
      </c>
      <c r="K804" s="85"/>
      <c r="L804" s="85"/>
      <c r="M804" s="85"/>
      <c r="N804" s="242" t="s">
        <v>1126</v>
      </c>
      <c r="O804" s="69" t="s">
        <v>964</v>
      </c>
      <c r="P804" s="301"/>
      <c r="Q804" s="299"/>
    </row>
    <row r="805" spans="1:17" s="279" customFormat="1" hidden="1" x14ac:dyDescent="0.3">
      <c r="A805" s="278"/>
      <c r="B805" s="466"/>
      <c r="C805" s="422"/>
      <c r="D805" s="423"/>
      <c r="E805" s="424"/>
      <c r="F805" s="97" t="s">
        <v>1266</v>
      </c>
      <c r="G805" s="97">
        <f>8601-6399</f>
        <v>2202</v>
      </c>
      <c r="H805" s="239" t="s">
        <v>621</v>
      </c>
      <c r="I805" s="229" t="s">
        <v>1074</v>
      </c>
      <c r="J805" s="229" t="s">
        <v>1057</v>
      </c>
      <c r="K805" s="85"/>
      <c r="L805" s="85"/>
      <c r="M805" s="85"/>
      <c r="N805" s="242"/>
      <c r="O805" s="69"/>
      <c r="P805" s="301"/>
      <c r="Q805" s="299"/>
    </row>
    <row r="806" spans="1:17" s="279" customFormat="1" hidden="1" x14ac:dyDescent="0.3">
      <c r="A806" s="278"/>
      <c r="B806" s="465" t="s">
        <v>638</v>
      </c>
      <c r="C806" s="419" t="s">
        <v>1285</v>
      </c>
      <c r="D806" s="420"/>
      <c r="E806" s="421"/>
      <c r="F806" s="425" t="s">
        <v>1266</v>
      </c>
      <c r="G806" s="97">
        <v>2840</v>
      </c>
      <c r="H806" s="239" t="s">
        <v>621</v>
      </c>
      <c r="I806" s="602" t="s">
        <v>11</v>
      </c>
      <c r="J806" s="229" t="s">
        <v>1284</v>
      </c>
      <c r="K806" s="85"/>
      <c r="L806" s="85"/>
      <c r="M806" s="85"/>
      <c r="N806" s="242" t="s">
        <v>1126</v>
      </c>
      <c r="O806" s="69" t="s">
        <v>964</v>
      </c>
      <c r="P806" s="301"/>
      <c r="Q806" s="299"/>
    </row>
    <row r="807" spans="1:17" s="279" customFormat="1" hidden="1" x14ac:dyDescent="0.3">
      <c r="A807" s="278"/>
      <c r="B807" s="466"/>
      <c r="C807" s="422"/>
      <c r="D807" s="423"/>
      <c r="E807" s="424"/>
      <c r="F807" s="426"/>
      <c r="G807" s="97">
        <f>8700-2840</f>
        <v>5860</v>
      </c>
      <c r="H807" s="239" t="s">
        <v>621</v>
      </c>
      <c r="I807" s="603"/>
      <c r="J807" s="229" t="s">
        <v>58</v>
      </c>
      <c r="K807" s="85"/>
      <c r="L807" s="85"/>
      <c r="M807" s="85"/>
      <c r="N807" s="242"/>
      <c r="O807" s="69"/>
      <c r="P807" s="301"/>
      <c r="Q807" s="299"/>
    </row>
    <row r="808" spans="1:17" s="279" customFormat="1" hidden="1" x14ac:dyDescent="0.3">
      <c r="A808" s="278"/>
      <c r="B808" s="465" t="s">
        <v>31</v>
      </c>
      <c r="C808" s="419" t="s">
        <v>1288</v>
      </c>
      <c r="D808" s="420"/>
      <c r="E808" s="421"/>
      <c r="F808" s="238" t="s">
        <v>1169</v>
      </c>
      <c r="G808" s="97">
        <v>1200</v>
      </c>
      <c r="H808" s="427" t="s">
        <v>94</v>
      </c>
      <c r="I808" s="229" t="s">
        <v>1074</v>
      </c>
      <c r="J808" s="229" t="s">
        <v>1283</v>
      </c>
      <c r="K808" s="85"/>
      <c r="L808" s="465" t="s">
        <v>957</v>
      </c>
      <c r="M808" s="465" t="s">
        <v>16</v>
      </c>
      <c r="N808" s="242"/>
      <c r="O808" s="69"/>
      <c r="P808" s="301"/>
      <c r="Q808" s="299"/>
    </row>
    <row r="809" spans="1:17" s="279" customFormat="1" hidden="1" x14ac:dyDescent="0.3">
      <c r="A809" s="278"/>
      <c r="B809" s="466"/>
      <c r="C809" s="422"/>
      <c r="D809" s="423"/>
      <c r="E809" s="424"/>
      <c r="F809" s="238" t="s">
        <v>1268</v>
      </c>
      <c r="G809" s="97">
        <f>4500-1200</f>
        <v>3300</v>
      </c>
      <c r="H809" s="428"/>
      <c r="I809" s="229" t="s">
        <v>11</v>
      </c>
      <c r="J809" s="229" t="s">
        <v>1289</v>
      </c>
      <c r="K809" s="85"/>
      <c r="L809" s="466"/>
      <c r="M809" s="466"/>
      <c r="N809" s="242"/>
      <c r="O809" s="69"/>
      <c r="P809" s="301"/>
      <c r="Q809" s="299"/>
    </row>
    <row r="810" spans="1:17" s="279" customFormat="1" ht="19.5" hidden="1" customHeight="1" x14ac:dyDescent="0.3">
      <c r="A810" s="278"/>
      <c r="B810" s="448" t="s">
        <v>632</v>
      </c>
      <c r="C810" s="499">
        <v>46050.006944444445</v>
      </c>
      <c r="D810" s="500"/>
      <c r="E810" s="501"/>
      <c r="F810" s="543" t="s">
        <v>1266</v>
      </c>
      <c r="G810" s="78">
        <f>2440+7900-8700</f>
        <v>1640</v>
      </c>
      <c r="H810" s="467" t="s">
        <v>621</v>
      </c>
      <c r="I810" s="232" t="s">
        <v>11</v>
      </c>
      <c r="J810" s="232" t="s">
        <v>58</v>
      </c>
      <c r="K810" s="75"/>
      <c r="L810" s="75"/>
      <c r="M810" s="75"/>
      <c r="N810" s="145" t="s">
        <v>1126</v>
      </c>
      <c r="O810" s="73" t="s">
        <v>964</v>
      </c>
      <c r="P810" s="185"/>
      <c r="Q810" s="267"/>
    </row>
    <row r="811" spans="1:17" s="279" customFormat="1" ht="19.5" hidden="1" customHeight="1" x14ac:dyDescent="0.3">
      <c r="A811" s="278"/>
      <c r="B811" s="449"/>
      <c r="C811" s="502"/>
      <c r="D811" s="503"/>
      <c r="E811" s="504"/>
      <c r="F811" s="544"/>
      <c r="G811" s="78">
        <v>7060</v>
      </c>
      <c r="H811" s="468"/>
      <c r="I811" s="232" t="s">
        <v>1074</v>
      </c>
      <c r="J811" s="232" t="s">
        <v>1278</v>
      </c>
      <c r="K811" s="75"/>
      <c r="L811" s="75"/>
      <c r="M811" s="75"/>
      <c r="N811" s="145"/>
      <c r="O811" s="73"/>
      <c r="P811" s="185"/>
      <c r="Q811" s="267"/>
    </row>
    <row r="812" spans="1:17" s="279" customFormat="1" ht="19.5" hidden="1" customHeight="1" x14ac:dyDescent="0.3">
      <c r="A812" s="278"/>
      <c r="B812" s="75" t="s">
        <v>31</v>
      </c>
      <c r="C812" s="462">
        <v>46055.631944444445</v>
      </c>
      <c r="D812" s="462"/>
      <c r="E812" s="462"/>
      <c r="F812" s="78" t="s">
        <v>1268</v>
      </c>
      <c r="G812" s="78">
        <v>4500</v>
      </c>
      <c r="H812" s="57" t="s">
        <v>94</v>
      </c>
      <c r="I812" s="232" t="s">
        <v>11</v>
      </c>
      <c r="J812" s="232" t="s">
        <v>25</v>
      </c>
      <c r="K812" s="75"/>
      <c r="L812" s="75"/>
      <c r="M812" s="75"/>
      <c r="N812" s="145"/>
      <c r="O812" s="73"/>
      <c r="P812" s="185"/>
      <c r="Q812" s="267"/>
    </row>
    <row r="813" spans="1:17" s="279" customFormat="1" ht="19.5" hidden="1" customHeight="1" x14ac:dyDescent="0.3">
      <c r="A813" s="278"/>
      <c r="B813" s="85" t="s">
        <v>632</v>
      </c>
      <c r="C813" s="461" t="s">
        <v>1292</v>
      </c>
      <c r="D813" s="461"/>
      <c r="E813" s="461"/>
      <c r="F813" s="97" t="s">
        <v>1266</v>
      </c>
      <c r="G813" s="97">
        <v>8700</v>
      </c>
      <c r="H813" s="239" t="s">
        <v>621</v>
      </c>
      <c r="I813" s="229" t="s">
        <v>1074</v>
      </c>
      <c r="J813" s="229" t="s">
        <v>1057</v>
      </c>
      <c r="K813" s="85"/>
      <c r="L813" s="85"/>
      <c r="M813" s="85"/>
      <c r="N813" s="242"/>
      <c r="O813" s="69"/>
      <c r="P813" s="301"/>
      <c r="Q813" s="299"/>
    </row>
    <row r="814" spans="1:17" s="279" customFormat="1" ht="19.5" hidden="1" customHeight="1" x14ac:dyDescent="0.3">
      <c r="A814" s="278"/>
      <c r="B814" s="75" t="s">
        <v>632</v>
      </c>
      <c r="C814" s="462">
        <v>46057.069444444445</v>
      </c>
      <c r="D814" s="462"/>
      <c r="E814" s="462"/>
      <c r="F814" s="78" t="s">
        <v>1164</v>
      </c>
      <c r="G814" s="78">
        <v>8700</v>
      </c>
      <c r="H814" s="57" t="s">
        <v>621</v>
      </c>
      <c r="I814" s="232" t="s">
        <v>11</v>
      </c>
      <c r="J814" s="232" t="s">
        <v>1291</v>
      </c>
      <c r="K814" s="75"/>
      <c r="L814" s="75"/>
      <c r="M814" s="75"/>
      <c r="N814" s="145"/>
      <c r="O814" s="73"/>
      <c r="P814" s="185"/>
      <c r="Q814" s="267"/>
    </row>
    <row r="815" spans="1:17" s="279" customFormat="1" ht="19.5" hidden="1" customHeight="1" x14ac:dyDescent="0.3">
      <c r="A815" s="278"/>
      <c r="B815" s="85" t="s">
        <v>31</v>
      </c>
      <c r="C815" s="452" t="s">
        <v>1293</v>
      </c>
      <c r="D815" s="453"/>
      <c r="E815" s="454"/>
      <c r="F815" s="97" t="s">
        <v>1268</v>
      </c>
      <c r="G815" s="257">
        <v>9500</v>
      </c>
      <c r="H815" s="239" t="s">
        <v>94</v>
      </c>
      <c r="I815" s="229" t="s">
        <v>11</v>
      </c>
      <c r="J815" s="229" t="s">
        <v>25</v>
      </c>
      <c r="K815" s="85"/>
      <c r="L815" s="85" t="s">
        <v>957</v>
      </c>
      <c r="M815" s="85" t="s">
        <v>16</v>
      </c>
      <c r="N815" s="242"/>
      <c r="O815" s="69"/>
      <c r="P815" s="301"/>
      <c r="Q815" s="299"/>
    </row>
    <row r="816" spans="1:17" s="279" customFormat="1" ht="19.5" hidden="1" customHeight="1" x14ac:dyDescent="0.3">
      <c r="A816" s="278"/>
      <c r="B816" s="465" t="s">
        <v>632</v>
      </c>
      <c r="C816" s="419" t="s">
        <v>1301</v>
      </c>
      <c r="D816" s="420"/>
      <c r="E816" s="421"/>
      <c r="F816" s="97" t="s">
        <v>1266</v>
      </c>
      <c r="G816" s="97">
        <v>3000</v>
      </c>
      <c r="H816" s="427" t="s">
        <v>621</v>
      </c>
      <c r="I816" s="229" t="s">
        <v>1074</v>
      </c>
      <c r="J816" s="229" t="s">
        <v>651</v>
      </c>
      <c r="K816" s="85"/>
      <c r="L816" s="85"/>
      <c r="M816" s="465" t="s">
        <v>16</v>
      </c>
      <c r="N816" s="242" t="s">
        <v>254</v>
      </c>
      <c r="O816" s="69" t="s">
        <v>964</v>
      </c>
      <c r="P816" s="301"/>
      <c r="Q816" s="299"/>
    </row>
    <row r="817" spans="1:17" s="279" customFormat="1" ht="19.5" hidden="1" customHeight="1" x14ac:dyDescent="0.3">
      <c r="A817" s="278"/>
      <c r="B817" s="466"/>
      <c r="C817" s="422"/>
      <c r="D817" s="423"/>
      <c r="E817" s="424"/>
      <c r="F817" s="97" t="s">
        <v>1164</v>
      </c>
      <c r="G817" s="97">
        <v>5700</v>
      </c>
      <c r="H817" s="428"/>
      <c r="I817" s="229" t="s">
        <v>11</v>
      </c>
      <c r="J817" s="229" t="s">
        <v>1291</v>
      </c>
      <c r="K817" s="85"/>
      <c r="L817" s="85"/>
      <c r="M817" s="466"/>
      <c r="N817" s="242"/>
      <c r="O817" s="69"/>
      <c r="P817" s="301"/>
      <c r="Q817" s="299"/>
    </row>
    <row r="818" spans="1:17" s="279" customFormat="1" ht="19.5" hidden="1" customHeight="1" x14ac:dyDescent="0.3">
      <c r="A818" s="278"/>
      <c r="B818" s="85" t="s">
        <v>632</v>
      </c>
      <c r="C818" s="452">
        <v>46062.666666666664</v>
      </c>
      <c r="D818" s="453"/>
      <c r="E818" s="454"/>
      <c r="F818" s="97" t="s">
        <v>1164</v>
      </c>
      <c r="G818" s="97">
        <v>8700</v>
      </c>
      <c r="H818" s="239" t="s">
        <v>621</v>
      </c>
      <c r="I818" s="229" t="s">
        <v>11</v>
      </c>
      <c r="J818" s="229" t="s">
        <v>1291</v>
      </c>
      <c r="K818" s="85"/>
      <c r="L818" s="85"/>
      <c r="M818" s="85"/>
      <c r="N818" s="242"/>
      <c r="O818" s="69"/>
      <c r="P818" s="301"/>
      <c r="Q818" s="299"/>
    </row>
    <row r="819" spans="1:17" s="279" customFormat="1" ht="19.5" hidden="1" customHeight="1" x14ac:dyDescent="0.3">
      <c r="A819" s="278"/>
      <c r="B819" s="448" t="s">
        <v>632</v>
      </c>
      <c r="C819" s="499">
        <v>46064.166666666664</v>
      </c>
      <c r="D819" s="500"/>
      <c r="E819" s="501"/>
      <c r="F819" s="78" t="s">
        <v>1164</v>
      </c>
      <c r="G819" s="78">
        <v>4700</v>
      </c>
      <c r="H819" s="467" t="s">
        <v>1294</v>
      </c>
      <c r="I819" s="457" t="s">
        <v>11</v>
      </c>
      <c r="J819" s="232" t="s">
        <v>1291</v>
      </c>
      <c r="K819" s="75"/>
      <c r="L819" s="75"/>
      <c r="M819" s="448" t="s">
        <v>16</v>
      </c>
      <c r="N819" s="145"/>
      <c r="O819" s="73"/>
      <c r="P819" s="185"/>
      <c r="Q819" s="267"/>
    </row>
    <row r="820" spans="1:17" s="279" customFormat="1" ht="19.5" hidden="1" customHeight="1" x14ac:dyDescent="0.3">
      <c r="A820" s="278"/>
      <c r="B820" s="449"/>
      <c r="C820" s="502"/>
      <c r="D820" s="503"/>
      <c r="E820" s="504"/>
      <c r="F820" s="78" t="s">
        <v>1307</v>
      </c>
      <c r="G820" s="78">
        <v>4000</v>
      </c>
      <c r="H820" s="468"/>
      <c r="I820" s="458"/>
      <c r="J820" s="232" t="s">
        <v>1308</v>
      </c>
      <c r="K820" s="75"/>
      <c r="L820" s="75"/>
      <c r="M820" s="449"/>
      <c r="N820" s="145"/>
      <c r="O820" s="73"/>
      <c r="P820" s="185"/>
      <c r="Q820" s="267"/>
    </row>
    <row r="821" spans="1:17" s="279" customFormat="1" ht="19.5" hidden="1" customHeight="1" x14ac:dyDescent="0.3">
      <c r="A821" s="278"/>
      <c r="B821" s="448" t="s">
        <v>632</v>
      </c>
      <c r="C821" s="499">
        <v>46065.326388888891</v>
      </c>
      <c r="D821" s="500"/>
      <c r="E821" s="501"/>
      <c r="F821" s="78" t="s">
        <v>1164</v>
      </c>
      <c r="G821" s="78">
        <v>3650</v>
      </c>
      <c r="H821" s="467" t="s">
        <v>621</v>
      </c>
      <c r="I821" s="457" t="s">
        <v>11</v>
      </c>
      <c r="J821" s="232" t="s">
        <v>1291</v>
      </c>
      <c r="K821" s="75"/>
      <c r="L821" s="75"/>
      <c r="M821" s="75"/>
      <c r="N821" s="145"/>
      <c r="O821" s="73"/>
      <c r="P821" s="185"/>
      <c r="Q821" s="267"/>
    </row>
    <row r="822" spans="1:17" s="279" customFormat="1" ht="19.5" hidden="1" customHeight="1" x14ac:dyDescent="0.3">
      <c r="A822" s="278"/>
      <c r="B822" s="449"/>
      <c r="C822" s="502"/>
      <c r="D822" s="503"/>
      <c r="E822" s="504"/>
      <c r="F822" s="78" t="s">
        <v>1307</v>
      </c>
      <c r="G822" s="78">
        <v>4000</v>
      </c>
      <c r="H822" s="468"/>
      <c r="I822" s="458"/>
      <c r="J822" s="232" t="s">
        <v>1314</v>
      </c>
      <c r="K822" s="75"/>
      <c r="L822" s="75"/>
      <c r="M822" s="75"/>
      <c r="N822" s="145"/>
      <c r="O822" s="73"/>
      <c r="P822" s="185"/>
      <c r="Q822" s="267"/>
    </row>
    <row r="823" spans="1:17" s="279" customFormat="1" ht="19.5" hidden="1" customHeight="1" x14ac:dyDescent="0.3">
      <c r="A823" s="278"/>
      <c r="B823" s="465" t="s">
        <v>31</v>
      </c>
      <c r="C823" s="419">
        <v>46065.833333333336</v>
      </c>
      <c r="D823" s="420"/>
      <c r="E823" s="421"/>
      <c r="F823" s="425" t="s">
        <v>1268</v>
      </c>
      <c r="G823" s="425">
        <v>8700</v>
      </c>
      <c r="H823" s="427" t="s">
        <v>94</v>
      </c>
      <c r="I823" s="229" t="s">
        <v>11</v>
      </c>
      <c r="J823" s="229" t="s">
        <v>661</v>
      </c>
      <c r="K823" s="85"/>
      <c r="L823" s="465" t="s">
        <v>957</v>
      </c>
      <c r="M823" s="465" t="s">
        <v>16</v>
      </c>
      <c r="N823" s="242" t="s">
        <v>1126</v>
      </c>
      <c r="O823" s="69" t="s">
        <v>964</v>
      </c>
      <c r="P823" s="301"/>
      <c r="Q823" s="299"/>
    </row>
    <row r="824" spans="1:17" s="279" customFormat="1" ht="19.5" hidden="1" customHeight="1" x14ac:dyDescent="0.3">
      <c r="A824" s="278"/>
      <c r="B824" s="466"/>
      <c r="C824" s="422"/>
      <c r="D824" s="423"/>
      <c r="E824" s="424"/>
      <c r="F824" s="426"/>
      <c r="G824" s="426"/>
      <c r="H824" s="428"/>
      <c r="I824" s="229" t="s">
        <v>1074</v>
      </c>
      <c r="J824" s="229" t="s">
        <v>1146</v>
      </c>
      <c r="K824" s="85"/>
      <c r="L824" s="466"/>
      <c r="M824" s="466"/>
      <c r="N824" s="242"/>
      <c r="O824" s="69"/>
      <c r="P824" s="301"/>
      <c r="Q824" s="299"/>
    </row>
    <row r="825" spans="1:17" s="279" customFormat="1" ht="19.5" hidden="1" customHeight="1" x14ac:dyDescent="0.3">
      <c r="A825" s="278"/>
      <c r="B825" s="465" t="s">
        <v>632</v>
      </c>
      <c r="C825" s="419">
        <v>46066.333333333336</v>
      </c>
      <c r="D825" s="420"/>
      <c r="E825" s="421"/>
      <c r="F825" s="97" t="s">
        <v>1307</v>
      </c>
      <c r="G825" s="97">
        <v>4000</v>
      </c>
      <c r="H825" s="427" t="s">
        <v>621</v>
      </c>
      <c r="I825" s="229" t="s">
        <v>11</v>
      </c>
      <c r="J825" s="229" t="s">
        <v>630</v>
      </c>
      <c r="K825" s="85"/>
      <c r="L825" s="85"/>
      <c r="M825" s="465" t="s">
        <v>16</v>
      </c>
      <c r="N825" s="242"/>
      <c r="O825" s="69"/>
      <c r="P825" s="301"/>
      <c r="Q825" s="299"/>
    </row>
    <row r="826" spans="1:17" s="279" customFormat="1" ht="19.5" hidden="1" customHeight="1" x14ac:dyDescent="0.3">
      <c r="A826" s="278"/>
      <c r="B826" s="466"/>
      <c r="C826" s="422"/>
      <c r="D826" s="423"/>
      <c r="E826" s="424"/>
      <c r="F826" s="97" t="s">
        <v>1163</v>
      </c>
      <c r="G826" s="97">
        <v>4768</v>
      </c>
      <c r="H826" s="428"/>
      <c r="I826" s="229" t="s">
        <v>1074</v>
      </c>
      <c r="J826" s="229" t="s">
        <v>1317</v>
      </c>
      <c r="K826" s="85"/>
      <c r="L826" s="85"/>
      <c r="M826" s="466"/>
      <c r="N826" s="242" t="s">
        <v>1126</v>
      </c>
      <c r="O826" s="69" t="s">
        <v>964</v>
      </c>
      <c r="P826" s="301"/>
      <c r="Q826" s="299"/>
    </row>
    <row r="827" spans="1:17" s="279" customFormat="1" ht="19.5" hidden="1" customHeight="1" x14ac:dyDescent="0.3">
      <c r="A827" s="278"/>
      <c r="B827" s="235" t="s">
        <v>632</v>
      </c>
      <c r="C827" s="419">
        <v>46067.333333333336</v>
      </c>
      <c r="D827" s="420"/>
      <c r="E827" s="421"/>
      <c r="F827" s="97" t="s">
        <v>1164</v>
      </c>
      <c r="G827" s="97">
        <v>8719</v>
      </c>
      <c r="H827" s="335" t="s">
        <v>621</v>
      </c>
      <c r="I827" s="229" t="s">
        <v>11</v>
      </c>
      <c r="J827" s="229" t="s">
        <v>1318</v>
      </c>
      <c r="K827" s="85"/>
      <c r="L827" s="85"/>
      <c r="M827" s="85"/>
      <c r="N827" s="242"/>
      <c r="O827" s="69"/>
      <c r="P827" s="301"/>
      <c r="Q827" s="299"/>
    </row>
    <row r="828" spans="1:17" s="279" customFormat="1" ht="19.5" hidden="1" customHeight="1" x14ac:dyDescent="0.3">
      <c r="A828" s="278"/>
      <c r="B828" s="235" t="s">
        <v>1199</v>
      </c>
      <c r="C828" s="452">
        <v>46068.333333333336</v>
      </c>
      <c r="D828" s="453"/>
      <c r="E828" s="454"/>
      <c r="F828" s="97" t="s">
        <v>1325</v>
      </c>
      <c r="G828" s="97">
        <v>40000</v>
      </c>
      <c r="H828" s="335" t="s">
        <v>710</v>
      </c>
      <c r="I828" s="229" t="s">
        <v>11</v>
      </c>
      <c r="J828" s="229" t="s">
        <v>48</v>
      </c>
      <c r="K828" s="85"/>
      <c r="L828" s="85"/>
      <c r="M828" s="235"/>
      <c r="N828" s="242"/>
      <c r="O828" s="69"/>
      <c r="P828" s="301"/>
      <c r="Q828" s="299"/>
    </row>
    <row r="829" spans="1:17" s="279" customFormat="1" ht="19.5" hidden="1" customHeight="1" x14ac:dyDescent="0.3">
      <c r="A829" s="278"/>
      <c r="B829" s="465" t="s">
        <v>632</v>
      </c>
      <c r="C829" s="419" t="s">
        <v>1315</v>
      </c>
      <c r="D829" s="420"/>
      <c r="E829" s="421"/>
      <c r="F829" s="97" t="s">
        <v>1307</v>
      </c>
      <c r="G829" s="97">
        <v>4700</v>
      </c>
      <c r="H829" s="427" t="s">
        <v>621</v>
      </c>
      <c r="I829" s="229" t="s">
        <v>11</v>
      </c>
      <c r="J829" s="229" t="s">
        <v>630</v>
      </c>
      <c r="K829" s="85"/>
      <c r="L829" s="85"/>
      <c r="M829" s="465" t="s">
        <v>16</v>
      </c>
      <c r="N829" s="242"/>
      <c r="O829" s="69"/>
      <c r="P829" s="301"/>
      <c r="Q829" s="299"/>
    </row>
    <row r="830" spans="1:17" s="279" customFormat="1" ht="19.5" hidden="1" customHeight="1" x14ac:dyDescent="0.3">
      <c r="A830" s="278"/>
      <c r="B830" s="478"/>
      <c r="C830" s="549"/>
      <c r="D830" s="550"/>
      <c r="E830" s="551"/>
      <c r="F830" s="425" t="s">
        <v>1164</v>
      </c>
      <c r="G830" s="425">
        <v>4000</v>
      </c>
      <c r="H830" s="552"/>
      <c r="I830" s="229" t="s">
        <v>11</v>
      </c>
      <c r="J830" s="229" t="s">
        <v>1039</v>
      </c>
      <c r="K830" s="85"/>
      <c r="L830" s="85"/>
      <c r="M830" s="478"/>
      <c r="N830" s="242" t="s">
        <v>1126</v>
      </c>
      <c r="O830" s="69" t="s">
        <v>964</v>
      </c>
      <c r="P830" s="301"/>
      <c r="Q830" s="299"/>
    </row>
    <row r="831" spans="1:17" s="279" customFormat="1" ht="19.5" hidden="1" customHeight="1" x14ac:dyDescent="0.3">
      <c r="A831" s="278"/>
      <c r="B831" s="466"/>
      <c r="C831" s="422"/>
      <c r="D831" s="423"/>
      <c r="E831" s="424"/>
      <c r="F831" s="426"/>
      <c r="G831" s="426"/>
      <c r="H831" s="428"/>
      <c r="I831" s="229" t="s">
        <v>1074</v>
      </c>
      <c r="J831" s="229" t="s">
        <v>1319</v>
      </c>
      <c r="K831" s="85"/>
      <c r="L831" s="85"/>
      <c r="M831" s="466"/>
      <c r="N831" s="242"/>
      <c r="O831" s="69"/>
      <c r="P831" s="301"/>
      <c r="Q831" s="299"/>
    </row>
    <row r="832" spans="1:17" s="279" customFormat="1" ht="19.5" hidden="1" customHeight="1" x14ac:dyDescent="0.3">
      <c r="A832" s="278"/>
      <c r="B832" s="235" t="s">
        <v>31</v>
      </c>
      <c r="C832" s="419" t="s">
        <v>1316</v>
      </c>
      <c r="D832" s="420"/>
      <c r="E832" s="421"/>
      <c r="F832" s="97" t="s">
        <v>1268</v>
      </c>
      <c r="G832" s="97">
        <v>9500</v>
      </c>
      <c r="H832" s="335" t="s">
        <v>621</v>
      </c>
      <c r="I832" s="229" t="s">
        <v>1074</v>
      </c>
      <c r="J832" s="229" t="s">
        <v>1146</v>
      </c>
      <c r="K832" s="85"/>
      <c r="L832" s="85"/>
      <c r="M832" s="235" t="s">
        <v>16</v>
      </c>
      <c r="N832" s="242"/>
      <c r="O832" s="69"/>
      <c r="P832" s="301"/>
      <c r="Q832" s="299"/>
    </row>
    <row r="833" spans="1:17" s="279" customFormat="1" ht="19.5" hidden="1" customHeight="1" x14ac:dyDescent="0.3">
      <c r="A833" s="278"/>
      <c r="B833" s="448" t="s">
        <v>632</v>
      </c>
      <c r="C833" s="499">
        <v>46071.604166666664</v>
      </c>
      <c r="D833" s="500"/>
      <c r="E833" s="501"/>
      <c r="F833" s="78" t="s">
        <v>1307</v>
      </c>
      <c r="G833" s="78">
        <v>5500</v>
      </c>
      <c r="H833" s="467" t="s">
        <v>621</v>
      </c>
      <c r="I833" s="232" t="s">
        <v>11</v>
      </c>
      <c r="J833" s="232" t="s">
        <v>630</v>
      </c>
      <c r="K833" s="75"/>
      <c r="L833" s="75"/>
      <c r="M833" s="448" t="s">
        <v>16</v>
      </c>
      <c r="N833" s="145"/>
      <c r="O833" s="73"/>
      <c r="P833" s="185"/>
      <c r="Q833" s="267"/>
    </row>
    <row r="834" spans="1:17" s="279" customFormat="1" ht="19.5" hidden="1" customHeight="1" x14ac:dyDescent="0.3">
      <c r="A834" s="278"/>
      <c r="B834" s="449"/>
      <c r="C834" s="502"/>
      <c r="D834" s="503"/>
      <c r="E834" s="504"/>
      <c r="F834" s="78" t="s">
        <v>1164</v>
      </c>
      <c r="G834" s="78">
        <v>3200</v>
      </c>
      <c r="H834" s="468"/>
      <c r="I834" s="232" t="s">
        <v>1074</v>
      </c>
      <c r="J834" s="232" t="s">
        <v>1319</v>
      </c>
      <c r="K834" s="75"/>
      <c r="L834" s="75"/>
      <c r="M834" s="449"/>
      <c r="N834" s="145"/>
      <c r="O834" s="73"/>
      <c r="P834" s="185"/>
      <c r="Q834" s="267"/>
    </row>
    <row r="835" spans="1:17" s="279" customFormat="1" hidden="1" x14ac:dyDescent="0.3">
      <c r="A835" s="278"/>
      <c r="B835" s="465" t="s">
        <v>632</v>
      </c>
      <c r="C835" s="419">
        <v>46073.041666666664</v>
      </c>
      <c r="D835" s="420"/>
      <c r="E835" s="421"/>
      <c r="F835" s="425" t="s">
        <v>1164</v>
      </c>
      <c r="G835" s="425">
        <v>4700</v>
      </c>
      <c r="H835" s="427" t="s">
        <v>621</v>
      </c>
      <c r="I835" s="229" t="s">
        <v>11</v>
      </c>
      <c r="J835" s="229" t="s">
        <v>1231</v>
      </c>
      <c r="K835" s="85"/>
      <c r="L835" s="85"/>
      <c r="M835" s="465" t="s">
        <v>16</v>
      </c>
      <c r="N835" s="242" t="s">
        <v>1126</v>
      </c>
      <c r="O835" s="69" t="s">
        <v>964</v>
      </c>
      <c r="P835" s="301"/>
      <c r="Q835" s="299"/>
    </row>
    <row r="836" spans="1:17" s="279" customFormat="1" hidden="1" x14ac:dyDescent="0.3">
      <c r="A836" s="278"/>
      <c r="B836" s="478"/>
      <c r="C836" s="549"/>
      <c r="D836" s="550"/>
      <c r="E836" s="551"/>
      <c r="F836" s="426"/>
      <c r="G836" s="426"/>
      <c r="H836" s="552"/>
      <c r="I836" s="229" t="s">
        <v>1074</v>
      </c>
      <c r="J836" s="229" t="s">
        <v>1319</v>
      </c>
      <c r="K836" s="85"/>
      <c r="L836" s="85"/>
      <c r="M836" s="478"/>
      <c r="N836" s="242"/>
      <c r="O836" s="69"/>
      <c r="P836" s="301"/>
      <c r="Q836" s="299"/>
    </row>
    <row r="837" spans="1:17" s="279" customFormat="1" hidden="1" x14ac:dyDescent="0.3">
      <c r="A837" s="278"/>
      <c r="B837" s="478"/>
      <c r="C837" s="549"/>
      <c r="D837" s="550"/>
      <c r="E837" s="551"/>
      <c r="F837" s="238" t="s">
        <v>1307</v>
      </c>
      <c r="G837" s="238">
        <v>4000</v>
      </c>
      <c r="H837" s="552"/>
      <c r="I837" s="229" t="s">
        <v>1074</v>
      </c>
      <c r="J837" s="229" t="s">
        <v>1317</v>
      </c>
      <c r="K837" s="85"/>
      <c r="L837" s="85"/>
      <c r="M837" s="478"/>
      <c r="N837" s="242"/>
      <c r="O837" s="69"/>
      <c r="P837" s="301"/>
      <c r="Q837" s="299"/>
    </row>
    <row r="838" spans="1:17" s="279" customFormat="1" hidden="1" x14ac:dyDescent="0.3">
      <c r="A838" s="278"/>
      <c r="B838" s="235" t="s">
        <v>31</v>
      </c>
      <c r="C838" s="419">
        <v>46074.833333333336</v>
      </c>
      <c r="D838" s="420"/>
      <c r="E838" s="421"/>
      <c r="F838" s="97" t="s">
        <v>1268</v>
      </c>
      <c r="G838" s="97">
        <v>9000</v>
      </c>
      <c r="H838" s="335" t="s">
        <v>621</v>
      </c>
      <c r="I838" s="229" t="s">
        <v>1074</v>
      </c>
      <c r="J838" s="229" t="s">
        <v>1332</v>
      </c>
      <c r="K838" s="85"/>
      <c r="L838" s="85" t="s">
        <v>953</v>
      </c>
      <c r="M838" s="235" t="s">
        <v>16</v>
      </c>
      <c r="N838" s="242"/>
      <c r="O838" s="69"/>
      <c r="P838" s="301"/>
      <c r="Q838" s="299"/>
    </row>
    <row r="839" spans="1:17" s="279" customFormat="1" ht="19.5" hidden="1" customHeight="1" x14ac:dyDescent="0.3">
      <c r="A839" s="278"/>
      <c r="B839" s="85" t="s">
        <v>1199</v>
      </c>
      <c r="C839" s="452">
        <v>46076.916666666664</v>
      </c>
      <c r="D839" s="453"/>
      <c r="E839" s="454"/>
      <c r="F839" s="97" t="s">
        <v>1325</v>
      </c>
      <c r="G839" s="97">
        <f>40000-32450</f>
        <v>7550</v>
      </c>
      <c r="H839" s="239" t="s">
        <v>710</v>
      </c>
      <c r="I839" s="229" t="s">
        <v>11</v>
      </c>
      <c r="J839" s="229" t="s">
        <v>1333</v>
      </c>
      <c r="K839" s="85"/>
      <c r="L839" s="85"/>
      <c r="M839" s="85"/>
      <c r="N839" s="242" t="s">
        <v>1126</v>
      </c>
      <c r="O839" s="69" t="s">
        <v>964</v>
      </c>
      <c r="P839" s="301"/>
      <c r="Q839" s="299"/>
    </row>
    <row r="840" spans="1:17" s="279" customFormat="1" ht="19.5" hidden="1" customHeight="1" x14ac:dyDescent="0.3">
      <c r="A840" s="278"/>
      <c r="B840" s="465" t="s">
        <v>31</v>
      </c>
      <c r="C840" s="419">
        <v>46079.375</v>
      </c>
      <c r="D840" s="420"/>
      <c r="E840" s="421"/>
      <c r="F840" s="425" t="s">
        <v>1268</v>
      </c>
      <c r="G840" s="425">
        <v>8700</v>
      </c>
      <c r="H840" s="427" t="s">
        <v>94</v>
      </c>
      <c r="I840" s="229" t="s">
        <v>1062</v>
      </c>
      <c r="J840" s="229" t="s">
        <v>1336</v>
      </c>
      <c r="K840" s="85"/>
      <c r="L840" s="465" t="s">
        <v>953</v>
      </c>
      <c r="M840" s="465" t="s">
        <v>16</v>
      </c>
      <c r="N840" s="242"/>
      <c r="O840" s="69"/>
      <c r="P840" s="301"/>
      <c r="Q840" s="299"/>
    </row>
    <row r="841" spans="1:17" s="279" customFormat="1" ht="19.5" hidden="1" customHeight="1" x14ac:dyDescent="0.3">
      <c r="A841" s="278"/>
      <c r="B841" s="466"/>
      <c r="C841" s="422"/>
      <c r="D841" s="423"/>
      <c r="E841" s="424"/>
      <c r="F841" s="426"/>
      <c r="G841" s="426"/>
      <c r="H841" s="428"/>
      <c r="I841" s="229" t="s">
        <v>1074</v>
      </c>
      <c r="J841" s="229" t="s">
        <v>744</v>
      </c>
      <c r="K841" s="85"/>
      <c r="L841" s="466"/>
      <c r="M841" s="466"/>
      <c r="N841" s="242"/>
      <c r="O841" s="69"/>
      <c r="P841" s="301"/>
      <c r="Q841" s="299"/>
    </row>
    <row r="842" spans="1:17" s="279" customFormat="1" ht="19.5" hidden="1" customHeight="1" x14ac:dyDescent="0.3">
      <c r="A842" s="278"/>
      <c r="B842" s="75" t="s">
        <v>1199</v>
      </c>
      <c r="C842" s="411">
        <v>46084.375</v>
      </c>
      <c r="D842" s="412"/>
      <c r="E842" s="413"/>
      <c r="F842" s="78" t="s">
        <v>1338</v>
      </c>
      <c r="G842" s="78">
        <v>35000</v>
      </c>
      <c r="H842" s="57" t="s">
        <v>710</v>
      </c>
      <c r="I842" s="232" t="s">
        <v>11</v>
      </c>
      <c r="J842" s="232" t="s">
        <v>1346</v>
      </c>
      <c r="K842" s="75"/>
      <c r="L842" s="75"/>
      <c r="M842" s="75"/>
      <c r="N842" s="145" t="s">
        <v>1126</v>
      </c>
      <c r="O842" s="73" t="s">
        <v>964</v>
      </c>
      <c r="P842" s="185"/>
      <c r="Q842" s="267" t="s">
        <v>1339</v>
      </c>
    </row>
    <row r="843" spans="1:17" s="279" customFormat="1" ht="19.5" hidden="1" customHeight="1" x14ac:dyDescent="0.3">
      <c r="A843" s="278"/>
      <c r="B843" s="448" t="s">
        <v>1347</v>
      </c>
      <c r="C843" s="499">
        <v>46085.295138888891</v>
      </c>
      <c r="D843" s="500"/>
      <c r="E843" s="501"/>
      <c r="F843" s="78" t="s">
        <v>1307</v>
      </c>
      <c r="G843" s="78">
        <v>4700</v>
      </c>
      <c r="H843" s="467" t="s">
        <v>621</v>
      </c>
      <c r="I843" s="457" t="s">
        <v>1074</v>
      </c>
      <c r="J843" s="232" t="s">
        <v>1345</v>
      </c>
      <c r="K843" s="75"/>
      <c r="L843" s="75"/>
      <c r="M843" s="448" t="s">
        <v>16</v>
      </c>
      <c r="N843" s="145"/>
      <c r="O843" s="73"/>
      <c r="P843" s="185"/>
      <c r="Q843" s="267"/>
    </row>
    <row r="844" spans="1:17" s="279" customFormat="1" ht="19.5" hidden="1" customHeight="1" x14ac:dyDescent="0.3">
      <c r="A844" s="278"/>
      <c r="B844" s="449"/>
      <c r="C844" s="502"/>
      <c r="D844" s="503"/>
      <c r="E844" s="504"/>
      <c r="F844" s="78" t="s">
        <v>1164</v>
      </c>
      <c r="G844" s="78">
        <v>4000</v>
      </c>
      <c r="H844" s="468"/>
      <c r="I844" s="458"/>
      <c r="J844" s="232" t="s">
        <v>1344</v>
      </c>
      <c r="K844" s="75"/>
      <c r="L844" s="75"/>
      <c r="M844" s="449"/>
      <c r="N844" s="145"/>
      <c r="O844" s="73"/>
      <c r="P844" s="185"/>
      <c r="Q844" s="267"/>
    </row>
    <row r="845" spans="1:17" s="279" customFormat="1" ht="19.5" hidden="1" customHeight="1" x14ac:dyDescent="0.3">
      <c r="A845" s="278"/>
      <c r="B845" s="448" t="s">
        <v>31</v>
      </c>
      <c r="C845" s="499">
        <v>46086.180555555555</v>
      </c>
      <c r="D845" s="500"/>
      <c r="E845" s="501"/>
      <c r="F845" s="543" t="s">
        <v>1268</v>
      </c>
      <c r="G845" s="247">
        <v>1975</v>
      </c>
      <c r="H845" s="467" t="s">
        <v>94</v>
      </c>
      <c r="I845" s="232" t="s">
        <v>1062</v>
      </c>
      <c r="J845" s="232" t="s">
        <v>559</v>
      </c>
      <c r="K845" s="75"/>
      <c r="L845" s="448" t="s">
        <v>593</v>
      </c>
      <c r="M845" s="448" t="s">
        <v>16</v>
      </c>
      <c r="N845" s="559" t="s">
        <v>1126</v>
      </c>
      <c r="O845" s="530" t="s">
        <v>964</v>
      </c>
      <c r="P845" s="185"/>
      <c r="Q845" s="267"/>
    </row>
    <row r="846" spans="1:17" s="279" customFormat="1" ht="19.5" hidden="1" customHeight="1" x14ac:dyDescent="0.3">
      <c r="A846" s="278"/>
      <c r="B846" s="693"/>
      <c r="C846" s="505"/>
      <c r="D846" s="506"/>
      <c r="E846" s="507"/>
      <c r="F846" s="544"/>
      <c r="G846" s="247">
        <v>2000</v>
      </c>
      <c r="H846" s="694"/>
      <c r="I846" s="308" t="s">
        <v>1074</v>
      </c>
      <c r="J846" s="232" t="s">
        <v>1343</v>
      </c>
      <c r="K846" s="75"/>
      <c r="L846" s="693"/>
      <c r="M846" s="693"/>
      <c r="N846" s="560"/>
      <c r="O846" s="531"/>
      <c r="P846" s="185"/>
      <c r="Q846" s="267"/>
    </row>
    <row r="847" spans="1:17" s="279" customFormat="1" ht="19.5" hidden="1" customHeight="1" x14ac:dyDescent="0.3">
      <c r="A847" s="278"/>
      <c r="B847" s="449"/>
      <c r="C847" s="502"/>
      <c r="D847" s="503"/>
      <c r="E847" s="504"/>
      <c r="F847" s="247" t="s">
        <v>1164</v>
      </c>
      <c r="G847" s="247">
        <f>9000-G845-G846</f>
        <v>5025</v>
      </c>
      <c r="H847" s="468"/>
      <c r="I847" s="308" t="s">
        <v>17</v>
      </c>
      <c r="J847" s="232" t="s">
        <v>576</v>
      </c>
      <c r="K847" s="75"/>
      <c r="L847" s="449"/>
      <c r="M847" s="449"/>
      <c r="N847" s="145"/>
      <c r="O847" s="73"/>
      <c r="P847" s="185"/>
      <c r="Q847" s="267"/>
    </row>
    <row r="848" spans="1:17" s="279" customFormat="1" ht="16.5" hidden="1" customHeight="1" x14ac:dyDescent="0.3">
      <c r="A848" s="278"/>
      <c r="B848" s="448" t="s">
        <v>632</v>
      </c>
      <c r="C848" s="499">
        <v>46087.3125</v>
      </c>
      <c r="D848" s="500"/>
      <c r="E848" s="501"/>
      <c r="F848" s="78" t="s">
        <v>1307</v>
      </c>
      <c r="G848" s="78">
        <v>3785</v>
      </c>
      <c r="H848" s="467" t="s">
        <v>621</v>
      </c>
      <c r="I848" s="457" t="s">
        <v>1074</v>
      </c>
      <c r="J848" s="232" t="s">
        <v>1345</v>
      </c>
      <c r="K848" s="75"/>
      <c r="L848" s="75"/>
      <c r="M848" s="448" t="s">
        <v>16</v>
      </c>
      <c r="N848" s="145" t="s">
        <v>1126</v>
      </c>
      <c r="O848" s="73" t="s">
        <v>964</v>
      </c>
      <c r="P848" s="185"/>
      <c r="Q848" s="267"/>
    </row>
    <row r="849" spans="1:17" s="279" customFormat="1" ht="16.5" hidden="1" customHeight="1" x14ac:dyDescent="0.3">
      <c r="A849" s="278"/>
      <c r="B849" s="449"/>
      <c r="C849" s="502"/>
      <c r="D849" s="503"/>
      <c r="E849" s="504"/>
      <c r="F849" s="78" t="s">
        <v>1164</v>
      </c>
      <c r="G849" s="78">
        <v>4915</v>
      </c>
      <c r="H849" s="468"/>
      <c r="I849" s="458"/>
      <c r="J849" s="232" t="s">
        <v>1344</v>
      </c>
      <c r="K849" s="75"/>
      <c r="L849" s="75"/>
      <c r="M849" s="449"/>
      <c r="N849" s="145"/>
      <c r="O849" s="73"/>
      <c r="P849" s="185"/>
      <c r="Q849" s="267"/>
    </row>
    <row r="850" spans="1:17" hidden="1" x14ac:dyDescent="0.3">
      <c r="B850" s="448" t="s">
        <v>1199</v>
      </c>
      <c r="C850" s="499">
        <v>46090.625</v>
      </c>
      <c r="D850" s="500"/>
      <c r="E850" s="501"/>
      <c r="F850" s="78" t="s">
        <v>1349</v>
      </c>
      <c r="G850" s="78">
        <v>10999</v>
      </c>
      <c r="H850" s="467" t="s">
        <v>710</v>
      </c>
      <c r="I850" s="457" t="s">
        <v>11</v>
      </c>
      <c r="J850" s="232" t="s">
        <v>1353</v>
      </c>
      <c r="K850" s="75">
        <v>2</v>
      </c>
      <c r="L850" s="75"/>
      <c r="M850" s="75"/>
      <c r="N850" s="145" t="s">
        <v>1126</v>
      </c>
      <c r="O850" s="73" t="s">
        <v>964</v>
      </c>
      <c r="P850" s="185"/>
      <c r="Q850" s="267" t="s">
        <v>1156</v>
      </c>
    </row>
    <row r="851" spans="1:17" s="279" customFormat="1" hidden="1" x14ac:dyDescent="0.3">
      <c r="A851" s="278"/>
      <c r="B851" s="449"/>
      <c r="C851" s="502"/>
      <c r="D851" s="503"/>
      <c r="E851" s="504"/>
      <c r="F851" s="78" t="s">
        <v>1350</v>
      </c>
      <c r="G851" s="78">
        <v>30263</v>
      </c>
      <c r="H851" s="468"/>
      <c r="I851" s="458"/>
      <c r="J851" s="232" t="s">
        <v>1354</v>
      </c>
      <c r="K851" s="75">
        <v>1</v>
      </c>
      <c r="L851" s="75"/>
      <c r="M851" s="75"/>
      <c r="N851" s="145"/>
      <c r="O851" s="73"/>
      <c r="P851" s="185"/>
      <c r="Q851" s="267" t="s">
        <v>1351</v>
      </c>
    </row>
    <row r="852" spans="1:17" s="279" customFormat="1" hidden="1" x14ac:dyDescent="0.3">
      <c r="A852" s="278"/>
      <c r="B852" s="522" t="s">
        <v>31</v>
      </c>
      <c r="C852" s="513">
        <v>46092.229166666664</v>
      </c>
      <c r="D852" s="514"/>
      <c r="E852" s="515"/>
      <c r="F852" s="425" t="s">
        <v>1164</v>
      </c>
      <c r="G852" s="97">
        <v>2500</v>
      </c>
      <c r="H852" s="526" t="s">
        <v>94</v>
      </c>
      <c r="I852" s="127" t="s">
        <v>17</v>
      </c>
      <c r="J852" s="229" t="s">
        <v>1066</v>
      </c>
      <c r="K852" s="85"/>
      <c r="L852" s="465" t="s">
        <v>957</v>
      </c>
      <c r="M852" s="465" t="s">
        <v>16</v>
      </c>
      <c r="N852" s="554"/>
      <c r="O852" s="556"/>
      <c r="P852" s="545"/>
      <c r="Q852" s="547"/>
    </row>
    <row r="853" spans="1:17" s="279" customFormat="1" hidden="1" x14ac:dyDescent="0.3">
      <c r="A853" s="278"/>
      <c r="B853" s="524"/>
      <c r="C853" s="519"/>
      <c r="D853" s="520"/>
      <c r="E853" s="521"/>
      <c r="F853" s="426"/>
      <c r="G853" s="97">
        <v>3500</v>
      </c>
      <c r="H853" s="528"/>
      <c r="I853" s="127" t="s">
        <v>1074</v>
      </c>
      <c r="J853" s="229" t="s">
        <v>1355</v>
      </c>
      <c r="K853" s="85"/>
      <c r="L853" s="466"/>
      <c r="M853" s="466"/>
      <c r="N853" s="555"/>
      <c r="O853" s="557"/>
      <c r="P853" s="546"/>
      <c r="Q853" s="548"/>
    </row>
    <row r="854" spans="1:17" s="279" customFormat="1" hidden="1" x14ac:dyDescent="0.3">
      <c r="A854" s="278"/>
      <c r="B854" s="522" t="s">
        <v>638</v>
      </c>
      <c r="C854" s="513">
        <v>46092.708333333336</v>
      </c>
      <c r="D854" s="514"/>
      <c r="E854" s="515"/>
      <c r="F854" s="97" t="s">
        <v>1307</v>
      </c>
      <c r="G854" s="97">
        <v>3000</v>
      </c>
      <c r="H854" s="526" t="s">
        <v>621</v>
      </c>
      <c r="I854" s="440" t="s">
        <v>1074</v>
      </c>
      <c r="J854" s="229" t="s">
        <v>1233</v>
      </c>
      <c r="K854" s="85"/>
      <c r="L854" s="85"/>
      <c r="M854" s="465" t="s">
        <v>16</v>
      </c>
      <c r="N854" s="242" t="s">
        <v>1269</v>
      </c>
      <c r="O854" s="69" t="s">
        <v>1270</v>
      </c>
      <c r="P854" s="301"/>
      <c r="Q854" s="299"/>
    </row>
    <row r="855" spans="1:17" s="279" customFormat="1" hidden="1" x14ac:dyDescent="0.3">
      <c r="A855" s="278"/>
      <c r="B855" s="524"/>
      <c r="C855" s="519"/>
      <c r="D855" s="520"/>
      <c r="E855" s="521"/>
      <c r="F855" s="97" t="s">
        <v>1164</v>
      </c>
      <c r="G855" s="97">
        <v>5700</v>
      </c>
      <c r="H855" s="528"/>
      <c r="I855" s="441"/>
      <c r="J855" s="229" t="s">
        <v>1077</v>
      </c>
      <c r="K855" s="85"/>
      <c r="L855" s="85"/>
      <c r="M855" s="466"/>
      <c r="N855" s="242"/>
      <c r="O855" s="69"/>
      <c r="P855" s="301"/>
      <c r="Q855" s="299"/>
    </row>
    <row r="856" spans="1:17" s="279" customFormat="1" ht="16.5" hidden="1" customHeight="1" x14ac:dyDescent="0.3">
      <c r="A856" s="278"/>
      <c r="B856" s="448" t="s">
        <v>31</v>
      </c>
      <c r="C856" s="499">
        <v>46096.815972222219</v>
      </c>
      <c r="D856" s="500"/>
      <c r="E856" s="501"/>
      <c r="F856" s="78" t="s">
        <v>1164</v>
      </c>
      <c r="G856" s="78">
        <v>5000</v>
      </c>
      <c r="H856" s="467" t="s">
        <v>94</v>
      </c>
      <c r="I856" s="232" t="s">
        <v>1074</v>
      </c>
      <c r="J856" s="232" t="s">
        <v>1361</v>
      </c>
      <c r="K856" s="75"/>
      <c r="L856" s="75"/>
      <c r="M856" s="448" t="s">
        <v>16</v>
      </c>
      <c r="N856" s="145"/>
      <c r="O856" s="73"/>
      <c r="P856" s="185"/>
      <c r="Q856" s="267"/>
    </row>
    <row r="857" spans="1:17" s="279" customFormat="1" ht="16.5" hidden="1" customHeight="1" x14ac:dyDescent="0.3">
      <c r="A857" s="278"/>
      <c r="B857" s="449"/>
      <c r="C857" s="502"/>
      <c r="D857" s="503"/>
      <c r="E857" s="504"/>
      <c r="F857" s="78" t="s">
        <v>1363</v>
      </c>
      <c r="G857" s="78">
        <v>9000</v>
      </c>
      <c r="H857" s="468"/>
      <c r="I857" s="232" t="s">
        <v>1364</v>
      </c>
      <c r="J857" s="232" t="s">
        <v>1365</v>
      </c>
      <c r="K857" s="75"/>
      <c r="L857" s="75"/>
      <c r="M857" s="449"/>
      <c r="N857" s="145"/>
      <c r="O857" s="73"/>
      <c r="P857" s="185"/>
      <c r="Q857" s="267"/>
    </row>
    <row r="858" spans="1:17" ht="16.5" hidden="1" customHeight="1" x14ac:dyDescent="0.3">
      <c r="A858" s="153" t="s">
        <v>27</v>
      </c>
      <c r="B858" s="540" t="s">
        <v>31</v>
      </c>
      <c r="C858" s="677">
        <v>46126.666666666664</v>
      </c>
      <c r="D858" s="678"/>
      <c r="E858" s="679"/>
      <c r="F858" s="355" t="s">
        <v>1381</v>
      </c>
      <c r="G858" s="356">
        <v>5000</v>
      </c>
      <c r="H858" s="686" t="s">
        <v>94</v>
      </c>
      <c r="I858" s="232" t="s">
        <v>17</v>
      </c>
      <c r="J858" s="232" t="s">
        <v>1383</v>
      </c>
      <c r="K858" s="357"/>
      <c r="L858" s="357"/>
      <c r="M858" s="540" t="s">
        <v>16</v>
      </c>
      <c r="N858" s="358"/>
      <c r="O858" s="359"/>
      <c r="P858" s="360"/>
      <c r="Q858" s="361"/>
    </row>
    <row r="859" spans="1:17" ht="16.5" hidden="1" customHeight="1" x14ac:dyDescent="0.3">
      <c r="B859" s="541"/>
      <c r="C859" s="680"/>
      <c r="D859" s="681"/>
      <c r="E859" s="682"/>
      <c r="F859" s="355" t="s">
        <v>1363</v>
      </c>
      <c r="G859" s="356">
        <v>5000</v>
      </c>
      <c r="H859" s="687"/>
      <c r="I859" s="232" t="s">
        <v>17</v>
      </c>
      <c r="J859" s="232" t="s">
        <v>1055</v>
      </c>
      <c r="K859" s="357"/>
      <c r="L859" s="357"/>
      <c r="M859" s="541"/>
      <c r="N859" s="358"/>
      <c r="O859" s="359"/>
      <c r="P859" s="360"/>
      <c r="Q859" s="361"/>
    </row>
    <row r="860" spans="1:17" ht="16.5" hidden="1" customHeight="1" x14ac:dyDescent="0.3">
      <c r="B860" s="542"/>
      <c r="C860" s="683"/>
      <c r="D860" s="684"/>
      <c r="E860" s="685"/>
      <c r="F860" s="356" t="s">
        <v>1164</v>
      </c>
      <c r="G860" s="356">
        <v>4000</v>
      </c>
      <c r="H860" s="688"/>
      <c r="I860" s="232" t="s">
        <v>1074</v>
      </c>
      <c r="J860" s="232" t="s">
        <v>1384</v>
      </c>
      <c r="K860" s="357"/>
      <c r="L860" s="357"/>
      <c r="M860" s="542"/>
      <c r="N860" s="358"/>
      <c r="O860" s="359"/>
      <c r="P860" s="360"/>
      <c r="Q860" s="362"/>
    </row>
    <row r="861" spans="1:17" ht="16.5" hidden="1" customHeight="1" x14ac:dyDescent="0.3">
      <c r="A861" s="153" t="s">
        <v>27</v>
      </c>
      <c r="B861" s="401" t="s">
        <v>31</v>
      </c>
      <c r="C861" s="403">
        <v>46133.958333333336</v>
      </c>
      <c r="D861" s="404"/>
      <c r="E861" s="405"/>
      <c r="F861" s="363" t="s">
        <v>1381</v>
      </c>
      <c r="G861" s="364">
        <v>5000</v>
      </c>
      <c r="H861" s="409" t="s">
        <v>94</v>
      </c>
      <c r="I861" s="127" t="s">
        <v>17</v>
      </c>
      <c r="J861" s="127" t="s">
        <v>1383</v>
      </c>
      <c r="K861" s="365"/>
      <c r="L861" s="365"/>
      <c r="M861" s="401" t="s">
        <v>16</v>
      </c>
      <c r="N861" s="366"/>
      <c r="O861" s="367"/>
      <c r="P861" s="368"/>
      <c r="Q861" s="352"/>
    </row>
    <row r="862" spans="1:17" ht="16.5" hidden="1" customHeight="1" x14ac:dyDescent="0.3">
      <c r="B862" s="414"/>
      <c r="C862" s="690"/>
      <c r="D862" s="691"/>
      <c r="E862" s="692"/>
      <c r="F862" s="363" t="s">
        <v>1363</v>
      </c>
      <c r="G862" s="364">
        <v>5000</v>
      </c>
      <c r="H862" s="689"/>
      <c r="I862" s="127" t="s">
        <v>17</v>
      </c>
      <c r="J862" s="127" t="s">
        <v>1055</v>
      </c>
      <c r="K862" s="365"/>
      <c r="L862" s="365"/>
      <c r="M862" s="414"/>
      <c r="N862" s="366"/>
      <c r="O862" s="367"/>
      <c r="P862" s="368"/>
      <c r="Q862" s="352"/>
    </row>
    <row r="863" spans="1:17" ht="16.5" hidden="1" customHeight="1" x14ac:dyDescent="0.3">
      <c r="B863" s="402"/>
      <c r="C863" s="406"/>
      <c r="D863" s="407"/>
      <c r="E863" s="408"/>
      <c r="F863" s="364" t="s">
        <v>1164</v>
      </c>
      <c r="G863" s="364">
        <v>4000</v>
      </c>
      <c r="H863" s="410"/>
      <c r="I863" s="127" t="s">
        <v>1074</v>
      </c>
      <c r="J863" s="127" t="s">
        <v>1388</v>
      </c>
      <c r="K863" s="365"/>
      <c r="L863" s="365"/>
      <c r="M863" s="402"/>
      <c r="N863" s="366"/>
      <c r="O863" s="367"/>
      <c r="P863" s="368"/>
      <c r="Q863" s="354"/>
    </row>
    <row r="864" spans="1:17" ht="19.5" customHeight="1" x14ac:dyDescent="0.3">
      <c r="B864" s="365" t="s">
        <v>638</v>
      </c>
      <c r="C864" s="398">
        <v>46138.333333333336</v>
      </c>
      <c r="D864" s="399"/>
      <c r="E864" s="400"/>
      <c r="F864" s="364" t="s">
        <v>1164</v>
      </c>
      <c r="G864" s="364">
        <v>2500</v>
      </c>
      <c r="H864" s="381" t="s">
        <v>621</v>
      </c>
      <c r="I864" s="127" t="s">
        <v>1074</v>
      </c>
      <c r="J864" s="127" t="s">
        <v>1394</v>
      </c>
      <c r="K864" s="365"/>
      <c r="L864" s="365" t="s">
        <v>957</v>
      </c>
      <c r="M864" s="365" t="s">
        <v>16</v>
      </c>
      <c r="N864" s="366"/>
      <c r="O864" s="367"/>
      <c r="P864" s="368"/>
      <c r="Q864" s="354"/>
    </row>
    <row r="865" spans="1:20" ht="19.5" customHeight="1" x14ac:dyDescent="0.3">
      <c r="B865" s="401" t="s">
        <v>31</v>
      </c>
      <c r="C865" s="403">
        <v>46139.333333333336</v>
      </c>
      <c r="D865" s="404"/>
      <c r="E865" s="405"/>
      <c r="F865" s="364" t="s">
        <v>1164</v>
      </c>
      <c r="G865" s="364">
        <v>9000</v>
      </c>
      <c r="H865" s="409" t="s">
        <v>94</v>
      </c>
      <c r="I865" s="127" t="s">
        <v>1074</v>
      </c>
      <c r="J865" s="127" t="s">
        <v>1388</v>
      </c>
      <c r="K865" s="365"/>
      <c r="L865" s="365"/>
      <c r="M865" s="401" t="s">
        <v>16</v>
      </c>
      <c r="N865" s="366"/>
      <c r="O865" s="367"/>
      <c r="P865" s="368"/>
      <c r="Q865" s="354"/>
    </row>
    <row r="866" spans="1:20" ht="19.5" customHeight="1" x14ac:dyDescent="0.3">
      <c r="B866" s="402"/>
      <c r="C866" s="406"/>
      <c r="D866" s="407"/>
      <c r="E866" s="408"/>
      <c r="F866" s="364" t="s">
        <v>1363</v>
      </c>
      <c r="G866" s="364">
        <v>5000</v>
      </c>
      <c r="H866" s="410"/>
      <c r="I866" s="127" t="s">
        <v>17</v>
      </c>
      <c r="J866" s="127" t="s">
        <v>1396</v>
      </c>
      <c r="K866" s="365"/>
      <c r="L866" s="365"/>
      <c r="M866" s="402"/>
      <c r="N866" s="366"/>
      <c r="O866" s="367"/>
      <c r="P866" s="368"/>
      <c r="Q866" s="354"/>
    </row>
    <row r="867" spans="1:20" ht="19.5" customHeight="1" x14ac:dyDescent="0.3">
      <c r="B867" s="365" t="s">
        <v>632</v>
      </c>
      <c r="C867" s="398">
        <v>46140.333333333336</v>
      </c>
      <c r="D867" s="399"/>
      <c r="E867" s="400"/>
      <c r="F867" s="364" t="s">
        <v>1164</v>
      </c>
      <c r="G867" s="364">
        <v>2500</v>
      </c>
      <c r="H867" s="381" t="s">
        <v>621</v>
      </c>
      <c r="I867" s="127" t="s">
        <v>1074</v>
      </c>
      <c r="J867" s="127" t="s">
        <v>1394</v>
      </c>
      <c r="K867" s="365"/>
      <c r="L867" s="365" t="s">
        <v>957</v>
      </c>
      <c r="M867" s="365" t="s">
        <v>16</v>
      </c>
      <c r="N867" s="366"/>
      <c r="O867" s="367"/>
      <c r="P867" s="368"/>
      <c r="Q867" s="354"/>
    </row>
    <row r="868" spans="1:20" ht="19.5" customHeight="1" x14ac:dyDescent="0.3">
      <c r="B868" s="365"/>
      <c r="C868" s="398"/>
      <c r="D868" s="399"/>
      <c r="E868" s="400"/>
      <c r="F868" s="364"/>
      <c r="G868" s="364"/>
      <c r="H868" s="381"/>
      <c r="I868" s="127"/>
      <c r="J868" s="127"/>
      <c r="K868" s="365"/>
      <c r="L868" s="365"/>
      <c r="M868" s="365"/>
      <c r="N868" s="366"/>
      <c r="O868" s="367"/>
      <c r="P868" s="368"/>
      <c r="Q868" s="354"/>
    </row>
    <row r="869" spans="1:20" ht="19.5" customHeight="1" x14ac:dyDescent="0.3">
      <c r="B869" s="373"/>
      <c r="C869" s="371"/>
      <c r="D869" s="371"/>
      <c r="E869" s="371"/>
      <c r="F869" s="374"/>
      <c r="G869" s="374"/>
      <c r="H869" s="375"/>
      <c r="I869" s="376"/>
      <c r="J869" s="376"/>
      <c r="K869" s="373"/>
      <c r="L869" s="373"/>
      <c r="M869" s="373"/>
      <c r="N869" s="377"/>
      <c r="O869" s="378"/>
      <c r="P869" s="379"/>
      <c r="Q869" s="380"/>
    </row>
    <row r="870" spans="1:20" ht="19.5" customHeight="1" x14ac:dyDescent="0.3">
      <c r="B870" s="373"/>
      <c r="C870" s="371"/>
      <c r="D870" s="371"/>
      <c r="E870" s="371"/>
      <c r="F870" s="374"/>
      <c r="G870" s="374"/>
      <c r="H870" s="375"/>
      <c r="I870" s="376"/>
      <c r="J870" s="376"/>
      <c r="K870" s="373"/>
      <c r="L870" s="373"/>
      <c r="M870" s="373"/>
      <c r="N870" s="377"/>
      <c r="O870" s="378"/>
      <c r="P870" s="379"/>
      <c r="Q870" s="380"/>
    </row>
    <row r="871" spans="1:20" s="279" customFormat="1" ht="19.5" customHeight="1" x14ac:dyDescent="0.3">
      <c r="A871" s="278"/>
      <c r="B871" s="345"/>
      <c r="C871" s="345"/>
      <c r="D871" s="346"/>
      <c r="E871" s="344"/>
      <c r="F871" s="345"/>
      <c r="G871" s="345"/>
      <c r="H871" s="346"/>
      <c r="I871" s="337"/>
      <c r="J871" s="337"/>
      <c r="K871" s="343"/>
      <c r="L871" s="343"/>
      <c r="M871" s="343"/>
      <c r="N871" s="347"/>
      <c r="O871" s="4"/>
      <c r="P871" s="348"/>
      <c r="Q871" s="338"/>
    </row>
    <row r="872" spans="1:20" ht="19.5" customHeight="1" x14ac:dyDescent="0.3">
      <c r="A872" s="157"/>
      <c r="B872" s="536" t="s">
        <v>158</v>
      </c>
      <c r="C872" s="536"/>
      <c r="D872" s="55"/>
      <c r="E872" s="55"/>
      <c r="F872" s="45"/>
      <c r="G872" s="46"/>
      <c r="H872" s="47"/>
      <c r="I872" s="50"/>
      <c r="J872" s="50"/>
      <c r="K872" s="45"/>
      <c r="L872" s="45"/>
      <c r="M872" s="45"/>
      <c r="N872" s="50"/>
      <c r="O872" s="50"/>
      <c r="P872" s="50"/>
      <c r="R872" s="1"/>
      <c r="S872" s="1"/>
      <c r="T872" s="1"/>
    </row>
    <row r="873" spans="1:20" ht="18.75" customHeight="1" x14ac:dyDescent="0.3">
      <c r="A873" s="159"/>
      <c r="B873" s="9" t="s">
        <v>0</v>
      </c>
      <c r="C873" s="537" t="s">
        <v>33</v>
      </c>
      <c r="D873" s="538"/>
      <c r="E873" s="539"/>
      <c r="F873" s="94" t="s">
        <v>159</v>
      </c>
      <c r="G873" s="10" t="s">
        <v>3</v>
      </c>
      <c r="H873" s="9" t="s">
        <v>2</v>
      </c>
      <c r="I873" s="94" t="s">
        <v>6</v>
      </c>
      <c r="J873" s="94" t="s">
        <v>5</v>
      </c>
      <c r="K873" s="9" t="s">
        <v>52</v>
      </c>
      <c r="L873" s="9" t="s">
        <v>7</v>
      </c>
      <c r="M873" s="9" t="s">
        <v>8</v>
      </c>
      <c r="N873" s="94" t="s">
        <v>1389</v>
      </c>
      <c r="O873" s="94" t="s">
        <v>1390</v>
      </c>
      <c r="P873" s="94" t="s">
        <v>508</v>
      </c>
      <c r="Q873" s="10" t="s">
        <v>97</v>
      </c>
      <c r="R873" s="1"/>
      <c r="S873" s="1"/>
      <c r="T873" s="1"/>
    </row>
    <row r="874" spans="1:20" s="1" customFormat="1" ht="20.25" hidden="1" customHeight="1" x14ac:dyDescent="0.3">
      <c r="A874" s="11"/>
      <c r="B874" s="75" t="s">
        <v>135</v>
      </c>
      <c r="C874" s="483">
        <v>45474.319444444445</v>
      </c>
      <c r="D874" s="484"/>
      <c r="E874" s="485"/>
      <c r="F874" s="78" t="s">
        <v>429</v>
      </c>
      <c r="G874" s="78">
        <v>3900</v>
      </c>
      <c r="H874" s="57" t="s">
        <v>147</v>
      </c>
      <c r="I874" s="73" t="s">
        <v>9</v>
      </c>
      <c r="J874" s="53"/>
      <c r="K874" s="75"/>
      <c r="L874" s="54"/>
      <c r="M874" s="75"/>
      <c r="N874" s="145"/>
      <c r="O874" s="73"/>
      <c r="P874" s="145" t="s">
        <v>11</v>
      </c>
      <c r="Q874" s="58"/>
    </row>
    <row r="875" spans="1:20" s="1" customFormat="1" ht="20.25" hidden="1" customHeight="1" x14ac:dyDescent="0.3">
      <c r="A875" s="11"/>
      <c r="B875" s="75" t="s">
        <v>305</v>
      </c>
      <c r="C875" s="483">
        <v>45475.416666666664</v>
      </c>
      <c r="D875" s="484"/>
      <c r="E875" s="485"/>
      <c r="F875" s="78" t="s">
        <v>429</v>
      </c>
      <c r="G875" s="78">
        <v>5100</v>
      </c>
      <c r="H875" s="57" t="s">
        <v>134</v>
      </c>
      <c r="I875" s="73" t="s">
        <v>9</v>
      </c>
      <c r="J875" s="53"/>
      <c r="K875" s="75"/>
      <c r="L875" s="54"/>
      <c r="M875" s="75"/>
      <c r="N875" s="145"/>
      <c r="O875" s="73"/>
      <c r="P875" s="145" t="s">
        <v>11</v>
      </c>
      <c r="Q875" s="58"/>
    </row>
    <row r="876" spans="1:20" s="1" customFormat="1" ht="20.25" hidden="1" customHeight="1" x14ac:dyDescent="0.3">
      <c r="A876" s="11"/>
      <c r="B876" s="95" t="s">
        <v>532</v>
      </c>
      <c r="C876" s="433">
        <v>45477.75</v>
      </c>
      <c r="D876" s="434"/>
      <c r="E876" s="435"/>
      <c r="F876" s="96" t="s">
        <v>429</v>
      </c>
      <c r="G876" s="96">
        <v>4800</v>
      </c>
      <c r="H876" s="152" t="s">
        <v>573</v>
      </c>
      <c r="I876" s="86" t="s">
        <v>9</v>
      </c>
      <c r="J876" s="52"/>
      <c r="K876" s="95"/>
      <c r="L876" s="51"/>
      <c r="M876" s="95"/>
      <c r="N876" s="124"/>
      <c r="O876" s="86"/>
      <c r="P876" s="124" t="s">
        <v>11</v>
      </c>
      <c r="Q876" s="151"/>
    </row>
    <row r="877" spans="1:20" s="1" customFormat="1" ht="20.25" hidden="1" customHeight="1" x14ac:dyDescent="0.3">
      <c r="A877" s="11"/>
      <c r="B877" s="95" t="s">
        <v>192</v>
      </c>
      <c r="C877" s="433">
        <v>45478.8125</v>
      </c>
      <c r="D877" s="434"/>
      <c r="E877" s="435"/>
      <c r="F877" s="96" t="s">
        <v>429</v>
      </c>
      <c r="G877" s="96">
        <v>5100</v>
      </c>
      <c r="H877" s="152" t="s">
        <v>147</v>
      </c>
      <c r="I877" s="86" t="s">
        <v>9</v>
      </c>
      <c r="J877" s="52"/>
      <c r="K877" s="95"/>
      <c r="L877" s="51"/>
      <c r="M877" s="95"/>
      <c r="N877" s="124"/>
      <c r="O877" s="86"/>
      <c r="P877" s="124" t="s">
        <v>11</v>
      </c>
      <c r="Q877" s="151"/>
    </row>
    <row r="878" spans="1:20" s="1" customFormat="1" ht="20.25" hidden="1" customHeight="1" x14ac:dyDescent="0.3">
      <c r="A878" s="11"/>
      <c r="B878" s="95" t="s">
        <v>574</v>
      </c>
      <c r="C878" s="433" t="s">
        <v>92</v>
      </c>
      <c r="D878" s="434"/>
      <c r="E878" s="435"/>
      <c r="F878" s="96" t="s">
        <v>429</v>
      </c>
      <c r="G878" s="96">
        <v>7500</v>
      </c>
      <c r="H878" s="152" t="s">
        <v>133</v>
      </c>
      <c r="I878" s="86" t="s">
        <v>9</v>
      </c>
      <c r="J878" s="52"/>
      <c r="K878" s="95"/>
      <c r="L878" s="51"/>
      <c r="M878" s="95"/>
      <c r="N878" s="124"/>
      <c r="O878" s="86"/>
      <c r="P878" s="124" t="s">
        <v>11</v>
      </c>
      <c r="Q878" s="151"/>
    </row>
    <row r="879" spans="1:20" s="1" customFormat="1" ht="20.25" hidden="1" customHeight="1" x14ac:dyDescent="0.3">
      <c r="A879" s="11"/>
      <c r="B879" s="95" t="s">
        <v>538</v>
      </c>
      <c r="C879" s="433" t="s">
        <v>92</v>
      </c>
      <c r="D879" s="434"/>
      <c r="E879" s="435"/>
      <c r="F879" s="96" t="s">
        <v>429</v>
      </c>
      <c r="G879" s="96">
        <v>5100</v>
      </c>
      <c r="H879" s="152" t="s">
        <v>134</v>
      </c>
      <c r="I879" s="86" t="s">
        <v>9</v>
      </c>
      <c r="J879" s="52"/>
      <c r="K879" s="95"/>
      <c r="L879" s="51"/>
      <c r="M879" s="95"/>
      <c r="N879" s="124"/>
      <c r="O879" s="86"/>
      <c r="P879" s="124" t="s">
        <v>11</v>
      </c>
      <c r="Q879" s="151"/>
    </row>
    <row r="880" spans="1:20" s="1" customFormat="1" ht="20.25" hidden="1" customHeight="1" x14ac:dyDescent="0.3">
      <c r="A880" s="11"/>
      <c r="B880" s="75" t="s">
        <v>536</v>
      </c>
      <c r="C880" s="483">
        <v>45481.479166666664</v>
      </c>
      <c r="D880" s="484"/>
      <c r="E880" s="485"/>
      <c r="F880" s="78" t="s">
        <v>429</v>
      </c>
      <c r="G880" s="78">
        <v>8100</v>
      </c>
      <c r="H880" s="57" t="s">
        <v>581</v>
      </c>
      <c r="I880" s="73" t="s">
        <v>9</v>
      </c>
      <c r="J880" s="53"/>
      <c r="K880" s="75"/>
      <c r="L880" s="54"/>
      <c r="M880" s="75"/>
      <c r="N880" s="145"/>
      <c r="O880" s="73"/>
      <c r="P880" s="145" t="s">
        <v>11</v>
      </c>
      <c r="Q880" s="58"/>
    </row>
    <row r="881" spans="1:17" s="1" customFormat="1" ht="20.25" hidden="1" customHeight="1" x14ac:dyDescent="0.3">
      <c r="A881" s="11"/>
      <c r="B881" s="75" t="s">
        <v>135</v>
      </c>
      <c r="C881" s="483">
        <v>45482.375</v>
      </c>
      <c r="D881" s="484"/>
      <c r="E881" s="485"/>
      <c r="F881" s="78" t="s">
        <v>429</v>
      </c>
      <c r="G881" s="78">
        <v>3900</v>
      </c>
      <c r="H881" s="57" t="s">
        <v>147</v>
      </c>
      <c r="I881" s="73" t="s">
        <v>9</v>
      </c>
      <c r="J881" s="53"/>
      <c r="K881" s="75"/>
      <c r="L881" s="54"/>
      <c r="M881" s="75"/>
      <c r="N881" s="145"/>
      <c r="O881" s="73"/>
      <c r="P881" s="145" t="s">
        <v>11</v>
      </c>
      <c r="Q881" s="58"/>
    </row>
    <row r="882" spans="1:17" s="1" customFormat="1" ht="20.25" hidden="1" customHeight="1" x14ac:dyDescent="0.3">
      <c r="A882" s="11"/>
      <c r="B882" s="95" t="s">
        <v>578</v>
      </c>
      <c r="C882" s="433" t="s">
        <v>92</v>
      </c>
      <c r="D882" s="434"/>
      <c r="E882" s="435"/>
      <c r="F882" s="96" t="s">
        <v>429</v>
      </c>
      <c r="G882" s="96">
        <v>5100</v>
      </c>
      <c r="H882" s="152" t="s">
        <v>134</v>
      </c>
      <c r="I882" s="86" t="s">
        <v>9</v>
      </c>
      <c r="J882" s="52"/>
      <c r="K882" s="95"/>
      <c r="L882" s="51"/>
      <c r="M882" s="95"/>
      <c r="N882" s="124"/>
      <c r="O882" s="86"/>
      <c r="P882" s="124" t="s">
        <v>11</v>
      </c>
      <c r="Q882" s="151"/>
    </row>
    <row r="883" spans="1:17" s="1" customFormat="1" ht="20.25" hidden="1" customHeight="1" x14ac:dyDescent="0.3">
      <c r="A883" s="11"/>
      <c r="B883" s="75" t="s">
        <v>532</v>
      </c>
      <c r="C883" s="483">
        <v>45484.416666666664</v>
      </c>
      <c r="D883" s="484"/>
      <c r="E883" s="485"/>
      <c r="F883" s="78" t="s">
        <v>429</v>
      </c>
      <c r="G883" s="78">
        <v>5000</v>
      </c>
      <c r="H883" s="57" t="s">
        <v>573</v>
      </c>
      <c r="I883" s="73" t="s">
        <v>9</v>
      </c>
      <c r="J883" s="53"/>
      <c r="K883" s="75"/>
      <c r="L883" s="54"/>
      <c r="M883" s="75"/>
      <c r="N883" s="145"/>
      <c r="O883" s="73"/>
      <c r="P883" s="145" t="s">
        <v>11</v>
      </c>
      <c r="Q883" s="58"/>
    </row>
    <row r="884" spans="1:17" s="1" customFormat="1" ht="19.5" hidden="1" customHeight="1" x14ac:dyDescent="0.3">
      <c r="A884" s="11"/>
      <c r="B884" s="75" t="s">
        <v>98</v>
      </c>
      <c r="C884" s="483">
        <v>45485.291666666664</v>
      </c>
      <c r="D884" s="484"/>
      <c r="E884" s="485"/>
      <c r="F884" s="78" t="s">
        <v>429</v>
      </c>
      <c r="G884" s="78">
        <v>6600</v>
      </c>
      <c r="H884" s="57" t="s">
        <v>582</v>
      </c>
      <c r="I884" s="73" t="s">
        <v>9</v>
      </c>
      <c r="J884" s="53"/>
      <c r="K884" s="75"/>
      <c r="L884" s="54"/>
      <c r="M884" s="75"/>
      <c r="N884" s="145"/>
      <c r="O884" s="73"/>
      <c r="P884" s="145" t="s">
        <v>11</v>
      </c>
      <c r="Q884" s="58"/>
    </row>
    <row r="885" spans="1:17" s="1" customFormat="1" ht="19.5" hidden="1" customHeight="1" x14ac:dyDescent="0.3">
      <c r="A885" s="11"/>
      <c r="B885" s="95" t="s">
        <v>586</v>
      </c>
      <c r="C885" s="433" t="s">
        <v>92</v>
      </c>
      <c r="D885" s="434"/>
      <c r="E885" s="435"/>
      <c r="F885" s="96" t="s">
        <v>429</v>
      </c>
      <c r="G885" s="96">
        <v>7000</v>
      </c>
      <c r="H885" s="152" t="s">
        <v>581</v>
      </c>
      <c r="I885" s="86" t="s">
        <v>9</v>
      </c>
      <c r="J885" s="52"/>
      <c r="K885" s="95"/>
      <c r="L885" s="51"/>
      <c r="M885" s="95"/>
      <c r="N885" s="124"/>
      <c r="O885" s="86"/>
      <c r="P885" s="124" t="s">
        <v>11</v>
      </c>
      <c r="Q885" s="151"/>
    </row>
    <row r="886" spans="1:17" s="1" customFormat="1" ht="19.5" hidden="1" customHeight="1" x14ac:dyDescent="0.3">
      <c r="A886" s="11"/>
      <c r="B886" s="95" t="s">
        <v>536</v>
      </c>
      <c r="C886" s="433" t="s">
        <v>92</v>
      </c>
      <c r="D886" s="434"/>
      <c r="E886" s="435"/>
      <c r="F886" s="96" t="s">
        <v>429</v>
      </c>
      <c r="G886" s="96">
        <v>8100</v>
      </c>
      <c r="H886" s="152" t="s">
        <v>591</v>
      </c>
      <c r="I886" s="86" t="s">
        <v>9</v>
      </c>
      <c r="J886" s="52"/>
      <c r="K886" s="95"/>
      <c r="L886" s="51"/>
      <c r="M886" s="95"/>
      <c r="N886" s="124"/>
      <c r="O886" s="86"/>
      <c r="P886" s="124" t="s">
        <v>11</v>
      </c>
      <c r="Q886" s="151"/>
    </row>
    <row r="887" spans="1:17" s="1" customFormat="1" ht="19.5" hidden="1" customHeight="1" x14ac:dyDescent="0.3">
      <c r="A887" s="11"/>
      <c r="B887" s="95" t="s">
        <v>536</v>
      </c>
      <c r="C887" s="433">
        <v>45496.333333333336</v>
      </c>
      <c r="D887" s="434"/>
      <c r="E887" s="435"/>
      <c r="F887" s="96" t="s">
        <v>429</v>
      </c>
      <c r="G887" s="96">
        <v>8100</v>
      </c>
      <c r="H887" s="152" t="s">
        <v>591</v>
      </c>
      <c r="I887" s="86" t="s">
        <v>9</v>
      </c>
      <c r="J887" s="52"/>
      <c r="K887" s="95"/>
      <c r="L887" s="51"/>
      <c r="M887" s="95"/>
      <c r="N887" s="124"/>
      <c r="O887" s="86"/>
      <c r="P887" s="124" t="s">
        <v>11</v>
      </c>
      <c r="Q887" s="151"/>
    </row>
    <row r="888" spans="1:17" s="1" customFormat="1" ht="19.5" hidden="1" customHeight="1" x14ac:dyDescent="0.3">
      <c r="A888" s="11"/>
      <c r="B888" s="75" t="s">
        <v>597</v>
      </c>
      <c r="C888" s="483" t="s">
        <v>603</v>
      </c>
      <c r="D888" s="484"/>
      <c r="E888" s="485"/>
      <c r="F888" s="78" t="s">
        <v>429</v>
      </c>
      <c r="G888" s="78">
        <v>7500</v>
      </c>
      <c r="H888" s="57" t="s">
        <v>573</v>
      </c>
      <c r="I888" s="73" t="s">
        <v>9</v>
      </c>
      <c r="J888" s="53"/>
      <c r="K888" s="75"/>
      <c r="L888" s="54"/>
      <c r="M888" s="75"/>
      <c r="N888" s="145"/>
      <c r="O888" s="73"/>
      <c r="P888" s="145" t="s">
        <v>11</v>
      </c>
      <c r="Q888" s="58"/>
    </row>
    <row r="889" spans="1:17" s="1" customFormat="1" ht="19.5" hidden="1" customHeight="1" x14ac:dyDescent="0.3">
      <c r="A889" s="11"/>
      <c r="B889" s="95" t="s">
        <v>536</v>
      </c>
      <c r="C889" s="433" t="s">
        <v>92</v>
      </c>
      <c r="D889" s="434"/>
      <c r="E889" s="435"/>
      <c r="F889" s="96" t="s">
        <v>429</v>
      </c>
      <c r="G889" s="96">
        <v>8100</v>
      </c>
      <c r="H889" s="152" t="s">
        <v>591</v>
      </c>
      <c r="I889" s="86" t="s">
        <v>9</v>
      </c>
      <c r="J889" s="52"/>
      <c r="K889" s="95"/>
      <c r="L889" s="51"/>
      <c r="M889" s="95"/>
      <c r="N889" s="124"/>
      <c r="O889" s="86"/>
      <c r="P889" s="124" t="s">
        <v>11</v>
      </c>
      <c r="Q889" s="151"/>
    </row>
    <row r="890" spans="1:17" s="1" customFormat="1" ht="19.5" hidden="1" customHeight="1" x14ac:dyDescent="0.3">
      <c r="A890" s="11"/>
      <c r="B890" s="75" t="s">
        <v>586</v>
      </c>
      <c r="C890" s="483" t="s">
        <v>92</v>
      </c>
      <c r="D890" s="484"/>
      <c r="E890" s="485"/>
      <c r="F890" s="78" t="s">
        <v>429</v>
      </c>
      <c r="G890" s="78">
        <v>7300</v>
      </c>
      <c r="H890" s="57" t="s">
        <v>133</v>
      </c>
      <c r="I890" s="73" t="s">
        <v>9</v>
      </c>
      <c r="J890" s="53"/>
      <c r="K890" s="75"/>
      <c r="L890" s="54"/>
      <c r="M890" s="75"/>
      <c r="N890" s="145"/>
      <c r="O890" s="73"/>
      <c r="P890" s="145" t="s">
        <v>11</v>
      </c>
      <c r="Q890" s="58"/>
    </row>
    <row r="891" spans="1:17" s="1" customFormat="1" ht="19.5" hidden="1" customHeight="1" x14ac:dyDescent="0.3">
      <c r="A891" s="11"/>
      <c r="B891" s="95" t="s">
        <v>538</v>
      </c>
      <c r="C891" s="433" t="s">
        <v>92</v>
      </c>
      <c r="D891" s="434"/>
      <c r="E891" s="435"/>
      <c r="F891" s="96" t="s">
        <v>429</v>
      </c>
      <c r="G891" s="96">
        <v>5100</v>
      </c>
      <c r="H891" s="152" t="s">
        <v>134</v>
      </c>
      <c r="I891" s="86" t="s">
        <v>9</v>
      </c>
      <c r="J891" s="52"/>
      <c r="K891" s="95"/>
      <c r="L891" s="51"/>
      <c r="M891" s="95"/>
      <c r="N891" s="124"/>
      <c r="O891" s="86"/>
      <c r="P891" s="124" t="s">
        <v>11</v>
      </c>
      <c r="Q891" s="151"/>
    </row>
    <row r="892" spans="1:17" s="1" customFormat="1" ht="19.5" hidden="1" customHeight="1" x14ac:dyDescent="0.3">
      <c r="A892" s="11"/>
      <c r="B892" s="75" t="s">
        <v>609</v>
      </c>
      <c r="C892" s="483">
        <v>45504.5</v>
      </c>
      <c r="D892" s="484"/>
      <c r="E892" s="485"/>
      <c r="F892" s="78" t="s">
        <v>429</v>
      </c>
      <c r="G892" s="78">
        <v>6600</v>
      </c>
      <c r="H892" s="57"/>
      <c r="I892" s="73" t="s">
        <v>9</v>
      </c>
      <c r="J892" s="53"/>
      <c r="K892" s="75"/>
      <c r="L892" s="54"/>
      <c r="M892" s="75"/>
      <c r="N892" s="145"/>
      <c r="O892" s="73"/>
      <c r="P892" s="145" t="s">
        <v>11</v>
      </c>
      <c r="Q892" s="58"/>
    </row>
    <row r="893" spans="1:17" s="1" customFormat="1" ht="19.5" hidden="1" customHeight="1" x14ac:dyDescent="0.3">
      <c r="A893" s="11"/>
      <c r="B893" s="95" t="s">
        <v>532</v>
      </c>
      <c r="C893" s="433">
        <v>45508.333333333336</v>
      </c>
      <c r="D893" s="434"/>
      <c r="E893" s="435"/>
      <c r="F893" s="96" t="s">
        <v>429</v>
      </c>
      <c r="G893" s="96">
        <v>4800</v>
      </c>
      <c r="H893" s="152" t="s">
        <v>147</v>
      </c>
      <c r="I893" s="86" t="s">
        <v>9</v>
      </c>
      <c r="J893" s="52"/>
      <c r="K893" s="95"/>
      <c r="L893" s="51"/>
      <c r="M893" s="95"/>
      <c r="N893" s="124"/>
      <c r="O893" s="86"/>
      <c r="P893" s="124" t="s">
        <v>11</v>
      </c>
      <c r="Q893" s="151"/>
    </row>
    <row r="894" spans="1:17" s="1" customFormat="1" ht="19.5" hidden="1" customHeight="1" x14ac:dyDescent="0.3">
      <c r="A894" s="11"/>
      <c r="B894" s="75" t="s">
        <v>586</v>
      </c>
      <c r="C894" s="483">
        <v>45512.888888888891</v>
      </c>
      <c r="D894" s="484"/>
      <c r="E894" s="485"/>
      <c r="F894" s="78" t="s">
        <v>429</v>
      </c>
      <c r="G894" s="78">
        <v>7300</v>
      </c>
      <c r="H894" s="57" t="s">
        <v>581</v>
      </c>
      <c r="I894" s="73"/>
      <c r="J894" s="53"/>
      <c r="K894" s="75"/>
      <c r="L894" s="54"/>
      <c r="M894" s="75"/>
      <c r="N894" s="145"/>
      <c r="O894" s="73"/>
      <c r="P894" s="145"/>
      <c r="Q894" s="58"/>
    </row>
    <row r="895" spans="1:17" s="1" customFormat="1" ht="19.5" hidden="1" customHeight="1" x14ac:dyDescent="0.3">
      <c r="A895" s="11"/>
      <c r="B895" s="95" t="s">
        <v>532</v>
      </c>
      <c r="C895" s="433" t="s">
        <v>92</v>
      </c>
      <c r="D895" s="434"/>
      <c r="E895" s="435"/>
      <c r="F895" s="96" t="s">
        <v>429</v>
      </c>
      <c r="G895" s="96">
        <v>4800</v>
      </c>
      <c r="H895" s="152" t="s">
        <v>573</v>
      </c>
      <c r="I895" s="86" t="s">
        <v>9</v>
      </c>
      <c r="J895" s="52"/>
      <c r="K895" s="95"/>
      <c r="L895" s="51"/>
      <c r="M895" s="95"/>
      <c r="N895" s="124"/>
      <c r="O895" s="86"/>
      <c r="P895" s="124" t="s">
        <v>11</v>
      </c>
      <c r="Q895" s="161"/>
    </row>
    <row r="896" spans="1:17" s="1" customFormat="1" ht="19.5" hidden="1" customHeight="1" x14ac:dyDescent="0.3">
      <c r="A896" s="11"/>
      <c r="B896" s="95" t="s">
        <v>574</v>
      </c>
      <c r="C896" s="433">
        <v>45516.666666666664</v>
      </c>
      <c r="D896" s="434"/>
      <c r="E896" s="435"/>
      <c r="F896" s="96" t="s">
        <v>429</v>
      </c>
      <c r="G896" s="96">
        <v>7500</v>
      </c>
      <c r="H896" s="152" t="s">
        <v>591</v>
      </c>
      <c r="I896" s="86" t="s">
        <v>9</v>
      </c>
      <c r="J896" s="52"/>
      <c r="K896" s="95"/>
      <c r="L896" s="51"/>
      <c r="M896" s="95"/>
      <c r="N896" s="124"/>
      <c r="O896" s="86"/>
      <c r="P896" s="124" t="s">
        <v>11</v>
      </c>
      <c r="Q896" s="151"/>
    </row>
    <row r="897" spans="1:17" s="1" customFormat="1" ht="19.5" hidden="1" customHeight="1" x14ac:dyDescent="0.3">
      <c r="A897" s="11"/>
      <c r="B897" s="75" t="s">
        <v>305</v>
      </c>
      <c r="C897" s="483">
        <v>45517.333333333336</v>
      </c>
      <c r="D897" s="484"/>
      <c r="E897" s="485"/>
      <c r="F897" s="78" t="s">
        <v>429</v>
      </c>
      <c r="G897" s="78">
        <v>5100</v>
      </c>
      <c r="H897" s="57" t="s">
        <v>134</v>
      </c>
      <c r="I897" s="73" t="s">
        <v>9</v>
      </c>
      <c r="J897" s="53"/>
      <c r="K897" s="75"/>
      <c r="L897" s="54"/>
      <c r="M897" s="75"/>
      <c r="N897" s="145"/>
      <c r="O897" s="73"/>
      <c r="P897" s="145" t="s">
        <v>11</v>
      </c>
      <c r="Q897" s="58"/>
    </row>
    <row r="898" spans="1:17" s="1" customFormat="1" ht="19.5" hidden="1" customHeight="1" x14ac:dyDescent="0.3">
      <c r="A898" s="11"/>
      <c r="B898" s="75" t="s">
        <v>631</v>
      </c>
      <c r="C898" s="483">
        <v>45518.291666666664</v>
      </c>
      <c r="D898" s="484"/>
      <c r="E898" s="485"/>
      <c r="F898" s="78" t="s">
        <v>429</v>
      </c>
      <c r="G898" s="78">
        <v>5000</v>
      </c>
      <c r="H898" s="57" t="s">
        <v>147</v>
      </c>
      <c r="I898" s="73" t="s">
        <v>9</v>
      </c>
      <c r="J898" s="53"/>
      <c r="K898" s="75"/>
      <c r="L898" s="54"/>
      <c r="M898" s="75"/>
      <c r="N898" s="145"/>
      <c r="O898" s="73"/>
      <c r="P898" s="145" t="s">
        <v>11</v>
      </c>
      <c r="Q898" s="58"/>
    </row>
    <row r="899" spans="1:17" s="1" customFormat="1" ht="19.5" hidden="1" customHeight="1" x14ac:dyDescent="0.3">
      <c r="A899" s="11"/>
      <c r="B899" s="75" t="s">
        <v>305</v>
      </c>
      <c r="C899" s="483">
        <v>45523.381944444445</v>
      </c>
      <c r="D899" s="484"/>
      <c r="E899" s="485"/>
      <c r="F899" s="78" t="s">
        <v>429</v>
      </c>
      <c r="G899" s="78">
        <v>5100</v>
      </c>
      <c r="H899" s="57" t="s">
        <v>134</v>
      </c>
      <c r="I899" s="73" t="s">
        <v>9</v>
      </c>
      <c r="J899" s="53"/>
      <c r="K899" s="75"/>
      <c r="L899" s="54"/>
      <c r="M899" s="75"/>
      <c r="N899" s="145"/>
      <c r="O899" s="73"/>
      <c r="P899" s="145" t="s">
        <v>11</v>
      </c>
      <c r="Q899" s="58"/>
    </row>
    <row r="900" spans="1:17" s="1" customFormat="1" ht="19.5" hidden="1" customHeight="1" x14ac:dyDescent="0.3">
      <c r="A900" s="11"/>
      <c r="B900" s="75" t="s">
        <v>586</v>
      </c>
      <c r="C900" s="483">
        <v>45524.972222222219</v>
      </c>
      <c r="D900" s="484"/>
      <c r="E900" s="485"/>
      <c r="F900" s="78" t="s">
        <v>429</v>
      </c>
      <c r="G900" s="78">
        <v>7300</v>
      </c>
      <c r="H900" s="57" t="s">
        <v>581</v>
      </c>
      <c r="I900" s="73" t="s">
        <v>9</v>
      </c>
      <c r="J900" s="53"/>
      <c r="K900" s="75"/>
      <c r="L900" s="54"/>
      <c r="M900" s="75"/>
      <c r="N900" s="145"/>
      <c r="O900" s="73"/>
      <c r="P900" s="145" t="s">
        <v>11</v>
      </c>
      <c r="Q900" s="58"/>
    </row>
    <row r="901" spans="1:17" s="1" customFormat="1" ht="19.5" hidden="1" customHeight="1" x14ac:dyDescent="0.3">
      <c r="A901" s="11"/>
      <c r="B901" s="75" t="s">
        <v>536</v>
      </c>
      <c r="C901" s="483">
        <v>45526.041666666664</v>
      </c>
      <c r="D901" s="484"/>
      <c r="E901" s="485"/>
      <c r="F901" s="78" t="s">
        <v>429</v>
      </c>
      <c r="G901" s="78">
        <v>7300</v>
      </c>
      <c r="H901" s="57" t="s">
        <v>581</v>
      </c>
      <c r="I901" s="73" t="s">
        <v>9</v>
      </c>
      <c r="J901" s="53"/>
      <c r="K901" s="75"/>
      <c r="L901" s="54"/>
      <c r="M901" s="75"/>
      <c r="N901" s="145"/>
      <c r="O901" s="73"/>
      <c r="P901" s="145" t="s">
        <v>11</v>
      </c>
      <c r="Q901" s="58"/>
    </row>
    <row r="902" spans="1:17" s="1" customFormat="1" ht="19.5" hidden="1" customHeight="1" x14ac:dyDescent="0.3">
      <c r="A902" s="11"/>
      <c r="B902" s="95" t="s">
        <v>609</v>
      </c>
      <c r="C902" s="433">
        <v>45528.291666666664</v>
      </c>
      <c r="D902" s="434"/>
      <c r="E902" s="435"/>
      <c r="F902" s="96" t="s">
        <v>429</v>
      </c>
      <c r="G902" s="96">
        <v>5000</v>
      </c>
      <c r="H902" s="152" t="s">
        <v>147</v>
      </c>
      <c r="I902" s="86" t="s">
        <v>9</v>
      </c>
      <c r="J902" s="52"/>
      <c r="K902" s="95"/>
      <c r="L902" s="51"/>
      <c r="M902" s="95"/>
      <c r="N902" s="124"/>
      <c r="O902" s="86"/>
      <c r="P902" s="124" t="s">
        <v>11</v>
      </c>
      <c r="Q902" s="151"/>
    </row>
    <row r="903" spans="1:17" s="1" customFormat="1" ht="19.5" hidden="1" customHeight="1" x14ac:dyDescent="0.3">
      <c r="A903" s="11"/>
      <c r="B903" s="95" t="s">
        <v>537</v>
      </c>
      <c r="C903" s="433" t="s">
        <v>92</v>
      </c>
      <c r="D903" s="434"/>
      <c r="E903" s="435"/>
      <c r="F903" s="96" t="s">
        <v>429</v>
      </c>
      <c r="G903" s="96">
        <v>5900</v>
      </c>
      <c r="H903" s="152" t="s">
        <v>582</v>
      </c>
      <c r="I903" s="86" t="s">
        <v>9</v>
      </c>
      <c r="J903" s="52"/>
      <c r="K903" s="95"/>
      <c r="L903" s="51"/>
      <c r="M903" s="95"/>
      <c r="N903" s="124"/>
      <c r="O903" s="86"/>
      <c r="P903" s="124" t="s">
        <v>11</v>
      </c>
      <c r="Q903" s="151"/>
    </row>
    <row r="904" spans="1:17" s="1" customFormat="1" ht="19.5" hidden="1" customHeight="1" x14ac:dyDescent="0.3">
      <c r="A904" s="11"/>
      <c r="B904" s="95" t="s">
        <v>532</v>
      </c>
      <c r="C904" s="433" t="s">
        <v>92</v>
      </c>
      <c r="D904" s="434"/>
      <c r="E904" s="435"/>
      <c r="F904" s="96" t="s">
        <v>429</v>
      </c>
      <c r="G904" s="96">
        <v>5000</v>
      </c>
      <c r="H904" s="152" t="s">
        <v>573</v>
      </c>
      <c r="I904" s="86" t="s">
        <v>9</v>
      </c>
      <c r="J904" s="52"/>
      <c r="K904" s="95"/>
      <c r="L904" s="51"/>
      <c r="M904" s="95"/>
      <c r="N904" s="124"/>
      <c r="O904" s="86"/>
      <c r="P904" s="124" t="s">
        <v>11</v>
      </c>
      <c r="Q904" s="151"/>
    </row>
    <row r="905" spans="1:17" s="1" customFormat="1" ht="19.5" hidden="1" customHeight="1" x14ac:dyDescent="0.3">
      <c r="A905" s="11"/>
      <c r="B905" s="75" t="s">
        <v>305</v>
      </c>
      <c r="C905" s="483">
        <v>45530.916666666664</v>
      </c>
      <c r="D905" s="484"/>
      <c r="E905" s="485"/>
      <c r="F905" s="78" t="s">
        <v>429</v>
      </c>
      <c r="G905" s="78">
        <v>5100</v>
      </c>
      <c r="H905" s="57" t="s">
        <v>134</v>
      </c>
      <c r="I905" s="73" t="s">
        <v>9</v>
      </c>
      <c r="J905" s="53"/>
      <c r="K905" s="75"/>
      <c r="L905" s="54"/>
      <c r="M905" s="75"/>
      <c r="N905" s="145"/>
      <c r="O905" s="73"/>
      <c r="P905" s="145" t="s">
        <v>11</v>
      </c>
      <c r="Q905" s="58"/>
    </row>
    <row r="906" spans="1:17" s="1" customFormat="1" ht="19.5" hidden="1" customHeight="1" x14ac:dyDescent="0.3">
      <c r="A906" s="11"/>
      <c r="B906" s="95" t="s">
        <v>609</v>
      </c>
      <c r="C906" s="433">
        <v>45532.25</v>
      </c>
      <c r="D906" s="434"/>
      <c r="E906" s="435"/>
      <c r="F906" s="96" t="s">
        <v>429</v>
      </c>
      <c r="G906" s="96">
        <v>4800</v>
      </c>
      <c r="H906" s="152" t="s">
        <v>147</v>
      </c>
      <c r="I906" s="86" t="s">
        <v>9</v>
      </c>
      <c r="J906" s="52"/>
      <c r="K906" s="95"/>
      <c r="L906" s="51"/>
      <c r="M906" s="95"/>
      <c r="N906" s="124"/>
      <c r="O906" s="86"/>
      <c r="P906" s="124" t="s">
        <v>11</v>
      </c>
      <c r="Q906" s="151"/>
    </row>
    <row r="907" spans="1:17" s="1" customFormat="1" ht="19.5" hidden="1" customHeight="1" x14ac:dyDescent="0.3">
      <c r="A907" s="11"/>
      <c r="B907" s="95" t="s">
        <v>135</v>
      </c>
      <c r="C907" s="433" t="s">
        <v>92</v>
      </c>
      <c r="D907" s="434"/>
      <c r="E907" s="435"/>
      <c r="F907" s="96" t="s">
        <v>429</v>
      </c>
      <c r="G907" s="96">
        <v>3900</v>
      </c>
      <c r="H907" s="152" t="s">
        <v>147</v>
      </c>
      <c r="I907" s="86" t="s">
        <v>9</v>
      </c>
      <c r="J907" s="52"/>
      <c r="K907" s="95"/>
      <c r="L907" s="51"/>
      <c r="M907" s="95"/>
      <c r="N907" s="124"/>
      <c r="O907" s="86"/>
      <c r="P907" s="124" t="s">
        <v>11</v>
      </c>
      <c r="Q907" s="151"/>
    </row>
    <row r="908" spans="1:17" s="1" customFormat="1" ht="19.5" hidden="1" customHeight="1" x14ac:dyDescent="0.3">
      <c r="A908" s="11"/>
      <c r="B908" s="95" t="s">
        <v>536</v>
      </c>
      <c r="C908" s="433">
        <v>45565.666666666664</v>
      </c>
      <c r="D908" s="434"/>
      <c r="E908" s="435"/>
      <c r="F908" s="96" t="s">
        <v>429</v>
      </c>
      <c r="G908" s="96">
        <v>8100</v>
      </c>
      <c r="H908" s="152" t="s">
        <v>591</v>
      </c>
      <c r="I908" s="86" t="s">
        <v>9</v>
      </c>
      <c r="J908" s="52"/>
      <c r="K908" s="95"/>
      <c r="L908" s="51"/>
      <c r="M908" s="95"/>
      <c r="N908" s="124"/>
      <c r="O908" s="86"/>
      <c r="P908" s="124" t="s">
        <v>11</v>
      </c>
      <c r="Q908" s="151"/>
    </row>
    <row r="909" spans="1:17" s="1" customFormat="1" ht="19.5" hidden="1" customHeight="1" x14ac:dyDescent="0.3">
      <c r="A909" s="11"/>
      <c r="B909" s="75" t="s">
        <v>574</v>
      </c>
      <c r="C909" s="483">
        <v>45540.541666666664</v>
      </c>
      <c r="D909" s="484"/>
      <c r="E909" s="485"/>
      <c r="F909" s="78" t="s">
        <v>654</v>
      </c>
      <c r="G909" s="78">
        <v>7500</v>
      </c>
      <c r="H909" s="57"/>
      <c r="I909" s="73" t="s">
        <v>9</v>
      </c>
      <c r="J909" s="53"/>
      <c r="K909" s="75"/>
      <c r="L909" s="54"/>
      <c r="M909" s="75"/>
      <c r="N909" s="145"/>
      <c r="O909" s="73"/>
      <c r="P909" s="145" t="s">
        <v>11</v>
      </c>
      <c r="Q909" s="58"/>
    </row>
    <row r="910" spans="1:17" s="1" customFormat="1" ht="19.5" hidden="1" customHeight="1" x14ac:dyDescent="0.3">
      <c r="A910" s="11"/>
      <c r="B910" s="75" t="s">
        <v>609</v>
      </c>
      <c r="C910" s="483">
        <v>45541.416666666664</v>
      </c>
      <c r="D910" s="484"/>
      <c r="E910" s="485"/>
      <c r="F910" s="78" t="s">
        <v>429</v>
      </c>
      <c r="G910" s="78">
        <v>4800</v>
      </c>
      <c r="H910" s="57"/>
      <c r="I910" s="73" t="s">
        <v>9</v>
      </c>
      <c r="J910" s="53"/>
      <c r="K910" s="75"/>
      <c r="L910" s="54"/>
      <c r="M910" s="75"/>
      <c r="N910" s="145"/>
      <c r="O910" s="73"/>
      <c r="P910" s="145" t="s">
        <v>11</v>
      </c>
      <c r="Q910" s="58"/>
    </row>
    <row r="911" spans="1:17" s="1" customFormat="1" ht="19.5" hidden="1" customHeight="1" x14ac:dyDescent="0.3">
      <c r="A911" s="11"/>
      <c r="B911" s="95" t="s">
        <v>578</v>
      </c>
      <c r="C911" s="433" t="s">
        <v>92</v>
      </c>
      <c r="D911" s="434"/>
      <c r="E911" s="435"/>
      <c r="F911" s="96" t="s">
        <v>429</v>
      </c>
      <c r="G911" s="96">
        <v>5100</v>
      </c>
      <c r="H911" s="152"/>
      <c r="I911" s="86" t="s">
        <v>9</v>
      </c>
      <c r="J911" s="52"/>
      <c r="K911" s="95"/>
      <c r="L911" s="51"/>
      <c r="M911" s="95"/>
      <c r="N911" s="124"/>
      <c r="O911" s="86"/>
      <c r="P911" s="124" t="s">
        <v>11</v>
      </c>
      <c r="Q911" s="151"/>
    </row>
    <row r="912" spans="1:17" s="1" customFormat="1" ht="19.5" hidden="1" customHeight="1" x14ac:dyDescent="0.3">
      <c r="A912" s="11"/>
      <c r="B912" s="95" t="s">
        <v>537</v>
      </c>
      <c r="C912" s="433" t="s">
        <v>92</v>
      </c>
      <c r="D912" s="434"/>
      <c r="E912" s="435"/>
      <c r="F912" s="96" t="s">
        <v>429</v>
      </c>
      <c r="G912" s="96">
        <v>5900</v>
      </c>
      <c r="H912" s="152"/>
      <c r="I912" s="86" t="s">
        <v>9</v>
      </c>
      <c r="J912" s="52"/>
      <c r="K912" s="95"/>
      <c r="L912" s="51"/>
      <c r="M912" s="95"/>
      <c r="N912" s="124"/>
      <c r="O912" s="86"/>
      <c r="P912" s="124" t="s">
        <v>11</v>
      </c>
      <c r="Q912" s="151"/>
    </row>
    <row r="913" spans="1:17" s="1" customFormat="1" ht="19.5" hidden="1" customHeight="1" x14ac:dyDescent="0.3">
      <c r="A913" s="11"/>
      <c r="B913" s="75" t="s">
        <v>653</v>
      </c>
      <c r="C913" s="483">
        <v>45543.604166666664</v>
      </c>
      <c r="D913" s="484"/>
      <c r="E913" s="485"/>
      <c r="F913" s="78" t="s">
        <v>654</v>
      </c>
      <c r="G913" s="78">
        <v>27500</v>
      </c>
      <c r="H913" s="57"/>
      <c r="I913" s="73" t="s">
        <v>9</v>
      </c>
      <c r="J913" s="53"/>
      <c r="K913" s="75"/>
      <c r="L913" s="54"/>
      <c r="M913" s="75"/>
      <c r="N913" s="145"/>
      <c r="O913" s="73"/>
      <c r="P913" s="145" t="s">
        <v>16</v>
      </c>
      <c r="Q913" s="58" t="s">
        <v>664</v>
      </c>
    </row>
    <row r="914" spans="1:17" s="1" customFormat="1" ht="19.5" hidden="1" customHeight="1" x14ac:dyDescent="0.3">
      <c r="A914" s="11"/>
      <c r="B914" s="75" t="s">
        <v>609</v>
      </c>
      <c r="C914" s="483">
        <v>45546.291666666664</v>
      </c>
      <c r="D914" s="484"/>
      <c r="E914" s="485"/>
      <c r="F914" s="78" t="s">
        <v>429</v>
      </c>
      <c r="G914" s="78">
        <v>4800</v>
      </c>
      <c r="H914" s="57" t="s">
        <v>147</v>
      </c>
      <c r="I914" s="73" t="s">
        <v>9</v>
      </c>
      <c r="J914" s="53"/>
      <c r="K914" s="75"/>
      <c r="L914" s="54"/>
      <c r="M914" s="75"/>
      <c r="N914" s="145"/>
      <c r="O914" s="73"/>
      <c r="P914" s="145" t="s">
        <v>11</v>
      </c>
      <c r="Q914" s="58"/>
    </row>
    <row r="915" spans="1:17" s="1" customFormat="1" ht="19.5" hidden="1" customHeight="1" x14ac:dyDescent="0.3">
      <c r="A915" s="11"/>
      <c r="B915" s="95" t="s">
        <v>574</v>
      </c>
      <c r="C915" s="433">
        <v>45547.791666666664</v>
      </c>
      <c r="D915" s="434"/>
      <c r="E915" s="435"/>
      <c r="F915" s="96" t="s">
        <v>429</v>
      </c>
      <c r="G915" s="96">
        <v>7500</v>
      </c>
      <c r="H915" s="152" t="s">
        <v>591</v>
      </c>
      <c r="I915" s="86" t="s">
        <v>9</v>
      </c>
      <c r="J915" s="52"/>
      <c r="K915" s="95"/>
      <c r="L915" s="51"/>
      <c r="M915" s="95"/>
      <c r="N915" s="124"/>
      <c r="O915" s="86"/>
      <c r="P915" s="124" t="s">
        <v>11</v>
      </c>
      <c r="Q915" s="151"/>
    </row>
    <row r="916" spans="1:17" s="1" customFormat="1" ht="19.5" hidden="1" customHeight="1" x14ac:dyDescent="0.3">
      <c r="A916" s="11"/>
      <c r="B916" s="95" t="s">
        <v>532</v>
      </c>
      <c r="C916" s="433">
        <v>45556.375</v>
      </c>
      <c r="D916" s="434"/>
      <c r="E916" s="435"/>
      <c r="F916" s="96" t="s">
        <v>429</v>
      </c>
      <c r="G916" s="96">
        <v>4000</v>
      </c>
      <c r="H916" s="152" t="s">
        <v>675</v>
      </c>
      <c r="I916" s="86" t="s">
        <v>9</v>
      </c>
      <c r="J916" s="52"/>
      <c r="K916" s="95"/>
      <c r="L916" s="51"/>
      <c r="M916" s="95"/>
      <c r="N916" s="124"/>
      <c r="O916" s="86"/>
      <c r="P916" s="124" t="s">
        <v>11</v>
      </c>
      <c r="Q916" s="151"/>
    </row>
    <row r="917" spans="1:17" s="1" customFormat="1" ht="19.5" hidden="1" customHeight="1" x14ac:dyDescent="0.3">
      <c r="A917" s="11"/>
      <c r="B917" s="75" t="s">
        <v>305</v>
      </c>
      <c r="C917" s="483">
        <v>45557.947916666664</v>
      </c>
      <c r="D917" s="484"/>
      <c r="E917" s="485"/>
      <c r="F917" s="78" t="s">
        <v>429</v>
      </c>
      <c r="G917" s="78">
        <v>5100</v>
      </c>
      <c r="H917" s="57" t="s">
        <v>134</v>
      </c>
      <c r="I917" s="73" t="s">
        <v>9</v>
      </c>
      <c r="J917" s="53"/>
      <c r="K917" s="75"/>
      <c r="L917" s="54"/>
      <c r="M917" s="75"/>
      <c r="N917" s="145"/>
      <c r="O917" s="73"/>
      <c r="P917" s="145" t="s">
        <v>11</v>
      </c>
      <c r="Q917" s="58"/>
    </row>
    <row r="918" spans="1:17" s="1" customFormat="1" ht="19.5" hidden="1" customHeight="1" x14ac:dyDescent="0.3">
      <c r="A918" s="11"/>
      <c r="B918" s="95" t="s">
        <v>678</v>
      </c>
      <c r="C918" s="433">
        <v>45559.666666666664</v>
      </c>
      <c r="D918" s="434"/>
      <c r="E918" s="435"/>
      <c r="F918" s="96" t="s">
        <v>429</v>
      </c>
      <c r="G918" s="96">
        <v>6800</v>
      </c>
      <c r="H918" s="152" t="s">
        <v>591</v>
      </c>
      <c r="I918" s="86" t="s">
        <v>9</v>
      </c>
      <c r="J918" s="52"/>
      <c r="K918" s="95"/>
      <c r="L918" s="51"/>
      <c r="M918" s="95"/>
      <c r="N918" s="124"/>
      <c r="O918" s="86"/>
      <c r="P918" s="124" t="s">
        <v>11</v>
      </c>
      <c r="Q918" s="151"/>
    </row>
    <row r="919" spans="1:17" s="1" customFormat="1" ht="19.5" hidden="1" customHeight="1" x14ac:dyDescent="0.3">
      <c r="A919" s="11"/>
      <c r="B919" s="75" t="s">
        <v>631</v>
      </c>
      <c r="C919" s="483">
        <v>45561.625</v>
      </c>
      <c r="D919" s="484"/>
      <c r="E919" s="485"/>
      <c r="F919" s="78" t="s">
        <v>429</v>
      </c>
      <c r="G919" s="78">
        <v>5000</v>
      </c>
      <c r="H919" s="57" t="s">
        <v>573</v>
      </c>
      <c r="I919" s="73" t="s">
        <v>9</v>
      </c>
      <c r="J919" s="53"/>
      <c r="K919" s="75"/>
      <c r="L919" s="54"/>
      <c r="M919" s="75"/>
      <c r="N919" s="145"/>
      <c r="O919" s="73"/>
      <c r="P919" s="145" t="s">
        <v>11</v>
      </c>
      <c r="Q919" s="58"/>
    </row>
    <row r="920" spans="1:17" s="1" customFormat="1" ht="19.5" hidden="1" customHeight="1" x14ac:dyDescent="0.3">
      <c r="A920" s="11"/>
      <c r="B920" s="75" t="s">
        <v>680</v>
      </c>
      <c r="C920" s="483">
        <v>45562.5</v>
      </c>
      <c r="D920" s="484"/>
      <c r="E920" s="485"/>
      <c r="F920" s="78" t="s">
        <v>654</v>
      </c>
      <c r="G920" s="78">
        <v>27500</v>
      </c>
      <c r="H920" s="57"/>
      <c r="I920" s="73" t="s">
        <v>9</v>
      </c>
      <c r="J920" s="53"/>
      <c r="K920" s="75"/>
      <c r="L920" s="54"/>
      <c r="M920" s="75" t="s">
        <v>16</v>
      </c>
      <c r="N920" s="145"/>
      <c r="O920" s="73"/>
      <c r="P920" s="145" t="s">
        <v>16</v>
      </c>
      <c r="Q920" s="172"/>
    </row>
    <row r="921" spans="1:17" s="1" customFormat="1" ht="19.5" hidden="1" customHeight="1" x14ac:dyDescent="0.3">
      <c r="A921" s="11"/>
      <c r="B921" s="95" t="s">
        <v>684</v>
      </c>
      <c r="C921" s="433" t="s">
        <v>92</v>
      </c>
      <c r="D921" s="434"/>
      <c r="E921" s="435"/>
      <c r="F921" s="96" t="s">
        <v>429</v>
      </c>
      <c r="G921" s="96">
        <v>5000</v>
      </c>
      <c r="H921" s="152" t="s">
        <v>581</v>
      </c>
      <c r="I921" s="86" t="s">
        <v>9</v>
      </c>
      <c r="J921" s="52"/>
      <c r="K921" s="95"/>
      <c r="L921" s="51"/>
      <c r="M921" s="95"/>
      <c r="N921" s="124"/>
      <c r="O921" s="86"/>
      <c r="P921" s="124" t="s">
        <v>11</v>
      </c>
      <c r="Q921" s="169"/>
    </row>
    <row r="922" spans="1:17" s="1" customFormat="1" ht="19.5" hidden="1" customHeight="1" x14ac:dyDescent="0.3">
      <c r="A922" s="11"/>
      <c r="B922" s="95" t="s">
        <v>609</v>
      </c>
      <c r="C922" s="433" t="s">
        <v>92</v>
      </c>
      <c r="D922" s="434"/>
      <c r="E922" s="435"/>
      <c r="F922" s="96" t="s">
        <v>429</v>
      </c>
      <c r="G922" s="96">
        <v>4800</v>
      </c>
      <c r="H922" s="152" t="s">
        <v>147</v>
      </c>
      <c r="I922" s="86" t="s">
        <v>9</v>
      </c>
      <c r="J922" s="52"/>
      <c r="K922" s="95"/>
      <c r="L922" s="51"/>
      <c r="M922" s="95"/>
      <c r="N922" s="124"/>
      <c r="O922" s="86"/>
      <c r="P922" s="124" t="s">
        <v>11</v>
      </c>
      <c r="Q922" s="151"/>
    </row>
    <row r="923" spans="1:17" s="1" customFormat="1" ht="19.5" hidden="1" customHeight="1" x14ac:dyDescent="0.3">
      <c r="A923" s="11"/>
      <c r="B923" s="75" t="s">
        <v>305</v>
      </c>
      <c r="C923" s="483">
        <v>45567.392361111109</v>
      </c>
      <c r="D923" s="484"/>
      <c r="E923" s="485"/>
      <c r="F923" s="78" t="s">
        <v>429</v>
      </c>
      <c r="G923" s="78">
        <v>5100</v>
      </c>
      <c r="H923" s="57" t="s">
        <v>134</v>
      </c>
      <c r="I923" s="73" t="s">
        <v>9</v>
      </c>
      <c r="J923" s="53"/>
      <c r="K923" s="75"/>
      <c r="L923" s="54"/>
      <c r="M923" s="75"/>
      <c r="N923" s="145"/>
      <c r="O923" s="73"/>
      <c r="P923" s="145" t="s">
        <v>11</v>
      </c>
      <c r="Q923" s="58"/>
    </row>
    <row r="924" spans="1:17" s="1" customFormat="1" ht="19.5" hidden="1" customHeight="1" x14ac:dyDescent="0.3">
      <c r="A924" s="11"/>
      <c r="B924" s="95" t="s">
        <v>538</v>
      </c>
      <c r="C924" s="433" t="s">
        <v>92</v>
      </c>
      <c r="D924" s="434"/>
      <c r="E924" s="435"/>
      <c r="F924" s="96" t="s">
        <v>429</v>
      </c>
      <c r="G924" s="96">
        <v>5100</v>
      </c>
      <c r="H924" s="152" t="s">
        <v>147</v>
      </c>
      <c r="I924" s="86" t="s">
        <v>9</v>
      </c>
      <c r="J924" s="52"/>
      <c r="K924" s="95"/>
      <c r="L924" s="51"/>
      <c r="M924" s="95"/>
      <c r="N924" s="124"/>
      <c r="O924" s="86"/>
      <c r="P924" s="124" t="s">
        <v>11</v>
      </c>
      <c r="Q924" s="151"/>
    </row>
    <row r="925" spans="1:17" s="1" customFormat="1" ht="19.5" hidden="1" customHeight="1" x14ac:dyDescent="0.3">
      <c r="A925" s="11"/>
      <c r="B925" s="75" t="s">
        <v>536</v>
      </c>
      <c r="C925" s="483" t="s">
        <v>92</v>
      </c>
      <c r="D925" s="484"/>
      <c r="E925" s="485"/>
      <c r="F925" s="78" t="s">
        <v>429</v>
      </c>
      <c r="G925" s="78">
        <v>8100</v>
      </c>
      <c r="H925" s="57" t="s">
        <v>581</v>
      </c>
      <c r="I925" s="73" t="s">
        <v>9</v>
      </c>
      <c r="J925" s="53"/>
      <c r="K925" s="75"/>
      <c r="L925" s="54"/>
      <c r="M925" s="75"/>
      <c r="N925" s="145"/>
      <c r="O925" s="73"/>
      <c r="P925" s="145" t="s">
        <v>11</v>
      </c>
      <c r="Q925" s="58"/>
    </row>
    <row r="926" spans="1:17" s="1" customFormat="1" ht="19.5" hidden="1" customHeight="1" x14ac:dyDescent="0.3">
      <c r="A926" s="11"/>
      <c r="B926" s="95" t="s">
        <v>305</v>
      </c>
      <c r="C926" s="433">
        <v>45572.791666666664</v>
      </c>
      <c r="D926" s="434"/>
      <c r="E926" s="435"/>
      <c r="F926" s="96" t="s">
        <v>429</v>
      </c>
      <c r="G926" s="96">
        <v>5100</v>
      </c>
      <c r="H926" s="152" t="s">
        <v>134</v>
      </c>
      <c r="I926" s="86" t="s">
        <v>9</v>
      </c>
      <c r="J926" s="52"/>
      <c r="K926" s="95"/>
      <c r="L926" s="51"/>
      <c r="M926" s="95"/>
      <c r="N926" s="124"/>
      <c r="O926" s="86"/>
      <c r="P926" s="124" t="s">
        <v>11</v>
      </c>
      <c r="Q926" s="151"/>
    </row>
    <row r="927" spans="1:17" s="1" customFormat="1" ht="19.5" hidden="1" customHeight="1" x14ac:dyDescent="0.3">
      <c r="A927" s="11"/>
      <c r="B927" s="95" t="s">
        <v>538</v>
      </c>
      <c r="C927" s="433">
        <v>45574.291666666664</v>
      </c>
      <c r="D927" s="434"/>
      <c r="E927" s="435"/>
      <c r="F927" s="96" t="s">
        <v>429</v>
      </c>
      <c r="G927" s="96">
        <v>5100</v>
      </c>
      <c r="H927" s="152" t="s">
        <v>147</v>
      </c>
      <c r="I927" s="86" t="s">
        <v>9</v>
      </c>
      <c r="J927" s="52"/>
      <c r="K927" s="95"/>
      <c r="L927" s="51"/>
      <c r="M927" s="95"/>
      <c r="N927" s="124"/>
      <c r="O927" s="86"/>
      <c r="P927" s="124" t="s">
        <v>11</v>
      </c>
      <c r="Q927" s="151"/>
    </row>
    <row r="928" spans="1:17" s="1" customFormat="1" ht="19.5" hidden="1" customHeight="1" x14ac:dyDescent="0.3">
      <c r="A928" s="11"/>
      <c r="B928" s="95" t="s">
        <v>574</v>
      </c>
      <c r="C928" s="433" t="s">
        <v>92</v>
      </c>
      <c r="D928" s="434"/>
      <c r="E928" s="435"/>
      <c r="F928" s="96" t="s">
        <v>429</v>
      </c>
      <c r="G928" s="96">
        <v>7500</v>
      </c>
      <c r="H928" s="152" t="s">
        <v>133</v>
      </c>
      <c r="I928" s="86" t="s">
        <v>9</v>
      </c>
      <c r="J928" s="52"/>
      <c r="K928" s="95"/>
      <c r="L928" s="51"/>
      <c r="M928" s="95"/>
      <c r="N928" s="124"/>
      <c r="O928" s="86"/>
      <c r="P928" s="124" t="s">
        <v>11</v>
      </c>
      <c r="Q928" s="151"/>
    </row>
    <row r="929" spans="1:17" s="1" customFormat="1" ht="19.5" hidden="1" customHeight="1" x14ac:dyDescent="0.3">
      <c r="A929" s="11"/>
      <c r="B929" s="75" t="s">
        <v>537</v>
      </c>
      <c r="C929" s="483">
        <v>45579.333333333336</v>
      </c>
      <c r="D929" s="484"/>
      <c r="E929" s="485"/>
      <c r="F929" s="78" t="s">
        <v>429</v>
      </c>
      <c r="G929" s="78">
        <v>5900</v>
      </c>
      <c r="H929" s="57" t="s">
        <v>582</v>
      </c>
      <c r="I929" s="73" t="s">
        <v>9</v>
      </c>
      <c r="J929" s="53"/>
      <c r="K929" s="75"/>
      <c r="L929" s="54"/>
      <c r="M929" s="75"/>
      <c r="N929" s="145"/>
      <c r="O929" s="73"/>
      <c r="P929" s="145" t="s">
        <v>11</v>
      </c>
      <c r="Q929" s="58"/>
    </row>
    <row r="930" spans="1:17" s="1" customFormat="1" ht="19.5" hidden="1" customHeight="1" x14ac:dyDescent="0.3">
      <c r="A930" s="11"/>
      <c r="B930" s="95" t="s">
        <v>536</v>
      </c>
      <c r="C930" s="433" t="s">
        <v>92</v>
      </c>
      <c r="D930" s="434"/>
      <c r="E930" s="435"/>
      <c r="F930" s="96" t="s">
        <v>429</v>
      </c>
      <c r="G930" s="96">
        <v>8100</v>
      </c>
      <c r="H930" s="152"/>
      <c r="I930" s="86" t="s">
        <v>9</v>
      </c>
      <c r="J930" s="52"/>
      <c r="K930" s="95"/>
      <c r="L930" s="51"/>
      <c r="M930" s="95"/>
      <c r="N930" s="124"/>
      <c r="O930" s="86"/>
      <c r="P930" s="124" t="s">
        <v>11</v>
      </c>
      <c r="Q930" s="151"/>
    </row>
    <row r="931" spans="1:17" s="1" customFormat="1" ht="19.5" hidden="1" customHeight="1" x14ac:dyDescent="0.3">
      <c r="A931" s="11"/>
      <c r="B931" s="75" t="s">
        <v>702</v>
      </c>
      <c r="C931" s="483">
        <v>45581.333333333336</v>
      </c>
      <c r="D931" s="484"/>
      <c r="E931" s="485"/>
      <c r="F931" s="78" t="s">
        <v>429</v>
      </c>
      <c r="G931" s="78">
        <v>5000</v>
      </c>
      <c r="H931" s="57"/>
      <c r="I931" s="73" t="s">
        <v>9</v>
      </c>
      <c r="J931" s="53"/>
      <c r="K931" s="75"/>
      <c r="L931" s="54"/>
      <c r="M931" s="75"/>
      <c r="N931" s="145"/>
      <c r="O931" s="73"/>
      <c r="P931" s="145" t="s">
        <v>11</v>
      </c>
      <c r="Q931" s="58"/>
    </row>
    <row r="932" spans="1:17" s="1" customFormat="1" ht="19.5" hidden="1" customHeight="1" x14ac:dyDescent="0.3">
      <c r="A932" s="11"/>
      <c r="B932" s="95" t="s">
        <v>98</v>
      </c>
      <c r="C932" s="433">
        <v>45583.708333333336</v>
      </c>
      <c r="D932" s="434"/>
      <c r="E932" s="435"/>
      <c r="F932" s="96" t="s">
        <v>429</v>
      </c>
      <c r="G932" s="96">
        <v>6600</v>
      </c>
      <c r="H932" s="152" t="s">
        <v>582</v>
      </c>
      <c r="I932" s="86" t="s">
        <v>9</v>
      </c>
      <c r="J932" s="52"/>
      <c r="K932" s="95"/>
      <c r="L932" s="51"/>
      <c r="M932" s="95"/>
      <c r="N932" s="124"/>
      <c r="O932" s="86"/>
      <c r="P932" s="124" t="s">
        <v>11</v>
      </c>
      <c r="Q932" s="151"/>
    </row>
    <row r="933" spans="1:17" s="1" customFormat="1" ht="19.5" hidden="1" customHeight="1" x14ac:dyDescent="0.3">
      <c r="A933" s="11"/>
      <c r="B933" s="95" t="s">
        <v>305</v>
      </c>
      <c r="C933" s="433">
        <v>45587.5</v>
      </c>
      <c r="D933" s="434"/>
      <c r="E933" s="435"/>
      <c r="F933" s="96" t="s">
        <v>429</v>
      </c>
      <c r="G933" s="96">
        <v>5100</v>
      </c>
      <c r="H933" s="152" t="s">
        <v>134</v>
      </c>
      <c r="I933" s="86" t="s">
        <v>9</v>
      </c>
      <c r="J933" s="52"/>
      <c r="K933" s="95"/>
      <c r="L933" s="51"/>
      <c r="M933" s="95"/>
      <c r="N933" s="124"/>
      <c r="O933" s="86"/>
      <c r="P933" s="124" t="s">
        <v>11</v>
      </c>
      <c r="Q933" s="151"/>
    </row>
    <row r="934" spans="1:17" s="1" customFormat="1" ht="19.5" hidden="1" customHeight="1" x14ac:dyDescent="0.3">
      <c r="A934" s="11"/>
      <c r="B934" s="75" t="s">
        <v>537</v>
      </c>
      <c r="C934" s="483">
        <v>45589.368055555555</v>
      </c>
      <c r="D934" s="484"/>
      <c r="E934" s="485"/>
      <c r="F934" s="78" t="s">
        <v>429</v>
      </c>
      <c r="G934" s="78">
        <v>5900</v>
      </c>
      <c r="H934" s="57" t="s">
        <v>582</v>
      </c>
      <c r="I934" s="73" t="s">
        <v>9</v>
      </c>
      <c r="J934" s="53"/>
      <c r="K934" s="75"/>
      <c r="L934" s="54"/>
      <c r="M934" s="75"/>
      <c r="N934" s="145"/>
      <c r="O934" s="73"/>
      <c r="P934" s="145" t="s">
        <v>11</v>
      </c>
      <c r="Q934" s="58"/>
    </row>
    <row r="935" spans="1:17" s="1" customFormat="1" ht="19.5" hidden="1" customHeight="1" x14ac:dyDescent="0.3">
      <c r="A935" s="11"/>
      <c r="B935" s="95" t="s">
        <v>713</v>
      </c>
      <c r="C935" s="433">
        <v>45591.625</v>
      </c>
      <c r="D935" s="434"/>
      <c r="E935" s="435"/>
      <c r="F935" s="96" t="s">
        <v>709</v>
      </c>
      <c r="G935" s="96">
        <v>4200</v>
      </c>
      <c r="H935" s="152" t="s">
        <v>710</v>
      </c>
      <c r="I935" s="86" t="s">
        <v>9</v>
      </c>
      <c r="J935" s="52" t="s">
        <v>711</v>
      </c>
      <c r="K935" s="95"/>
      <c r="L935" s="51"/>
      <c r="M935" s="95"/>
      <c r="N935" s="124"/>
      <c r="O935" s="86"/>
      <c r="P935" s="124" t="s">
        <v>16</v>
      </c>
      <c r="Q935" s="151" t="s">
        <v>712</v>
      </c>
    </row>
    <row r="936" spans="1:17" s="1" customFormat="1" ht="19.5" hidden="1" customHeight="1" x14ac:dyDescent="0.3">
      <c r="A936" s="11"/>
      <c r="B936" s="95" t="s">
        <v>536</v>
      </c>
      <c r="C936" s="433">
        <v>45589.291666666664</v>
      </c>
      <c r="D936" s="434"/>
      <c r="E936" s="435"/>
      <c r="F936" s="96" t="s">
        <v>429</v>
      </c>
      <c r="G936" s="96">
        <v>8100</v>
      </c>
      <c r="H936" s="152" t="s">
        <v>591</v>
      </c>
      <c r="I936" s="86" t="s">
        <v>9</v>
      </c>
      <c r="J936" s="52"/>
      <c r="K936" s="95"/>
      <c r="L936" s="51"/>
      <c r="M936" s="95"/>
      <c r="N936" s="124"/>
      <c r="O936" s="86"/>
      <c r="P936" s="124" t="s">
        <v>11</v>
      </c>
      <c r="Q936" s="151"/>
    </row>
    <row r="937" spans="1:17" s="1" customFormat="1" ht="19.5" hidden="1" customHeight="1" x14ac:dyDescent="0.3">
      <c r="A937" s="11"/>
      <c r="B937" s="75" t="s">
        <v>305</v>
      </c>
      <c r="C937" s="483">
        <v>45593.333333333336</v>
      </c>
      <c r="D937" s="484"/>
      <c r="E937" s="485"/>
      <c r="F937" s="78" t="s">
        <v>429</v>
      </c>
      <c r="G937" s="78">
        <v>5100</v>
      </c>
      <c r="H937" s="57" t="s">
        <v>573</v>
      </c>
      <c r="I937" s="73" t="s">
        <v>9</v>
      </c>
      <c r="J937" s="53"/>
      <c r="K937" s="75"/>
      <c r="L937" s="54"/>
      <c r="M937" s="75"/>
      <c r="N937" s="145"/>
      <c r="O937" s="73"/>
      <c r="P937" s="145" t="s">
        <v>11</v>
      </c>
      <c r="Q937" s="58"/>
    </row>
    <row r="938" spans="1:17" s="1" customFormat="1" ht="19.5" hidden="1" customHeight="1" x14ac:dyDescent="0.3">
      <c r="A938" s="11"/>
      <c r="B938" s="75" t="s">
        <v>536</v>
      </c>
      <c r="C938" s="483">
        <v>45594.947916666664</v>
      </c>
      <c r="D938" s="484"/>
      <c r="E938" s="485"/>
      <c r="F938" s="78" t="s">
        <v>429</v>
      </c>
      <c r="G938" s="78">
        <v>8100</v>
      </c>
      <c r="H938" s="57" t="s">
        <v>591</v>
      </c>
      <c r="I938" s="73" t="s">
        <v>9</v>
      </c>
      <c r="J938" s="53"/>
      <c r="K938" s="75"/>
      <c r="L938" s="54"/>
      <c r="M938" s="75"/>
      <c r="N938" s="145"/>
      <c r="O938" s="73"/>
      <c r="P938" s="145" t="s">
        <v>11</v>
      </c>
      <c r="Q938" s="58"/>
    </row>
    <row r="939" spans="1:17" s="1" customFormat="1" ht="19.5" hidden="1" customHeight="1" x14ac:dyDescent="0.3">
      <c r="A939" s="11"/>
      <c r="B939" s="95" t="s">
        <v>702</v>
      </c>
      <c r="C939" s="433" t="s">
        <v>92</v>
      </c>
      <c r="D939" s="434"/>
      <c r="E939" s="435"/>
      <c r="F939" s="96" t="s">
        <v>429</v>
      </c>
      <c r="G939" s="96">
        <v>6700</v>
      </c>
      <c r="H939" s="152" t="s">
        <v>582</v>
      </c>
      <c r="I939" s="86" t="s">
        <v>9</v>
      </c>
      <c r="J939" s="52"/>
      <c r="K939" s="95"/>
      <c r="L939" s="51"/>
      <c r="M939" s="95"/>
      <c r="N939" s="124"/>
      <c r="O939" s="86"/>
      <c r="P939" s="124" t="s">
        <v>11</v>
      </c>
      <c r="Q939" s="151"/>
    </row>
    <row r="940" spans="1:17" s="1" customFormat="1" ht="19.5" hidden="1" customHeight="1" x14ac:dyDescent="0.3">
      <c r="A940" s="11"/>
      <c r="B940" s="95" t="s">
        <v>538</v>
      </c>
      <c r="C940" s="433">
        <v>45596.75</v>
      </c>
      <c r="D940" s="434"/>
      <c r="E940" s="435"/>
      <c r="F940" s="96" t="s">
        <v>429</v>
      </c>
      <c r="G940" s="96">
        <v>5100</v>
      </c>
      <c r="H940" s="152" t="s">
        <v>147</v>
      </c>
      <c r="I940" s="86" t="s">
        <v>9</v>
      </c>
      <c r="J940" s="52"/>
      <c r="K940" s="95"/>
      <c r="L940" s="51"/>
      <c r="M940" s="95"/>
      <c r="N940" s="124"/>
      <c r="O940" s="86"/>
      <c r="P940" s="124" t="s">
        <v>11</v>
      </c>
      <c r="Q940" s="151"/>
    </row>
    <row r="941" spans="1:17" s="1" customFormat="1" ht="19.5" hidden="1" customHeight="1" x14ac:dyDescent="0.3">
      <c r="A941" s="11"/>
      <c r="B941" s="75" t="s">
        <v>98</v>
      </c>
      <c r="C941" s="483" t="s">
        <v>92</v>
      </c>
      <c r="D941" s="484"/>
      <c r="E941" s="485"/>
      <c r="F941" s="78" t="s">
        <v>429</v>
      </c>
      <c r="G941" s="78">
        <v>5100</v>
      </c>
      <c r="H941" s="57" t="s">
        <v>582</v>
      </c>
      <c r="I941" s="73" t="s">
        <v>9</v>
      </c>
      <c r="J941" s="53"/>
      <c r="K941" s="75"/>
      <c r="L941" s="54"/>
      <c r="M941" s="75"/>
      <c r="N941" s="145"/>
      <c r="O941" s="73"/>
      <c r="P941" s="145" t="s">
        <v>11</v>
      </c>
      <c r="Q941" s="58"/>
    </row>
    <row r="942" spans="1:17" s="1" customFormat="1" ht="19.5" hidden="1" customHeight="1" x14ac:dyDescent="0.3">
      <c r="A942" s="11"/>
      <c r="B942" s="75" t="s">
        <v>597</v>
      </c>
      <c r="C942" s="483">
        <v>45600.385416666664</v>
      </c>
      <c r="D942" s="484"/>
      <c r="E942" s="485"/>
      <c r="F942" s="78" t="s">
        <v>429</v>
      </c>
      <c r="G942" s="78">
        <v>7500</v>
      </c>
      <c r="H942" s="57" t="s">
        <v>573</v>
      </c>
      <c r="I942" s="73" t="s">
        <v>9</v>
      </c>
      <c r="J942" s="53"/>
      <c r="K942" s="75"/>
      <c r="L942" s="54"/>
      <c r="M942" s="75"/>
      <c r="N942" s="145"/>
      <c r="O942" s="73"/>
      <c r="P942" s="145" t="s">
        <v>11</v>
      </c>
      <c r="Q942" s="58"/>
    </row>
    <row r="943" spans="1:17" s="1" customFormat="1" ht="19.5" hidden="1" customHeight="1" x14ac:dyDescent="0.3">
      <c r="A943" s="11"/>
      <c r="B943" s="95" t="s">
        <v>538</v>
      </c>
      <c r="C943" s="433" t="s">
        <v>92</v>
      </c>
      <c r="D943" s="434"/>
      <c r="E943" s="435"/>
      <c r="F943" s="96" t="s">
        <v>429</v>
      </c>
      <c r="G943" s="96">
        <v>5100</v>
      </c>
      <c r="H943" s="152" t="s">
        <v>147</v>
      </c>
      <c r="I943" s="86" t="s">
        <v>9</v>
      </c>
      <c r="J943" s="52"/>
      <c r="K943" s="95"/>
      <c r="L943" s="51"/>
      <c r="M943" s="95"/>
      <c r="N943" s="124"/>
      <c r="O943" s="86"/>
      <c r="P943" s="124" t="s">
        <v>11</v>
      </c>
      <c r="Q943" s="151"/>
    </row>
    <row r="944" spans="1:17" s="1" customFormat="1" ht="19.5" hidden="1" customHeight="1" x14ac:dyDescent="0.3">
      <c r="A944" s="11"/>
      <c r="B944" s="75" t="s">
        <v>715</v>
      </c>
      <c r="C944" s="483">
        <v>45601.625</v>
      </c>
      <c r="D944" s="484"/>
      <c r="E944" s="485"/>
      <c r="F944" s="78" t="s">
        <v>709</v>
      </c>
      <c r="G944" s="78">
        <v>5000</v>
      </c>
      <c r="H944" s="57" t="s">
        <v>710</v>
      </c>
      <c r="I944" s="73" t="s">
        <v>9</v>
      </c>
      <c r="J944" s="53" t="s">
        <v>719</v>
      </c>
      <c r="K944" s="75"/>
      <c r="L944" s="54"/>
      <c r="M944" s="75"/>
      <c r="N944" s="145"/>
      <c r="O944" s="73"/>
      <c r="P944" s="145" t="s">
        <v>16</v>
      </c>
      <c r="Q944" s="58"/>
    </row>
    <row r="945" spans="1:17" s="1" customFormat="1" ht="19.5" hidden="1" customHeight="1" x14ac:dyDescent="0.3">
      <c r="A945" s="11"/>
      <c r="B945" s="75" t="s">
        <v>721</v>
      </c>
      <c r="C945" s="483">
        <v>45602.625</v>
      </c>
      <c r="D945" s="484"/>
      <c r="E945" s="485"/>
      <c r="F945" s="78" t="s">
        <v>429</v>
      </c>
      <c r="G945" s="78">
        <v>8100</v>
      </c>
      <c r="H945" s="57" t="s">
        <v>591</v>
      </c>
      <c r="I945" s="73" t="s">
        <v>9</v>
      </c>
      <c r="J945" s="53"/>
      <c r="K945" s="75"/>
      <c r="L945" s="54"/>
      <c r="M945" s="75"/>
      <c r="N945" s="145"/>
      <c r="O945" s="73"/>
      <c r="P945" s="145" t="s">
        <v>11</v>
      </c>
      <c r="Q945" s="58"/>
    </row>
    <row r="946" spans="1:17" s="1" customFormat="1" ht="19.5" hidden="1" customHeight="1" x14ac:dyDescent="0.3">
      <c r="A946" s="11"/>
      <c r="B946" s="95" t="s">
        <v>536</v>
      </c>
      <c r="C946" s="433" t="s">
        <v>92</v>
      </c>
      <c r="D946" s="434"/>
      <c r="E946" s="435"/>
      <c r="F946" s="96" t="s">
        <v>429</v>
      </c>
      <c r="G946" s="96">
        <v>8100</v>
      </c>
      <c r="H946" s="152" t="s">
        <v>591</v>
      </c>
      <c r="I946" s="86" t="s">
        <v>9</v>
      </c>
      <c r="J946" s="52"/>
      <c r="K946" s="95"/>
      <c r="L946" s="51"/>
      <c r="M946" s="95"/>
      <c r="N946" s="124"/>
      <c r="O946" s="86"/>
      <c r="P946" s="124" t="s">
        <v>11</v>
      </c>
      <c r="Q946" s="151"/>
    </row>
    <row r="947" spans="1:17" s="1" customFormat="1" ht="19.5" hidden="1" customHeight="1" x14ac:dyDescent="0.3">
      <c r="A947" s="11"/>
      <c r="B947" s="75" t="s">
        <v>609</v>
      </c>
      <c r="C947" s="483">
        <v>45604.333333333336</v>
      </c>
      <c r="D947" s="484"/>
      <c r="E947" s="485"/>
      <c r="F947" s="78" t="s">
        <v>429</v>
      </c>
      <c r="G947" s="78">
        <v>4800</v>
      </c>
      <c r="H947" s="57" t="s">
        <v>147</v>
      </c>
      <c r="I947" s="73" t="s">
        <v>9</v>
      </c>
      <c r="J947" s="53"/>
      <c r="K947" s="75"/>
      <c r="L947" s="54"/>
      <c r="M947" s="75"/>
      <c r="N947" s="145"/>
      <c r="O947" s="73"/>
      <c r="P947" s="145" t="s">
        <v>11</v>
      </c>
      <c r="Q947" s="58"/>
    </row>
    <row r="948" spans="1:17" s="1" customFormat="1" ht="19.5" hidden="1" customHeight="1" x14ac:dyDescent="0.3">
      <c r="A948" s="11"/>
      <c r="B948" s="95" t="s">
        <v>538</v>
      </c>
      <c r="C948" s="433" t="s">
        <v>92</v>
      </c>
      <c r="D948" s="434"/>
      <c r="E948" s="435"/>
      <c r="F948" s="96" t="s">
        <v>429</v>
      </c>
      <c r="G948" s="96">
        <v>5100</v>
      </c>
      <c r="H948" s="152" t="s">
        <v>147</v>
      </c>
      <c r="I948" s="86" t="s">
        <v>9</v>
      </c>
      <c r="J948" s="52"/>
      <c r="K948" s="95"/>
      <c r="L948" s="51"/>
      <c r="M948" s="95"/>
      <c r="N948" s="124"/>
      <c r="O948" s="86"/>
      <c r="P948" s="124" t="s">
        <v>11</v>
      </c>
      <c r="Q948" s="151"/>
    </row>
    <row r="949" spans="1:17" s="1" customFormat="1" ht="19.5" hidden="1" customHeight="1" x14ac:dyDescent="0.3">
      <c r="A949" s="11"/>
      <c r="B949" s="75" t="s">
        <v>536</v>
      </c>
      <c r="C949" s="483">
        <v>45607.416666666664</v>
      </c>
      <c r="D949" s="484"/>
      <c r="E949" s="485"/>
      <c r="F949" s="78" t="s">
        <v>429</v>
      </c>
      <c r="G949" s="78">
        <v>8100</v>
      </c>
      <c r="H949" s="57" t="s">
        <v>133</v>
      </c>
      <c r="I949" s="73" t="s">
        <v>9</v>
      </c>
      <c r="J949" s="53"/>
      <c r="K949" s="75"/>
      <c r="L949" s="54"/>
      <c r="M949" s="75"/>
      <c r="N949" s="145"/>
      <c r="O949" s="73"/>
      <c r="P949" s="145" t="s">
        <v>11</v>
      </c>
      <c r="Q949" s="58"/>
    </row>
    <row r="950" spans="1:17" s="1" customFormat="1" ht="19.5" hidden="1" customHeight="1" x14ac:dyDescent="0.3">
      <c r="A950" s="11"/>
      <c r="B950" s="75" t="s">
        <v>631</v>
      </c>
      <c r="C950" s="483" t="s">
        <v>92</v>
      </c>
      <c r="D950" s="484"/>
      <c r="E950" s="485"/>
      <c r="F950" s="78" t="s">
        <v>429</v>
      </c>
      <c r="G950" s="78">
        <v>5100</v>
      </c>
      <c r="H950" s="57" t="s">
        <v>134</v>
      </c>
      <c r="I950" s="73" t="s">
        <v>9</v>
      </c>
      <c r="J950" s="53"/>
      <c r="K950" s="75"/>
      <c r="L950" s="54"/>
      <c r="M950" s="75"/>
      <c r="N950" s="145"/>
      <c r="O950" s="73"/>
      <c r="P950" s="145" t="s">
        <v>11</v>
      </c>
      <c r="Q950" s="58"/>
    </row>
    <row r="951" spans="1:17" s="1" customFormat="1" ht="19.5" hidden="1" customHeight="1" x14ac:dyDescent="0.3">
      <c r="A951" s="11"/>
      <c r="B951" s="75" t="s">
        <v>574</v>
      </c>
      <c r="C951" s="483">
        <v>45609.25</v>
      </c>
      <c r="D951" s="484"/>
      <c r="E951" s="485"/>
      <c r="F951" s="78" t="s">
        <v>429</v>
      </c>
      <c r="G951" s="78">
        <v>7500</v>
      </c>
      <c r="H951" s="57" t="s">
        <v>591</v>
      </c>
      <c r="I951" s="73" t="s">
        <v>9</v>
      </c>
      <c r="J951" s="53"/>
      <c r="K951" s="75"/>
      <c r="L951" s="54"/>
      <c r="M951" s="75"/>
      <c r="N951" s="145"/>
      <c r="O951" s="73"/>
      <c r="P951" s="145" t="s">
        <v>11</v>
      </c>
      <c r="Q951" s="58"/>
    </row>
    <row r="952" spans="1:17" s="1" customFormat="1" ht="19.5" hidden="1" customHeight="1" x14ac:dyDescent="0.3">
      <c r="A952" s="11"/>
      <c r="B952" s="75" t="s">
        <v>537</v>
      </c>
      <c r="C952" s="483">
        <v>45610.340277777781</v>
      </c>
      <c r="D952" s="484"/>
      <c r="E952" s="485"/>
      <c r="F952" s="78" t="s">
        <v>429</v>
      </c>
      <c r="G952" s="78">
        <v>5900</v>
      </c>
      <c r="H952" s="57" t="s">
        <v>582</v>
      </c>
      <c r="I952" s="73" t="s">
        <v>9</v>
      </c>
      <c r="J952" s="53"/>
      <c r="K952" s="75"/>
      <c r="L952" s="54"/>
      <c r="M952" s="75"/>
      <c r="N952" s="145"/>
      <c r="O952" s="73"/>
      <c r="P952" s="145" t="s">
        <v>11</v>
      </c>
      <c r="Q952" s="58"/>
    </row>
    <row r="953" spans="1:17" s="1" customFormat="1" ht="19.5" hidden="1" customHeight="1" x14ac:dyDescent="0.3">
      <c r="A953" s="11"/>
      <c r="B953" s="75" t="s">
        <v>721</v>
      </c>
      <c r="C953" s="483">
        <v>45610.930555555555</v>
      </c>
      <c r="D953" s="484"/>
      <c r="E953" s="485"/>
      <c r="F953" s="78" t="s">
        <v>429</v>
      </c>
      <c r="G953" s="78">
        <v>6700</v>
      </c>
      <c r="H953" s="57" t="s">
        <v>581</v>
      </c>
      <c r="I953" s="73" t="s">
        <v>9</v>
      </c>
      <c r="J953" s="53"/>
      <c r="K953" s="75"/>
      <c r="L953" s="54"/>
      <c r="M953" s="75"/>
      <c r="N953" s="145"/>
      <c r="O953" s="73"/>
      <c r="P953" s="145" t="s">
        <v>11</v>
      </c>
      <c r="Q953" s="58"/>
    </row>
    <row r="954" spans="1:17" s="1" customFormat="1" ht="19.5" hidden="1" customHeight="1" x14ac:dyDescent="0.3">
      <c r="A954" s="11"/>
      <c r="B954" s="191" t="s">
        <v>733</v>
      </c>
      <c r="C954" s="480">
        <v>45612</v>
      </c>
      <c r="D954" s="481"/>
      <c r="E954" s="482"/>
      <c r="F954" s="192" t="s">
        <v>654</v>
      </c>
      <c r="G954" s="192">
        <v>27500</v>
      </c>
      <c r="H954" s="193" t="s">
        <v>710</v>
      </c>
      <c r="I954" s="194" t="s">
        <v>9</v>
      </c>
      <c r="J954" s="195"/>
      <c r="K954" s="191"/>
      <c r="L954" s="196"/>
      <c r="M954" s="191"/>
      <c r="N954" s="197"/>
      <c r="O954" s="194"/>
      <c r="P954" s="197" t="s">
        <v>16</v>
      </c>
      <c r="Q954" s="198" t="s">
        <v>739</v>
      </c>
    </row>
    <row r="955" spans="1:17" s="1" customFormat="1" ht="19.5" hidden="1" customHeight="1" x14ac:dyDescent="0.3">
      <c r="A955" s="11"/>
      <c r="B955" s="75" t="s">
        <v>305</v>
      </c>
      <c r="C955" s="483">
        <v>45614.583333333336</v>
      </c>
      <c r="D955" s="484"/>
      <c r="E955" s="485"/>
      <c r="F955" s="78" t="s">
        <v>429</v>
      </c>
      <c r="G955" s="78">
        <v>5100</v>
      </c>
      <c r="H955" s="57" t="s">
        <v>573</v>
      </c>
      <c r="I955" s="73" t="s">
        <v>9</v>
      </c>
      <c r="J955" s="53"/>
      <c r="K955" s="75"/>
      <c r="L955" s="54"/>
      <c r="M955" s="75"/>
      <c r="N955" s="145"/>
      <c r="O955" s="73"/>
      <c r="P955" s="145" t="s">
        <v>11</v>
      </c>
      <c r="Q955" s="58"/>
    </row>
    <row r="956" spans="1:17" s="1" customFormat="1" ht="19.5" hidden="1" customHeight="1" x14ac:dyDescent="0.3">
      <c r="A956" s="11"/>
      <c r="B956" s="75" t="s">
        <v>538</v>
      </c>
      <c r="C956" s="483">
        <v>45615.041666666664</v>
      </c>
      <c r="D956" s="484"/>
      <c r="E956" s="485"/>
      <c r="F956" s="78" t="s">
        <v>429</v>
      </c>
      <c r="G956" s="78">
        <v>5100</v>
      </c>
      <c r="H956" s="57" t="s">
        <v>147</v>
      </c>
      <c r="I956" s="73" t="s">
        <v>9</v>
      </c>
      <c r="J956" s="53"/>
      <c r="K956" s="75"/>
      <c r="L956" s="54"/>
      <c r="M956" s="75"/>
      <c r="N956" s="145"/>
      <c r="O956" s="73"/>
      <c r="P956" s="145" t="s">
        <v>16</v>
      </c>
      <c r="Q956" s="58"/>
    </row>
    <row r="957" spans="1:17" s="1" customFormat="1" ht="19.5" hidden="1" customHeight="1" x14ac:dyDescent="0.3">
      <c r="A957" s="11"/>
      <c r="B957" s="95" t="s">
        <v>536</v>
      </c>
      <c r="C957" s="433" t="s">
        <v>92</v>
      </c>
      <c r="D957" s="434"/>
      <c r="E957" s="435"/>
      <c r="F957" s="96" t="s">
        <v>429</v>
      </c>
      <c r="G957" s="96">
        <v>8100</v>
      </c>
      <c r="H957" s="152" t="s">
        <v>591</v>
      </c>
      <c r="I957" s="86" t="s">
        <v>9</v>
      </c>
      <c r="J957" s="52"/>
      <c r="K957" s="95"/>
      <c r="L957" s="51"/>
      <c r="M957" s="95"/>
      <c r="N957" s="124"/>
      <c r="O957" s="86"/>
      <c r="P957" s="124" t="s">
        <v>16</v>
      </c>
      <c r="Q957" s="151"/>
    </row>
    <row r="958" spans="1:17" s="1" customFormat="1" ht="19.5" hidden="1" customHeight="1" x14ac:dyDescent="0.3">
      <c r="A958" s="11"/>
      <c r="B958" s="199" t="s">
        <v>740</v>
      </c>
      <c r="C958" s="496">
        <v>45616.791666666664</v>
      </c>
      <c r="D958" s="497"/>
      <c r="E958" s="498"/>
      <c r="F958" s="200" t="s">
        <v>654</v>
      </c>
      <c r="G958" s="200">
        <v>27500</v>
      </c>
      <c r="H958" s="201" t="s">
        <v>710</v>
      </c>
      <c r="I958" s="202" t="s">
        <v>9</v>
      </c>
      <c r="J958" s="203"/>
      <c r="K958" s="199"/>
      <c r="L958" s="204"/>
      <c r="M958" s="199"/>
      <c r="N958" s="205"/>
      <c r="O958" s="202"/>
      <c r="P958" s="205" t="s">
        <v>16</v>
      </c>
      <c r="Q958" s="206" t="s">
        <v>745</v>
      </c>
    </row>
    <row r="959" spans="1:17" s="1" customFormat="1" ht="19.5" hidden="1" customHeight="1" x14ac:dyDescent="0.3">
      <c r="A959" s="11"/>
      <c r="B959" s="95" t="s">
        <v>574</v>
      </c>
      <c r="C959" s="433" t="s">
        <v>92</v>
      </c>
      <c r="D959" s="434"/>
      <c r="E959" s="435"/>
      <c r="F959" s="96" t="s">
        <v>429</v>
      </c>
      <c r="G959" s="96">
        <v>7500</v>
      </c>
      <c r="H959" s="152" t="s">
        <v>591</v>
      </c>
      <c r="I959" s="86" t="s">
        <v>9</v>
      </c>
      <c r="J959" s="52"/>
      <c r="K959" s="95"/>
      <c r="L959" s="51"/>
      <c r="M959" s="95"/>
      <c r="N959" s="124"/>
      <c r="O959" s="86"/>
      <c r="P959" s="124" t="s">
        <v>11</v>
      </c>
      <c r="Q959" s="151"/>
    </row>
    <row r="960" spans="1:17" s="1" customFormat="1" ht="19.5" hidden="1" customHeight="1" x14ac:dyDescent="0.3">
      <c r="A960" s="11"/>
      <c r="B960" s="95" t="s">
        <v>631</v>
      </c>
      <c r="C960" s="433" t="s">
        <v>92</v>
      </c>
      <c r="D960" s="434"/>
      <c r="E960" s="435"/>
      <c r="F960" s="96" t="s">
        <v>429</v>
      </c>
      <c r="G960" s="96">
        <v>5000</v>
      </c>
      <c r="H960" s="152" t="s">
        <v>134</v>
      </c>
      <c r="I960" s="86" t="s">
        <v>9</v>
      </c>
      <c r="J960" s="52"/>
      <c r="K960" s="95"/>
      <c r="L960" s="51"/>
      <c r="M960" s="95"/>
      <c r="N960" s="124"/>
      <c r="O960" s="86"/>
      <c r="P960" s="124" t="s">
        <v>11</v>
      </c>
      <c r="Q960" s="151"/>
    </row>
    <row r="961" spans="1:19" s="1" customFormat="1" ht="19.5" hidden="1" customHeight="1" x14ac:dyDescent="0.3">
      <c r="A961" s="11"/>
      <c r="B961" s="75" t="s">
        <v>538</v>
      </c>
      <c r="C961" s="483">
        <v>45621.090277777781</v>
      </c>
      <c r="D961" s="484"/>
      <c r="E961" s="485"/>
      <c r="F961" s="78" t="s">
        <v>429</v>
      </c>
      <c r="G961" s="78">
        <v>5100</v>
      </c>
      <c r="H961" s="57" t="s">
        <v>147</v>
      </c>
      <c r="I961" s="73" t="s">
        <v>9</v>
      </c>
      <c r="J961" s="53"/>
      <c r="K961" s="75"/>
      <c r="L961" s="54"/>
      <c r="M961" s="75"/>
      <c r="N961" s="145"/>
      <c r="O961" s="73"/>
      <c r="P961" s="145" t="s">
        <v>11</v>
      </c>
      <c r="Q961" s="58"/>
    </row>
    <row r="962" spans="1:19" s="1" customFormat="1" ht="19.5" hidden="1" customHeight="1" x14ac:dyDescent="0.3">
      <c r="A962" s="11"/>
      <c r="B962" s="75" t="s">
        <v>721</v>
      </c>
      <c r="C962" s="483">
        <v>45621.583333333336</v>
      </c>
      <c r="D962" s="484"/>
      <c r="E962" s="485"/>
      <c r="F962" s="78" t="s">
        <v>429</v>
      </c>
      <c r="G962" s="78">
        <v>6700</v>
      </c>
      <c r="H962" s="57" t="s">
        <v>581</v>
      </c>
      <c r="I962" s="73" t="s">
        <v>9</v>
      </c>
      <c r="J962" s="53"/>
      <c r="K962" s="75"/>
      <c r="L962" s="54"/>
      <c r="M962" s="75"/>
      <c r="N962" s="145"/>
      <c r="O962" s="73"/>
      <c r="P962" s="145" t="s">
        <v>11</v>
      </c>
      <c r="Q962" s="58" t="s">
        <v>750</v>
      </c>
    </row>
    <row r="963" spans="1:19" s="1" customFormat="1" ht="19.5" hidden="1" customHeight="1" x14ac:dyDescent="0.3">
      <c r="A963" s="11"/>
      <c r="B963" s="75" t="s">
        <v>702</v>
      </c>
      <c r="C963" s="483">
        <v>45622.416666666664</v>
      </c>
      <c r="D963" s="484"/>
      <c r="E963" s="485"/>
      <c r="F963" s="78" t="s">
        <v>429</v>
      </c>
      <c r="G963" s="78">
        <v>6700</v>
      </c>
      <c r="H963" s="57" t="s">
        <v>573</v>
      </c>
      <c r="I963" s="73" t="s">
        <v>9</v>
      </c>
      <c r="J963" s="53"/>
      <c r="K963" s="75"/>
      <c r="L963" s="54"/>
      <c r="M963" s="75"/>
      <c r="N963" s="145"/>
      <c r="O963" s="73"/>
      <c r="P963" s="145" t="s">
        <v>11</v>
      </c>
      <c r="Q963" s="58" t="s">
        <v>750</v>
      </c>
    </row>
    <row r="964" spans="1:19" s="1" customFormat="1" ht="19.5" hidden="1" customHeight="1" x14ac:dyDescent="0.3">
      <c r="A964" s="11"/>
      <c r="B964" s="75" t="s">
        <v>537</v>
      </c>
      <c r="C964" s="483">
        <v>45623.326388888891</v>
      </c>
      <c r="D964" s="484"/>
      <c r="E964" s="485"/>
      <c r="F964" s="78" t="s">
        <v>429</v>
      </c>
      <c r="G964" s="78">
        <v>5900</v>
      </c>
      <c r="H964" s="57" t="s">
        <v>582</v>
      </c>
      <c r="I964" s="73" t="s">
        <v>9</v>
      </c>
      <c r="J964" s="53"/>
      <c r="K964" s="75"/>
      <c r="L964" s="54"/>
      <c r="M964" s="75"/>
      <c r="N964" s="145"/>
      <c r="O964" s="73"/>
      <c r="P964" s="145" t="s">
        <v>11</v>
      </c>
      <c r="Q964" s="58" t="s">
        <v>751</v>
      </c>
    </row>
    <row r="965" spans="1:19" s="1" customFormat="1" ht="19.5" hidden="1" customHeight="1" x14ac:dyDescent="0.3">
      <c r="A965" s="11"/>
      <c r="B965" s="75" t="s">
        <v>586</v>
      </c>
      <c r="C965" s="483">
        <v>45624.3125</v>
      </c>
      <c r="D965" s="484"/>
      <c r="E965" s="485"/>
      <c r="F965" s="78" t="s">
        <v>429</v>
      </c>
      <c r="G965" s="78">
        <v>7300</v>
      </c>
      <c r="H965" s="57" t="s">
        <v>133</v>
      </c>
      <c r="I965" s="73" t="s">
        <v>9</v>
      </c>
      <c r="J965" s="53"/>
      <c r="K965" s="75"/>
      <c r="L965" s="54"/>
      <c r="M965" s="75"/>
      <c r="N965" s="145"/>
      <c r="O965" s="73"/>
      <c r="P965" s="145" t="s">
        <v>11</v>
      </c>
      <c r="Q965" s="58" t="s">
        <v>752</v>
      </c>
    </row>
    <row r="966" spans="1:19" s="1" customFormat="1" ht="19.5" hidden="1" customHeight="1" x14ac:dyDescent="0.3">
      <c r="A966" s="11"/>
      <c r="B966" s="191" t="s">
        <v>746</v>
      </c>
      <c r="C966" s="480" t="s">
        <v>759</v>
      </c>
      <c r="D966" s="481"/>
      <c r="E966" s="482"/>
      <c r="F966" s="192" t="s">
        <v>654</v>
      </c>
      <c r="G966" s="192">
        <v>15000</v>
      </c>
      <c r="H966" s="193" t="s">
        <v>754</v>
      </c>
      <c r="I966" s="194" t="s">
        <v>9</v>
      </c>
      <c r="J966" s="195"/>
      <c r="K966" s="191"/>
      <c r="L966" s="196"/>
      <c r="M966" s="191"/>
      <c r="N966" s="197"/>
      <c r="O966" s="194"/>
      <c r="P966" s="197" t="s">
        <v>16</v>
      </c>
      <c r="Q966" s="198" t="s">
        <v>753</v>
      </c>
    </row>
    <row r="967" spans="1:19" s="1" customFormat="1" ht="19.5" hidden="1" customHeight="1" x14ac:dyDescent="0.3">
      <c r="A967" s="11"/>
      <c r="B967" s="95" t="s">
        <v>536</v>
      </c>
      <c r="C967" s="433" t="s">
        <v>92</v>
      </c>
      <c r="D967" s="434"/>
      <c r="E967" s="435"/>
      <c r="F967" s="96" t="s">
        <v>429</v>
      </c>
      <c r="G967" s="96">
        <v>8100</v>
      </c>
      <c r="H967" s="152" t="s">
        <v>591</v>
      </c>
      <c r="I967" s="86" t="s">
        <v>9</v>
      </c>
      <c r="J967" s="52"/>
      <c r="K967" s="95"/>
      <c r="L967" s="51"/>
      <c r="M967" s="95"/>
      <c r="N967" s="124"/>
      <c r="O967" s="86"/>
      <c r="P967" s="124" t="s">
        <v>11</v>
      </c>
      <c r="Q967" s="151" t="s">
        <v>760</v>
      </c>
    </row>
    <row r="968" spans="1:19" s="1" customFormat="1" ht="19.5" hidden="1" customHeight="1" x14ac:dyDescent="0.3">
      <c r="A968" s="11"/>
      <c r="B968" s="95" t="s">
        <v>538</v>
      </c>
      <c r="C968" s="433">
        <v>45629</v>
      </c>
      <c r="D968" s="434"/>
      <c r="E968" s="435"/>
      <c r="F968" s="96" t="s">
        <v>429</v>
      </c>
      <c r="G968" s="96">
        <v>5100</v>
      </c>
      <c r="H968" s="152" t="s">
        <v>147</v>
      </c>
      <c r="I968" s="86" t="s">
        <v>9</v>
      </c>
      <c r="J968" s="52"/>
      <c r="K968" s="95"/>
      <c r="L968" s="51"/>
      <c r="M968" s="95"/>
      <c r="N968" s="124"/>
      <c r="O968" s="86"/>
      <c r="P968" s="124" t="s">
        <v>11</v>
      </c>
      <c r="Q968" s="151"/>
    </row>
    <row r="969" spans="1:19" s="1" customFormat="1" ht="19.5" hidden="1" customHeight="1" x14ac:dyDescent="0.3">
      <c r="A969" s="11"/>
      <c r="B969" s="75" t="s">
        <v>578</v>
      </c>
      <c r="C969" s="483">
        <v>45630.333333333336</v>
      </c>
      <c r="D969" s="484"/>
      <c r="E969" s="485"/>
      <c r="F969" s="78" t="s">
        <v>429</v>
      </c>
      <c r="G969" s="78">
        <v>5100</v>
      </c>
      <c r="H969" s="57" t="s">
        <v>134</v>
      </c>
      <c r="I969" s="73" t="s">
        <v>9</v>
      </c>
      <c r="J969" s="53"/>
      <c r="K969" s="75"/>
      <c r="L969" s="54"/>
      <c r="M969" s="75"/>
      <c r="N969" s="145"/>
      <c r="O969" s="73"/>
      <c r="P969" s="145" t="s">
        <v>16</v>
      </c>
      <c r="Q969" s="58"/>
    </row>
    <row r="970" spans="1:19" s="1" customFormat="1" ht="19.5" hidden="1" customHeight="1" x14ac:dyDescent="0.3">
      <c r="A970" s="11"/>
      <c r="B970" s="199" t="s">
        <v>733</v>
      </c>
      <c r="C970" s="496">
        <v>45631</v>
      </c>
      <c r="D970" s="497"/>
      <c r="E970" s="498"/>
      <c r="F970" s="200" t="s">
        <v>654</v>
      </c>
      <c r="G970" s="200">
        <v>27150</v>
      </c>
      <c r="H970" s="201" t="s">
        <v>710</v>
      </c>
      <c r="I970" s="202" t="s">
        <v>9</v>
      </c>
      <c r="J970" s="203"/>
      <c r="K970" s="199"/>
      <c r="L970" s="204"/>
      <c r="M970" s="199"/>
      <c r="N970" s="205"/>
      <c r="O970" s="202"/>
      <c r="P970" s="205" t="s">
        <v>16</v>
      </c>
      <c r="Q970" s="206"/>
      <c r="S970" s="8" t="s">
        <v>767</v>
      </c>
    </row>
    <row r="971" spans="1:19" s="1" customFormat="1" ht="19.5" hidden="1" customHeight="1" x14ac:dyDescent="0.3">
      <c r="A971" s="11"/>
      <c r="B971" s="95" t="s">
        <v>721</v>
      </c>
      <c r="C971" s="433" t="s">
        <v>92</v>
      </c>
      <c r="D971" s="434"/>
      <c r="E971" s="435"/>
      <c r="F971" s="96" t="s">
        <v>429</v>
      </c>
      <c r="G971" s="96">
        <v>6700</v>
      </c>
      <c r="H971" s="152" t="s">
        <v>581</v>
      </c>
      <c r="I971" s="86" t="s">
        <v>9</v>
      </c>
      <c r="J971" s="52"/>
      <c r="K971" s="95"/>
      <c r="L971" s="51"/>
      <c r="M971" s="95"/>
      <c r="N971" s="124"/>
      <c r="O971" s="86"/>
      <c r="P971" s="124" t="s">
        <v>16</v>
      </c>
      <c r="Q971" s="151"/>
    </row>
    <row r="972" spans="1:19" s="1" customFormat="1" ht="19.5" hidden="1" customHeight="1" x14ac:dyDescent="0.3">
      <c r="A972" s="11"/>
      <c r="B972" s="95" t="s">
        <v>574</v>
      </c>
      <c r="C972" s="433" t="s">
        <v>92</v>
      </c>
      <c r="D972" s="434"/>
      <c r="E972" s="435"/>
      <c r="F972" s="96" t="s">
        <v>429</v>
      </c>
      <c r="G972" s="96">
        <v>8100</v>
      </c>
      <c r="H972" s="152" t="s">
        <v>591</v>
      </c>
      <c r="I972" s="86" t="s">
        <v>9</v>
      </c>
      <c r="J972" s="52"/>
      <c r="K972" s="95"/>
      <c r="L972" s="51"/>
      <c r="M972" s="95"/>
      <c r="N972" s="124"/>
      <c r="O972" s="86"/>
      <c r="P972" s="124" t="s">
        <v>16</v>
      </c>
      <c r="Q972" s="151"/>
    </row>
    <row r="973" spans="1:19" s="1" customFormat="1" ht="19.5" hidden="1" customHeight="1" x14ac:dyDescent="0.3">
      <c r="A973" s="11"/>
      <c r="B973" s="75" t="s">
        <v>764</v>
      </c>
      <c r="C973" s="483">
        <v>45635.538194444445</v>
      </c>
      <c r="D973" s="484"/>
      <c r="E973" s="485"/>
      <c r="F973" s="78" t="s">
        <v>654</v>
      </c>
      <c r="G973" s="78">
        <v>27500</v>
      </c>
      <c r="H973" s="57" t="s">
        <v>710</v>
      </c>
      <c r="I973" s="73" t="s">
        <v>9</v>
      </c>
      <c r="J973" s="53"/>
      <c r="K973" s="75"/>
      <c r="L973" s="54"/>
      <c r="M973" s="75"/>
      <c r="N973" s="145"/>
      <c r="O973" s="73"/>
      <c r="P973" s="145" t="s">
        <v>16</v>
      </c>
      <c r="Q973" s="58" t="s">
        <v>781</v>
      </c>
      <c r="S973" s="8" t="s">
        <v>776</v>
      </c>
    </row>
    <row r="974" spans="1:19" s="1" customFormat="1" ht="19.5" hidden="1" customHeight="1" x14ac:dyDescent="0.3">
      <c r="A974" s="11"/>
      <c r="B974" s="75" t="s">
        <v>305</v>
      </c>
      <c r="C974" s="483">
        <v>45637.625</v>
      </c>
      <c r="D974" s="484"/>
      <c r="E974" s="485"/>
      <c r="F974" s="78" t="s">
        <v>429</v>
      </c>
      <c r="G974" s="78">
        <v>5100</v>
      </c>
      <c r="H974" s="57" t="s">
        <v>134</v>
      </c>
      <c r="I974" s="73" t="s">
        <v>9</v>
      </c>
      <c r="J974" s="53"/>
      <c r="K974" s="75"/>
      <c r="L974" s="54"/>
      <c r="M974" s="75"/>
      <c r="N974" s="145"/>
      <c r="O974" s="73"/>
      <c r="P974" s="145" t="s">
        <v>11</v>
      </c>
      <c r="Q974" s="58"/>
      <c r="S974" s="8"/>
    </row>
    <row r="975" spans="1:19" s="1" customFormat="1" ht="19.5" hidden="1" customHeight="1" x14ac:dyDescent="0.3">
      <c r="A975" s="11"/>
      <c r="B975" s="75" t="s">
        <v>586</v>
      </c>
      <c r="C975" s="483">
        <v>45639.541666666664</v>
      </c>
      <c r="D975" s="484"/>
      <c r="E975" s="485"/>
      <c r="F975" s="78" t="s">
        <v>429</v>
      </c>
      <c r="G975" s="78">
        <v>7300</v>
      </c>
      <c r="H975" s="57" t="s">
        <v>591</v>
      </c>
      <c r="I975" s="73" t="s">
        <v>9</v>
      </c>
      <c r="J975" s="53"/>
      <c r="K975" s="75"/>
      <c r="L975" s="54"/>
      <c r="M975" s="75"/>
      <c r="N975" s="145"/>
      <c r="O975" s="73"/>
      <c r="P975" s="145" t="s">
        <v>11</v>
      </c>
      <c r="Q975" s="58"/>
      <c r="S975" s="8"/>
    </row>
    <row r="976" spans="1:19" s="1" customFormat="1" ht="19.5" hidden="1" customHeight="1" x14ac:dyDescent="0.3">
      <c r="A976" s="11"/>
      <c r="B976" s="95" t="s">
        <v>721</v>
      </c>
      <c r="C976" s="433" t="s">
        <v>782</v>
      </c>
      <c r="D976" s="434"/>
      <c r="E976" s="435"/>
      <c r="F976" s="96" t="s">
        <v>429</v>
      </c>
      <c r="G976" s="96">
        <v>6700</v>
      </c>
      <c r="H976" s="152" t="s">
        <v>591</v>
      </c>
      <c r="I976" s="86" t="s">
        <v>9</v>
      </c>
      <c r="J976" s="52"/>
      <c r="K976" s="95"/>
      <c r="L976" s="51"/>
      <c r="M976" s="95"/>
      <c r="N976" s="124"/>
      <c r="O976" s="86"/>
      <c r="P976" s="124" t="s">
        <v>11</v>
      </c>
      <c r="Q976" s="151"/>
      <c r="S976" s="8"/>
    </row>
    <row r="977" spans="1:21" s="1" customFormat="1" ht="19.5" hidden="1" customHeight="1" x14ac:dyDescent="0.3">
      <c r="A977" s="11"/>
      <c r="B977" s="95" t="s">
        <v>538</v>
      </c>
      <c r="C977" s="433" t="s">
        <v>782</v>
      </c>
      <c r="D977" s="434"/>
      <c r="E977" s="435"/>
      <c r="F977" s="96" t="s">
        <v>429</v>
      </c>
      <c r="G977" s="96">
        <v>5100</v>
      </c>
      <c r="H977" s="152"/>
      <c r="I977" s="86" t="s">
        <v>9</v>
      </c>
      <c r="J977" s="52"/>
      <c r="K977" s="95"/>
      <c r="L977" s="51"/>
      <c r="M977" s="95"/>
      <c r="N977" s="124"/>
      <c r="O977" s="86"/>
      <c r="P977" s="124" t="s">
        <v>11</v>
      </c>
      <c r="Q977" s="151"/>
      <c r="S977" s="8"/>
    </row>
    <row r="978" spans="1:21" s="1" customFormat="1" ht="19.5" hidden="1" customHeight="1" x14ac:dyDescent="0.3">
      <c r="A978" s="11"/>
      <c r="B978" s="95" t="s">
        <v>537</v>
      </c>
      <c r="C978" s="433">
        <v>45646.666666666664</v>
      </c>
      <c r="D978" s="434"/>
      <c r="E978" s="435"/>
      <c r="F978" s="96" t="s">
        <v>429</v>
      </c>
      <c r="G978" s="96">
        <v>5900</v>
      </c>
      <c r="H978" s="152" t="s">
        <v>582</v>
      </c>
      <c r="I978" s="86" t="s">
        <v>9</v>
      </c>
      <c r="J978" s="52"/>
      <c r="K978" s="95"/>
      <c r="L978" s="51"/>
      <c r="M978" s="95"/>
      <c r="N978" s="124"/>
      <c r="O978" s="86"/>
      <c r="P978" s="124" t="s">
        <v>11</v>
      </c>
      <c r="Q978" s="151"/>
      <c r="S978" s="8"/>
    </row>
    <row r="979" spans="1:21" s="1" customFormat="1" ht="19.5" hidden="1" customHeight="1" x14ac:dyDescent="0.3">
      <c r="A979" s="11"/>
      <c r="B979" s="75" t="s">
        <v>574</v>
      </c>
      <c r="C979" s="483">
        <v>45649.666666666664</v>
      </c>
      <c r="D979" s="484"/>
      <c r="E979" s="485"/>
      <c r="F979" s="78" t="s">
        <v>429</v>
      </c>
      <c r="G979" s="78">
        <v>7500</v>
      </c>
      <c r="H979" s="57" t="s">
        <v>591</v>
      </c>
      <c r="I979" s="73" t="s">
        <v>9</v>
      </c>
      <c r="J979" s="53"/>
      <c r="K979" s="75"/>
      <c r="L979" s="54"/>
      <c r="M979" s="75"/>
      <c r="N979" s="145"/>
      <c r="O979" s="73"/>
      <c r="P979" s="145" t="s">
        <v>11</v>
      </c>
      <c r="Q979" s="58"/>
      <c r="S979" s="8"/>
    </row>
    <row r="980" spans="1:21" s="1" customFormat="1" ht="19.5" hidden="1" customHeight="1" x14ac:dyDescent="0.3">
      <c r="A980" s="11"/>
      <c r="B980" s="95" t="s">
        <v>305</v>
      </c>
      <c r="C980" s="433" t="s">
        <v>782</v>
      </c>
      <c r="D980" s="434"/>
      <c r="E980" s="435"/>
      <c r="F980" s="96" t="s">
        <v>429</v>
      </c>
      <c r="G980" s="96">
        <v>5100</v>
      </c>
      <c r="H980" s="152" t="s">
        <v>134</v>
      </c>
      <c r="I980" s="86" t="s">
        <v>9</v>
      </c>
      <c r="J980" s="52"/>
      <c r="K980" s="95"/>
      <c r="L980" s="51"/>
      <c r="M980" s="95"/>
      <c r="N980" s="124"/>
      <c r="O980" s="86"/>
      <c r="P980" s="124" t="s">
        <v>11</v>
      </c>
      <c r="Q980" s="151"/>
      <c r="S980" s="8"/>
    </row>
    <row r="981" spans="1:21" s="1" customFormat="1" ht="19.5" hidden="1" customHeight="1" x14ac:dyDescent="0.3">
      <c r="A981" s="11"/>
      <c r="B981" s="95" t="s">
        <v>98</v>
      </c>
      <c r="C981" s="433" t="s">
        <v>782</v>
      </c>
      <c r="D981" s="434"/>
      <c r="E981" s="435"/>
      <c r="F981" s="96" t="s">
        <v>429</v>
      </c>
      <c r="G981" s="96">
        <v>6600</v>
      </c>
      <c r="H981" s="152" t="s">
        <v>573</v>
      </c>
      <c r="I981" s="86" t="s">
        <v>9</v>
      </c>
      <c r="J981" s="52"/>
      <c r="K981" s="95"/>
      <c r="L981" s="51"/>
      <c r="M981" s="95"/>
      <c r="N981" s="124"/>
      <c r="O981" s="86"/>
      <c r="P981" s="124" t="s">
        <v>11</v>
      </c>
      <c r="Q981" s="151"/>
      <c r="S981" s="8"/>
    </row>
    <row r="982" spans="1:21" s="1" customFormat="1" ht="19.5" hidden="1" customHeight="1" x14ac:dyDescent="0.3">
      <c r="A982" s="11"/>
      <c r="B982" s="95" t="s">
        <v>538</v>
      </c>
      <c r="C982" s="433" t="s">
        <v>782</v>
      </c>
      <c r="D982" s="434"/>
      <c r="E982" s="435"/>
      <c r="F982" s="96" t="s">
        <v>429</v>
      </c>
      <c r="G982" s="96">
        <v>5100</v>
      </c>
      <c r="H982" s="152" t="s">
        <v>573</v>
      </c>
      <c r="I982" s="86" t="s">
        <v>9</v>
      </c>
      <c r="J982" s="52"/>
      <c r="K982" s="95"/>
      <c r="L982" s="51"/>
      <c r="M982" s="95"/>
      <c r="N982" s="124"/>
      <c r="O982" s="86"/>
      <c r="P982" s="124" t="s">
        <v>11</v>
      </c>
      <c r="Q982" s="151"/>
      <c r="S982" s="8"/>
      <c r="U982" s="8"/>
    </row>
    <row r="983" spans="1:21" s="1" customFormat="1" ht="19.5" hidden="1" customHeight="1" x14ac:dyDescent="0.3">
      <c r="A983" s="11"/>
      <c r="B983" s="75" t="s">
        <v>586</v>
      </c>
      <c r="C983" s="483">
        <v>45652.583333333336</v>
      </c>
      <c r="D983" s="484"/>
      <c r="E983" s="485"/>
      <c r="F983" s="78" t="s">
        <v>429</v>
      </c>
      <c r="G983" s="78">
        <v>7300</v>
      </c>
      <c r="H983" s="57" t="s">
        <v>591</v>
      </c>
      <c r="I983" s="73" t="s">
        <v>9</v>
      </c>
      <c r="J983" s="53"/>
      <c r="K983" s="75"/>
      <c r="L983" s="54"/>
      <c r="M983" s="75"/>
      <c r="N983" s="145"/>
      <c r="O983" s="73"/>
      <c r="P983" s="145" t="s">
        <v>11</v>
      </c>
      <c r="Q983" s="58"/>
      <c r="S983" s="8"/>
    </row>
    <row r="984" spans="1:21" s="1" customFormat="1" ht="19.5" hidden="1" customHeight="1" x14ac:dyDescent="0.3">
      <c r="A984" s="11"/>
      <c r="B984" s="75" t="s">
        <v>609</v>
      </c>
      <c r="C984" s="483">
        <v>45653.354166666664</v>
      </c>
      <c r="D984" s="484"/>
      <c r="E984" s="485"/>
      <c r="F984" s="78" t="s">
        <v>429</v>
      </c>
      <c r="G984" s="78">
        <v>4800</v>
      </c>
      <c r="H984" s="57" t="s">
        <v>134</v>
      </c>
      <c r="I984" s="73" t="s">
        <v>9</v>
      </c>
      <c r="J984" s="53"/>
      <c r="K984" s="75"/>
      <c r="L984" s="54"/>
      <c r="M984" s="75"/>
      <c r="N984" s="145"/>
      <c r="O984" s="73"/>
      <c r="P984" s="145" t="s">
        <v>11</v>
      </c>
      <c r="Q984" s="58"/>
      <c r="S984" s="8"/>
    </row>
    <row r="985" spans="1:21" s="1" customFormat="1" ht="19.5" hidden="1" customHeight="1" x14ac:dyDescent="0.3">
      <c r="A985" s="11"/>
      <c r="B985" s="75" t="s">
        <v>810</v>
      </c>
      <c r="C985" s="483">
        <v>45654.4375</v>
      </c>
      <c r="D985" s="484"/>
      <c r="E985" s="485"/>
      <c r="F985" s="78" t="s">
        <v>654</v>
      </c>
      <c r="G985" s="78">
        <v>27500</v>
      </c>
      <c r="H985" s="57" t="s">
        <v>710</v>
      </c>
      <c r="I985" s="73" t="s">
        <v>9</v>
      </c>
      <c r="J985" s="53"/>
      <c r="K985" s="75"/>
      <c r="L985" s="54"/>
      <c r="M985" s="75"/>
      <c r="N985" s="145"/>
      <c r="O985" s="73"/>
      <c r="P985" s="205" t="s">
        <v>16</v>
      </c>
      <c r="Q985" s="206" t="s">
        <v>817</v>
      </c>
      <c r="S985" s="8"/>
    </row>
    <row r="986" spans="1:21" s="1" customFormat="1" ht="19.5" hidden="1" customHeight="1" x14ac:dyDescent="0.3">
      <c r="A986" s="11"/>
      <c r="B986" s="95" t="s">
        <v>721</v>
      </c>
      <c r="C986" s="433">
        <v>45292.541666666664</v>
      </c>
      <c r="D986" s="434"/>
      <c r="E986" s="435"/>
      <c r="F986" s="96" t="s">
        <v>429</v>
      </c>
      <c r="G986" s="96">
        <v>6700</v>
      </c>
      <c r="H986" s="152" t="s">
        <v>581</v>
      </c>
      <c r="I986" s="86" t="s">
        <v>9</v>
      </c>
      <c r="J986" s="52"/>
      <c r="K986" s="95"/>
      <c r="L986" s="51"/>
      <c r="M986" s="95"/>
      <c r="N986" s="124"/>
      <c r="O986" s="86"/>
      <c r="P986" s="124" t="s">
        <v>16</v>
      </c>
      <c r="Q986" s="151" t="s">
        <v>827</v>
      </c>
      <c r="S986" s="8"/>
    </row>
    <row r="987" spans="1:21" s="1" customFormat="1" ht="19.5" hidden="1" customHeight="1" x14ac:dyDescent="0.3">
      <c r="A987" s="11"/>
      <c r="B987" s="75" t="s">
        <v>818</v>
      </c>
      <c r="C987" s="483">
        <v>45658.991666666669</v>
      </c>
      <c r="D987" s="484"/>
      <c r="E987" s="485"/>
      <c r="F987" s="78" t="s">
        <v>654</v>
      </c>
      <c r="G987" s="78">
        <v>18900</v>
      </c>
      <c r="H987" s="57" t="s">
        <v>710</v>
      </c>
      <c r="I987" s="73" t="s">
        <v>9</v>
      </c>
      <c r="J987" s="203"/>
      <c r="K987" s="199"/>
      <c r="L987" s="204"/>
      <c r="M987" s="199"/>
      <c r="N987" s="205"/>
      <c r="O987" s="202"/>
      <c r="P987" s="205" t="s">
        <v>16</v>
      </c>
      <c r="Q987" s="206" t="s">
        <v>821</v>
      </c>
      <c r="S987" s="8"/>
    </row>
    <row r="988" spans="1:21" s="1" customFormat="1" ht="19.5" hidden="1" customHeight="1" x14ac:dyDescent="0.3">
      <c r="A988" s="11"/>
      <c r="B988" s="95" t="s">
        <v>721</v>
      </c>
      <c r="C988" s="433" t="s">
        <v>782</v>
      </c>
      <c r="D988" s="434"/>
      <c r="E988" s="435"/>
      <c r="F988" s="96" t="s">
        <v>429</v>
      </c>
      <c r="G988" s="96">
        <v>6700</v>
      </c>
      <c r="H988" s="152" t="s">
        <v>581</v>
      </c>
      <c r="I988" s="86" t="s">
        <v>9</v>
      </c>
      <c r="J988" s="52"/>
      <c r="K988" s="95"/>
      <c r="L988" s="51"/>
      <c r="M988" s="95"/>
      <c r="N988" s="124"/>
      <c r="O988" s="86"/>
      <c r="P988" s="124" t="s">
        <v>11</v>
      </c>
      <c r="Q988" s="151"/>
      <c r="S988" s="8"/>
    </row>
    <row r="989" spans="1:21" s="1" customFormat="1" ht="19.5" hidden="1" customHeight="1" x14ac:dyDescent="0.3">
      <c r="A989" s="11"/>
      <c r="B989" s="95" t="s">
        <v>609</v>
      </c>
      <c r="C989" s="433" t="s">
        <v>782</v>
      </c>
      <c r="D989" s="434"/>
      <c r="E989" s="435"/>
      <c r="F989" s="96" t="s">
        <v>429</v>
      </c>
      <c r="G989" s="96">
        <v>4800</v>
      </c>
      <c r="H989" s="152" t="s">
        <v>134</v>
      </c>
      <c r="I989" s="86" t="s">
        <v>9</v>
      </c>
      <c r="J989" s="52"/>
      <c r="K989" s="95"/>
      <c r="L989" s="51"/>
      <c r="M989" s="95"/>
      <c r="N989" s="124"/>
      <c r="O989" s="86"/>
      <c r="P989" s="124" t="s">
        <v>11</v>
      </c>
      <c r="Q989" s="151"/>
      <c r="S989" s="8"/>
    </row>
    <row r="990" spans="1:21" s="1" customFormat="1" ht="19.5" hidden="1" customHeight="1" x14ac:dyDescent="0.3">
      <c r="A990" s="11"/>
      <c r="B990" s="95" t="s">
        <v>538</v>
      </c>
      <c r="C990" s="433" t="s">
        <v>782</v>
      </c>
      <c r="D990" s="434"/>
      <c r="E990" s="435"/>
      <c r="F990" s="96" t="s">
        <v>429</v>
      </c>
      <c r="G990" s="96">
        <v>5100</v>
      </c>
      <c r="H990" s="152" t="s">
        <v>573</v>
      </c>
      <c r="I990" s="86" t="s">
        <v>9</v>
      </c>
      <c r="J990" s="52"/>
      <c r="K990" s="95"/>
      <c r="L990" s="51"/>
      <c r="M990" s="95"/>
      <c r="N990" s="124"/>
      <c r="O990" s="86"/>
      <c r="P990" s="124" t="s">
        <v>11</v>
      </c>
      <c r="Q990" s="151"/>
      <c r="S990" s="8"/>
    </row>
    <row r="991" spans="1:21" s="1" customFormat="1" ht="19.5" hidden="1" customHeight="1" x14ac:dyDescent="0.3">
      <c r="A991" s="11"/>
      <c r="B991" s="95" t="s">
        <v>537</v>
      </c>
      <c r="C991" s="433" t="s">
        <v>782</v>
      </c>
      <c r="D991" s="434"/>
      <c r="E991" s="435"/>
      <c r="F991" s="96" t="s">
        <v>429</v>
      </c>
      <c r="G991" s="96">
        <v>5900</v>
      </c>
      <c r="H991" s="152" t="s">
        <v>582</v>
      </c>
      <c r="I991" s="86" t="s">
        <v>9</v>
      </c>
      <c r="J991" s="52"/>
      <c r="K991" s="95"/>
      <c r="L991" s="51"/>
      <c r="M991" s="95"/>
      <c r="N991" s="124"/>
      <c r="O991" s="86"/>
      <c r="P991" s="124" t="s">
        <v>11</v>
      </c>
      <c r="Q991" s="151"/>
      <c r="S991" s="8"/>
    </row>
    <row r="992" spans="1:21" s="1" customFormat="1" ht="19.5" hidden="1" customHeight="1" x14ac:dyDescent="0.3">
      <c r="A992" s="11"/>
      <c r="B992" s="75" t="s">
        <v>574</v>
      </c>
      <c r="C992" s="483">
        <v>45665.25</v>
      </c>
      <c r="D992" s="484"/>
      <c r="E992" s="485"/>
      <c r="F992" s="78" t="s">
        <v>429</v>
      </c>
      <c r="G992" s="78">
        <v>7500</v>
      </c>
      <c r="H992" s="57" t="s">
        <v>591</v>
      </c>
      <c r="I992" s="73" t="s">
        <v>9</v>
      </c>
      <c r="J992" s="53"/>
      <c r="K992" s="75"/>
      <c r="L992" s="54"/>
      <c r="M992" s="75"/>
      <c r="N992" s="145"/>
      <c r="O992" s="73"/>
      <c r="P992" s="145" t="s">
        <v>11</v>
      </c>
      <c r="Q992" s="58"/>
      <c r="S992" s="8"/>
    </row>
    <row r="993" spans="1:19" s="1" customFormat="1" ht="19.5" hidden="1" customHeight="1" x14ac:dyDescent="0.3">
      <c r="A993" s="11"/>
      <c r="B993" s="95" t="s">
        <v>609</v>
      </c>
      <c r="C993" s="433" t="s">
        <v>782</v>
      </c>
      <c r="D993" s="434"/>
      <c r="E993" s="435"/>
      <c r="F993" s="96" t="s">
        <v>429</v>
      </c>
      <c r="G993" s="96">
        <v>4800</v>
      </c>
      <c r="H993" s="152" t="s">
        <v>134</v>
      </c>
      <c r="I993" s="86" t="s">
        <v>9</v>
      </c>
      <c r="J993" s="52"/>
      <c r="K993" s="95"/>
      <c r="L993" s="51"/>
      <c r="M993" s="95"/>
      <c r="N993" s="124"/>
      <c r="O993" s="86"/>
      <c r="P993" s="124" t="s">
        <v>11</v>
      </c>
      <c r="Q993" s="151"/>
      <c r="S993" s="8"/>
    </row>
    <row r="994" spans="1:19" s="1" customFormat="1" ht="19.5" hidden="1" customHeight="1" x14ac:dyDescent="0.3">
      <c r="A994" s="11"/>
      <c r="B994" s="75" t="s">
        <v>586</v>
      </c>
      <c r="C994" s="483">
        <v>45667.444444444445</v>
      </c>
      <c r="D994" s="484"/>
      <c r="E994" s="485"/>
      <c r="F994" s="78" t="s">
        <v>429</v>
      </c>
      <c r="G994" s="78">
        <v>7300</v>
      </c>
      <c r="H994" s="57" t="s">
        <v>581</v>
      </c>
      <c r="I994" s="73" t="s">
        <v>9</v>
      </c>
      <c r="J994" s="53"/>
      <c r="K994" s="75"/>
      <c r="L994" s="54"/>
      <c r="M994" s="75"/>
      <c r="N994" s="145"/>
      <c r="O994" s="73"/>
      <c r="P994" s="145" t="s">
        <v>16</v>
      </c>
      <c r="Q994" s="58"/>
      <c r="S994" s="8"/>
    </row>
    <row r="995" spans="1:19" s="1" customFormat="1" ht="19.5" hidden="1" customHeight="1" x14ac:dyDescent="0.3">
      <c r="A995" s="11"/>
      <c r="B995" s="75" t="s">
        <v>810</v>
      </c>
      <c r="C995" s="483">
        <v>45669.711805555555</v>
      </c>
      <c r="D995" s="484"/>
      <c r="E995" s="485"/>
      <c r="F995" s="78" t="s">
        <v>654</v>
      </c>
      <c r="G995" s="78">
        <v>27500</v>
      </c>
      <c r="H995" s="57" t="s">
        <v>710</v>
      </c>
      <c r="I995" s="73" t="s">
        <v>9</v>
      </c>
      <c r="J995" s="53"/>
      <c r="K995" s="75"/>
      <c r="L995" s="54"/>
      <c r="M995" s="75"/>
      <c r="N995" s="145"/>
      <c r="O995" s="73"/>
      <c r="P995" s="145" t="s">
        <v>16</v>
      </c>
      <c r="Q995" s="58"/>
      <c r="S995" s="8"/>
    </row>
    <row r="996" spans="1:19" s="1" customFormat="1" ht="19.5" hidden="1" customHeight="1" x14ac:dyDescent="0.3">
      <c r="A996" s="11"/>
      <c r="B996" s="95" t="s">
        <v>840</v>
      </c>
      <c r="C996" s="433" t="s">
        <v>782</v>
      </c>
      <c r="D996" s="434"/>
      <c r="E996" s="435"/>
      <c r="F996" s="96" t="s">
        <v>429</v>
      </c>
      <c r="G996" s="96">
        <v>7800</v>
      </c>
      <c r="H996" s="152" t="s">
        <v>147</v>
      </c>
      <c r="I996" s="86" t="s">
        <v>9</v>
      </c>
      <c r="J996" s="52"/>
      <c r="K996" s="95"/>
      <c r="L996" s="51"/>
      <c r="M996" s="95"/>
      <c r="N996" s="124"/>
      <c r="O996" s="86"/>
      <c r="P996" s="124" t="s">
        <v>11</v>
      </c>
      <c r="Q996" s="151" t="s">
        <v>847</v>
      </c>
      <c r="S996" s="8"/>
    </row>
    <row r="997" spans="1:19" s="1" customFormat="1" ht="19.5" hidden="1" customHeight="1" x14ac:dyDescent="0.3">
      <c r="A997" s="11"/>
      <c r="B997" s="95" t="s">
        <v>586</v>
      </c>
      <c r="C997" s="433" t="s">
        <v>782</v>
      </c>
      <c r="D997" s="434"/>
      <c r="E997" s="435"/>
      <c r="F997" s="96" t="s">
        <v>429</v>
      </c>
      <c r="G997" s="96">
        <v>7300</v>
      </c>
      <c r="H997" s="152"/>
      <c r="I997" s="86" t="s">
        <v>9</v>
      </c>
      <c r="J997" s="52"/>
      <c r="K997" s="95"/>
      <c r="L997" s="51"/>
      <c r="M997" s="95"/>
      <c r="N997" s="124"/>
      <c r="O997" s="86"/>
      <c r="P997" s="124" t="s">
        <v>11</v>
      </c>
      <c r="Q997" s="151" t="s">
        <v>846</v>
      </c>
      <c r="S997" s="8"/>
    </row>
    <row r="998" spans="1:19" s="1" customFormat="1" ht="19.5" hidden="1" customHeight="1" x14ac:dyDescent="0.3">
      <c r="A998" s="11"/>
      <c r="B998" s="95" t="s">
        <v>574</v>
      </c>
      <c r="C998" s="433" t="s">
        <v>782</v>
      </c>
      <c r="D998" s="434"/>
      <c r="E998" s="435"/>
      <c r="F998" s="96" t="s">
        <v>429</v>
      </c>
      <c r="G998" s="96">
        <v>7500</v>
      </c>
      <c r="H998" s="152" t="s">
        <v>591</v>
      </c>
      <c r="I998" s="86" t="s">
        <v>9</v>
      </c>
      <c r="J998" s="52"/>
      <c r="K998" s="95"/>
      <c r="L998" s="51"/>
      <c r="M998" s="95"/>
      <c r="N998" s="124"/>
      <c r="O998" s="86"/>
      <c r="P998" s="124" t="s">
        <v>11</v>
      </c>
      <c r="Q998" s="151" t="s">
        <v>848</v>
      </c>
      <c r="S998" s="8"/>
    </row>
    <row r="999" spans="1:19" s="1" customFormat="1" ht="19.5" hidden="1" customHeight="1" x14ac:dyDescent="0.3">
      <c r="A999" s="11"/>
      <c r="B999" s="95" t="s">
        <v>631</v>
      </c>
      <c r="C999" s="433">
        <v>45681.75</v>
      </c>
      <c r="D999" s="434"/>
      <c r="E999" s="435"/>
      <c r="F999" s="96" t="s">
        <v>429</v>
      </c>
      <c r="G999" s="96">
        <v>5100</v>
      </c>
      <c r="H999" s="152" t="s">
        <v>573</v>
      </c>
      <c r="I999" s="86" t="s">
        <v>9</v>
      </c>
      <c r="J999" s="52"/>
      <c r="K999" s="95"/>
      <c r="L999" s="51"/>
      <c r="M999" s="95"/>
      <c r="N999" s="124"/>
      <c r="O999" s="86"/>
      <c r="P999" s="124" t="s">
        <v>11</v>
      </c>
      <c r="Q999" s="151"/>
      <c r="S999" s="8"/>
    </row>
    <row r="1000" spans="1:19" s="1" customFormat="1" ht="19.5" hidden="1" customHeight="1" x14ac:dyDescent="0.3">
      <c r="A1000" s="11"/>
      <c r="B1000" s="95" t="s">
        <v>721</v>
      </c>
      <c r="C1000" s="433" t="s">
        <v>782</v>
      </c>
      <c r="D1000" s="434"/>
      <c r="E1000" s="435"/>
      <c r="F1000" s="96" t="s">
        <v>429</v>
      </c>
      <c r="G1000" s="96">
        <v>6700</v>
      </c>
      <c r="H1000" s="152" t="s">
        <v>591</v>
      </c>
      <c r="I1000" s="86" t="s">
        <v>9</v>
      </c>
      <c r="J1000" s="52"/>
      <c r="K1000" s="95"/>
      <c r="L1000" s="51"/>
      <c r="M1000" s="95"/>
      <c r="N1000" s="124"/>
      <c r="O1000" s="86"/>
      <c r="P1000" s="124" t="s">
        <v>11</v>
      </c>
      <c r="Q1000" s="151"/>
      <c r="S1000" s="8"/>
    </row>
    <row r="1001" spans="1:19" s="1" customFormat="1" ht="19.5" hidden="1" customHeight="1" x14ac:dyDescent="0.3">
      <c r="A1001" s="11"/>
      <c r="B1001" s="95" t="s">
        <v>536</v>
      </c>
      <c r="C1001" s="433">
        <v>45688.708333333336</v>
      </c>
      <c r="D1001" s="434"/>
      <c r="E1001" s="435"/>
      <c r="F1001" s="96" t="s">
        <v>429</v>
      </c>
      <c r="G1001" s="96">
        <v>8100</v>
      </c>
      <c r="H1001" s="152" t="s">
        <v>591</v>
      </c>
      <c r="I1001" s="86" t="s">
        <v>9</v>
      </c>
      <c r="J1001" s="52"/>
      <c r="K1001" s="95"/>
      <c r="L1001" s="51"/>
      <c r="M1001" s="95"/>
      <c r="N1001" s="124"/>
      <c r="O1001" s="86"/>
      <c r="P1001" s="124" t="s">
        <v>11</v>
      </c>
      <c r="Q1001" s="151"/>
      <c r="S1001" s="8"/>
    </row>
    <row r="1002" spans="1:19" s="1" customFormat="1" ht="19.5" hidden="1" customHeight="1" x14ac:dyDescent="0.3">
      <c r="A1002" s="11"/>
      <c r="B1002" s="95" t="s">
        <v>192</v>
      </c>
      <c r="C1002" s="433">
        <v>45689.875</v>
      </c>
      <c r="D1002" s="434"/>
      <c r="E1002" s="435"/>
      <c r="F1002" s="96" t="s">
        <v>429</v>
      </c>
      <c r="G1002" s="96">
        <v>5100</v>
      </c>
      <c r="H1002" s="152" t="s">
        <v>134</v>
      </c>
      <c r="I1002" s="86" t="s">
        <v>9</v>
      </c>
      <c r="J1002" s="52"/>
      <c r="K1002" s="95"/>
      <c r="L1002" s="51"/>
      <c r="M1002" s="95"/>
      <c r="N1002" s="124"/>
      <c r="O1002" s="86"/>
      <c r="P1002" s="124" t="s">
        <v>11</v>
      </c>
      <c r="Q1002" s="151"/>
      <c r="S1002" s="8"/>
    </row>
    <row r="1003" spans="1:19" s="1" customFormat="1" ht="19.5" hidden="1" customHeight="1" x14ac:dyDescent="0.3">
      <c r="A1003" s="11"/>
      <c r="B1003" s="75" t="s">
        <v>860</v>
      </c>
      <c r="C1003" s="483">
        <v>45691.260416666664</v>
      </c>
      <c r="D1003" s="484"/>
      <c r="E1003" s="485"/>
      <c r="F1003" s="78" t="s">
        <v>654</v>
      </c>
      <c r="G1003" s="78">
        <v>27030</v>
      </c>
      <c r="H1003" s="57" t="s">
        <v>710</v>
      </c>
      <c r="I1003" s="73" t="s">
        <v>9</v>
      </c>
      <c r="J1003" s="53"/>
      <c r="K1003" s="75"/>
      <c r="L1003" s="54"/>
      <c r="M1003" s="75"/>
      <c r="N1003" s="145"/>
      <c r="O1003" s="73"/>
      <c r="P1003" s="145" t="s">
        <v>16</v>
      </c>
      <c r="Q1003" s="58"/>
      <c r="S1003" s="8"/>
    </row>
    <row r="1004" spans="1:19" s="1" customFormat="1" ht="19.5" hidden="1" customHeight="1" x14ac:dyDescent="0.3">
      <c r="A1004" s="11"/>
      <c r="B1004" s="75" t="s">
        <v>609</v>
      </c>
      <c r="C1004" s="483">
        <v>45695.458333333336</v>
      </c>
      <c r="D1004" s="484"/>
      <c r="E1004" s="485"/>
      <c r="F1004" s="78" t="s">
        <v>429</v>
      </c>
      <c r="G1004" s="78">
        <v>4800</v>
      </c>
      <c r="H1004" s="57" t="s">
        <v>147</v>
      </c>
      <c r="I1004" s="73" t="s">
        <v>9</v>
      </c>
      <c r="J1004" s="53"/>
      <c r="K1004" s="75"/>
      <c r="L1004" s="54"/>
      <c r="M1004" s="75"/>
      <c r="N1004" s="145"/>
      <c r="O1004" s="73"/>
      <c r="P1004" s="145" t="s">
        <v>11</v>
      </c>
      <c r="Q1004" s="58"/>
      <c r="S1004" s="8"/>
    </row>
    <row r="1005" spans="1:19" s="1" customFormat="1" ht="19.5" hidden="1" customHeight="1" x14ac:dyDescent="0.3">
      <c r="A1005" s="11"/>
      <c r="B1005" s="95" t="s">
        <v>98</v>
      </c>
      <c r="C1005" s="433">
        <v>45699.791666666664</v>
      </c>
      <c r="D1005" s="434"/>
      <c r="E1005" s="435"/>
      <c r="F1005" s="96" t="s">
        <v>429</v>
      </c>
      <c r="G1005" s="96">
        <v>6600</v>
      </c>
      <c r="H1005" s="152" t="s">
        <v>582</v>
      </c>
      <c r="I1005" s="86" t="s">
        <v>9</v>
      </c>
      <c r="J1005" s="52"/>
      <c r="K1005" s="95"/>
      <c r="L1005" s="51"/>
      <c r="M1005" s="95"/>
      <c r="N1005" s="124"/>
      <c r="O1005" s="86"/>
      <c r="P1005" s="124" t="s">
        <v>11</v>
      </c>
      <c r="Q1005" s="151"/>
      <c r="S1005" s="8"/>
    </row>
    <row r="1006" spans="1:19" s="1" customFormat="1" ht="19.5" hidden="1" customHeight="1" x14ac:dyDescent="0.3">
      <c r="A1006" s="11"/>
      <c r="B1006" s="95" t="s">
        <v>609</v>
      </c>
      <c r="C1006" s="433">
        <v>45701</v>
      </c>
      <c r="D1006" s="434"/>
      <c r="E1006" s="435"/>
      <c r="F1006" s="96" t="s">
        <v>429</v>
      </c>
      <c r="G1006" s="96">
        <v>4800</v>
      </c>
      <c r="H1006" s="152" t="s">
        <v>147</v>
      </c>
      <c r="I1006" s="86" t="s">
        <v>9</v>
      </c>
      <c r="J1006" s="52"/>
      <c r="K1006" s="95"/>
      <c r="L1006" s="51"/>
      <c r="M1006" s="95"/>
      <c r="N1006" s="124"/>
      <c r="O1006" s="86"/>
      <c r="P1006" s="124" t="s">
        <v>11</v>
      </c>
      <c r="Q1006" s="151"/>
      <c r="S1006" s="8"/>
    </row>
    <row r="1007" spans="1:19" s="1" customFormat="1" ht="19.5" hidden="1" customHeight="1" x14ac:dyDescent="0.3">
      <c r="A1007" s="11"/>
      <c r="B1007" s="674" t="s">
        <v>879</v>
      </c>
      <c r="C1007" s="675"/>
      <c r="D1007" s="675"/>
      <c r="E1007" s="675"/>
      <c r="F1007" s="675"/>
      <c r="G1007" s="675"/>
      <c r="H1007" s="676"/>
      <c r="I1007" s="86"/>
      <c r="J1007" s="52"/>
      <c r="K1007" s="95"/>
      <c r="L1007" s="51"/>
      <c r="M1007" s="95"/>
      <c r="N1007" s="124"/>
      <c r="O1007" s="86"/>
      <c r="P1007" s="124"/>
      <c r="Q1007" s="151"/>
      <c r="S1007" s="8"/>
    </row>
    <row r="1008" spans="1:19" s="1" customFormat="1" ht="19.5" hidden="1" customHeight="1" x14ac:dyDescent="0.3">
      <c r="A1008" s="11"/>
      <c r="B1008" s="95" t="s">
        <v>586</v>
      </c>
      <c r="C1008" s="433">
        <v>45703.541666666664</v>
      </c>
      <c r="D1008" s="434"/>
      <c r="E1008" s="435"/>
      <c r="F1008" s="96" t="s">
        <v>429</v>
      </c>
      <c r="G1008" s="96">
        <v>7300</v>
      </c>
      <c r="H1008" s="152" t="s">
        <v>581</v>
      </c>
      <c r="I1008" s="86" t="s">
        <v>9</v>
      </c>
      <c r="J1008" s="52"/>
      <c r="K1008" s="95"/>
      <c r="L1008" s="51"/>
      <c r="M1008" s="95"/>
      <c r="N1008" s="124"/>
      <c r="O1008" s="86"/>
      <c r="P1008" s="124" t="s">
        <v>11</v>
      </c>
      <c r="Q1008" s="151"/>
      <c r="S1008" s="8"/>
    </row>
    <row r="1009" spans="1:19" s="1" customFormat="1" ht="19.5" hidden="1" customHeight="1" x14ac:dyDescent="0.3">
      <c r="A1009" s="11"/>
      <c r="B1009" s="75" t="s">
        <v>878</v>
      </c>
      <c r="C1009" s="483">
        <v>45704.85833333333</v>
      </c>
      <c r="D1009" s="484"/>
      <c r="E1009" s="485"/>
      <c r="F1009" s="78" t="s">
        <v>654</v>
      </c>
      <c r="G1009" s="78">
        <v>27300</v>
      </c>
      <c r="H1009" s="57" t="s">
        <v>710</v>
      </c>
      <c r="I1009" s="73" t="s">
        <v>9</v>
      </c>
      <c r="J1009" s="53"/>
      <c r="K1009" s="75"/>
      <c r="L1009" s="54"/>
      <c r="M1009" s="75"/>
      <c r="N1009" s="145"/>
      <c r="O1009" s="73"/>
      <c r="P1009" s="145" t="s">
        <v>16</v>
      </c>
      <c r="Q1009" s="58"/>
      <c r="S1009" s="8"/>
    </row>
    <row r="1010" spans="1:19" s="1" customFormat="1" ht="19.5" hidden="1" customHeight="1" x14ac:dyDescent="0.3">
      <c r="A1010" s="11"/>
      <c r="B1010" s="95" t="s">
        <v>537</v>
      </c>
      <c r="C1010" s="433">
        <v>45708.625</v>
      </c>
      <c r="D1010" s="434"/>
      <c r="E1010" s="435"/>
      <c r="F1010" s="96" t="s">
        <v>429</v>
      </c>
      <c r="G1010" s="96">
        <v>5900</v>
      </c>
      <c r="H1010" s="152" t="s">
        <v>582</v>
      </c>
      <c r="I1010" s="86" t="s">
        <v>9</v>
      </c>
      <c r="J1010" s="52"/>
      <c r="K1010" s="95"/>
      <c r="L1010" s="51"/>
      <c r="M1010" s="95"/>
      <c r="N1010" s="124"/>
      <c r="O1010" s="86"/>
      <c r="P1010" s="124" t="s">
        <v>11</v>
      </c>
      <c r="Q1010" s="151"/>
      <c r="S1010" s="8"/>
    </row>
    <row r="1011" spans="1:19" s="1" customFormat="1" ht="19.5" hidden="1" customHeight="1" x14ac:dyDescent="0.3">
      <c r="A1011" s="11"/>
      <c r="B1011" s="95" t="s">
        <v>884</v>
      </c>
      <c r="C1011" s="433">
        <v>45709.916666666664</v>
      </c>
      <c r="D1011" s="434"/>
      <c r="E1011" s="435"/>
      <c r="F1011" s="96" t="s">
        <v>654</v>
      </c>
      <c r="G1011" s="96">
        <v>24800</v>
      </c>
      <c r="H1011" s="152" t="s">
        <v>887</v>
      </c>
      <c r="I1011" s="86" t="s">
        <v>9</v>
      </c>
      <c r="J1011" s="52"/>
      <c r="K1011" s="95"/>
      <c r="L1011" s="51"/>
      <c r="M1011" s="95"/>
      <c r="N1011" s="124"/>
      <c r="O1011" s="86"/>
      <c r="P1011" s="124" t="s">
        <v>16</v>
      </c>
      <c r="Q1011" s="151"/>
      <c r="S1011" s="8"/>
    </row>
    <row r="1012" spans="1:19" s="1" customFormat="1" ht="19.5" hidden="1" customHeight="1" x14ac:dyDescent="0.3">
      <c r="A1012" s="11"/>
      <c r="B1012" s="95" t="s">
        <v>586</v>
      </c>
      <c r="C1012" s="433" t="s">
        <v>782</v>
      </c>
      <c r="D1012" s="434"/>
      <c r="E1012" s="435"/>
      <c r="F1012" s="96" t="s">
        <v>429</v>
      </c>
      <c r="G1012" s="96">
        <v>7300</v>
      </c>
      <c r="H1012" s="152" t="s">
        <v>591</v>
      </c>
      <c r="I1012" s="86" t="s">
        <v>9</v>
      </c>
      <c r="J1012" s="52"/>
      <c r="K1012" s="95"/>
      <c r="L1012" s="51"/>
      <c r="M1012" s="95"/>
      <c r="N1012" s="124"/>
      <c r="O1012" s="86"/>
      <c r="P1012" s="124" t="s">
        <v>11</v>
      </c>
      <c r="Q1012" s="151"/>
      <c r="S1012" s="8"/>
    </row>
    <row r="1013" spans="1:19" s="1" customFormat="1" ht="19.5" hidden="1" customHeight="1" x14ac:dyDescent="0.3">
      <c r="A1013" s="11"/>
      <c r="B1013" s="75" t="s">
        <v>98</v>
      </c>
      <c r="C1013" s="483">
        <v>45713.416666666664</v>
      </c>
      <c r="D1013" s="484"/>
      <c r="E1013" s="485"/>
      <c r="F1013" s="78" t="s">
        <v>429</v>
      </c>
      <c r="G1013" s="78">
        <v>6600</v>
      </c>
      <c r="H1013" s="57" t="s">
        <v>582</v>
      </c>
      <c r="I1013" s="73" t="s">
        <v>9</v>
      </c>
      <c r="J1013" s="53"/>
      <c r="K1013" s="75"/>
      <c r="L1013" s="54"/>
      <c r="M1013" s="75"/>
      <c r="N1013" s="145"/>
      <c r="O1013" s="73"/>
      <c r="P1013" s="145" t="s">
        <v>11</v>
      </c>
      <c r="Q1013" s="58"/>
      <c r="S1013" s="8"/>
    </row>
    <row r="1014" spans="1:19" s="1" customFormat="1" ht="19.5" hidden="1" customHeight="1" x14ac:dyDescent="0.3">
      <c r="A1014" s="11"/>
      <c r="B1014" s="75" t="s">
        <v>609</v>
      </c>
      <c r="C1014" s="483">
        <v>45715.375</v>
      </c>
      <c r="D1014" s="484"/>
      <c r="E1014" s="485"/>
      <c r="F1014" s="78" t="s">
        <v>429</v>
      </c>
      <c r="G1014" s="78">
        <v>4800</v>
      </c>
      <c r="H1014" s="57" t="s">
        <v>573</v>
      </c>
      <c r="I1014" s="73" t="s">
        <v>9</v>
      </c>
      <c r="J1014" s="53"/>
      <c r="K1014" s="75"/>
      <c r="L1014" s="54"/>
      <c r="M1014" s="75"/>
      <c r="N1014" s="145"/>
      <c r="O1014" s="73"/>
      <c r="P1014" s="145" t="s">
        <v>11</v>
      </c>
      <c r="Q1014" s="58"/>
      <c r="S1014" s="8"/>
    </row>
    <row r="1015" spans="1:19" s="1" customFormat="1" ht="19.5" hidden="1" customHeight="1" x14ac:dyDescent="0.3">
      <c r="A1015" s="11"/>
      <c r="B1015" s="95" t="s">
        <v>574</v>
      </c>
      <c r="C1015" s="433" t="s">
        <v>782</v>
      </c>
      <c r="D1015" s="434"/>
      <c r="E1015" s="435"/>
      <c r="F1015" s="96" t="s">
        <v>429</v>
      </c>
      <c r="G1015" s="96">
        <v>7500</v>
      </c>
      <c r="H1015" s="152" t="s">
        <v>591</v>
      </c>
      <c r="I1015" s="86" t="s">
        <v>9</v>
      </c>
      <c r="J1015" s="52"/>
      <c r="K1015" s="95"/>
      <c r="L1015" s="51"/>
      <c r="M1015" s="95"/>
      <c r="N1015" s="124"/>
      <c r="O1015" s="86"/>
      <c r="P1015" s="124" t="s">
        <v>11</v>
      </c>
      <c r="Q1015" s="151"/>
      <c r="S1015" s="8"/>
    </row>
    <row r="1016" spans="1:19" s="1" customFormat="1" ht="19.5" hidden="1" customHeight="1" x14ac:dyDescent="0.3">
      <c r="A1016" s="11"/>
      <c r="B1016" s="75" t="s">
        <v>538</v>
      </c>
      <c r="C1016" s="483">
        <v>45716.472222222219</v>
      </c>
      <c r="D1016" s="484"/>
      <c r="E1016" s="485"/>
      <c r="F1016" s="78" t="s">
        <v>429</v>
      </c>
      <c r="G1016" s="78">
        <v>5100</v>
      </c>
      <c r="H1016" s="57" t="s">
        <v>147</v>
      </c>
      <c r="I1016" s="73" t="s">
        <v>9</v>
      </c>
      <c r="J1016" s="53"/>
      <c r="K1016" s="75"/>
      <c r="L1016" s="54"/>
      <c r="M1016" s="75"/>
      <c r="N1016" s="145"/>
      <c r="O1016" s="73"/>
      <c r="P1016" s="145" t="s">
        <v>11</v>
      </c>
      <c r="Q1016" s="58"/>
      <c r="S1016" s="8"/>
    </row>
    <row r="1017" spans="1:19" s="1" customFormat="1" ht="19.5" hidden="1" customHeight="1" x14ac:dyDescent="0.3">
      <c r="A1017" s="11"/>
      <c r="B1017" s="95" t="s">
        <v>537</v>
      </c>
      <c r="C1017" s="433">
        <v>45718.5</v>
      </c>
      <c r="D1017" s="434"/>
      <c r="E1017" s="435"/>
      <c r="F1017" s="96" t="s">
        <v>429</v>
      </c>
      <c r="G1017" s="96">
        <v>5900</v>
      </c>
      <c r="H1017" s="152" t="s">
        <v>582</v>
      </c>
      <c r="I1017" s="86" t="s">
        <v>9</v>
      </c>
      <c r="J1017" s="52"/>
      <c r="K1017" s="95"/>
      <c r="L1017" s="51"/>
      <c r="M1017" s="95"/>
      <c r="N1017" s="124"/>
      <c r="O1017" s="86"/>
      <c r="P1017" s="124" t="s">
        <v>11</v>
      </c>
      <c r="Q1017" s="151"/>
      <c r="S1017" s="8"/>
    </row>
    <row r="1018" spans="1:19" s="1" customFormat="1" ht="19.5" hidden="1" customHeight="1" x14ac:dyDescent="0.3">
      <c r="A1018" s="11"/>
      <c r="B1018" s="75" t="s">
        <v>538</v>
      </c>
      <c r="C1018" s="483">
        <v>45722.458333333336</v>
      </c>
      <c r="D1018" s="484"/>
      <c r="E1018" s="485"/>
      <c r="F1018" s="78" t="s">
        <v>429</v>
      </c>
      <c r="G1018" s="78">
        <v>5100</v>
      </c>
      <c r="H1018" s="57" t="s">
        <v>134</v>
      </c>
      <c r="I1018" s="73" t="s">
        <v>9</v>
      </c>
      <c r="J1018" s="53"/>
      <c r="K1018" s="75"/>
      <c r="L1018" s="54"/>
      <c r="M1018" s="75"/>
      <c r="N1018" s="145"/>
      <c r="O1018" s="73"/>
      <c r="P1018" s="145" t="s">
        <v>11</v>
      </c>
      <c r="Q1018" s="58"/>
      <c r="S1018" s="8"/>
    </row>
    <row r="1019" spans="1:19" s="1" customFormat="1" ht="19.5" hidden="1" customHeight="1" x14ac:dyDescent="0.3">
      <c r="A1019" s="11"/>
      <c r="B1019" s="95" t="s">
        <v>609</v>
      </c>
      <c r="C1019" s="433">
        <v>45723.333333333336</v>
      </c>
      <c r="D1019" s="434"/>
      <c r="E1019" s="435"/>
      <c r="F1019" s="96" t="s">
        <v>429</v>
      </c>
      <c r="G1019" s="96">
        <v>8100</v>
      </c>
      <c r="H1019" s="152"/>
      <c r="I1019" s="86" t="s">
        <v>9</v>
      </c>
      <c r="J1019" s="52"/>
      <c r="K1019" s="95"/>
      <c r="L1019" s="51"/>
      <c r="M1019" s="95"/>
      <c r="N1019" s="124"/>
      <c r="O1019" s="86"/>
      <c r="P1019" s="124" t="s">
        <v>11</v>
      </c>
      <c r="Q1019" s="151"/>
      <c r="S1019" s="8"/>
    </row>
    <row r="1020" spans="1:19" s="1" customFormat="1" ht="14.25" hidden="1" customHeight="1" x14ac:dyDescent="0.3">
      <c r="A1020" s="11"/>
      <c r="B1020" s="75" t="s">
        <v>574</v>
      </c>
      <c r="C1020" s="483">
        <v>45723.4375</v>
      </c>
      <c r="D1020" s="484"/>
      <c r="E1020" s="485"/>
      <c r="F1020" s="78" t="s">
        <v>429</v>
      </c>
      <c r="G1020" s="78">
        <v>7500</v>
      </c>
      <c r="H1020" s="57" t="s">
        <v>133</v>
      </c>
      <c r="I1020" s="73" t="s">
        <v>9</v>
      </c>
      <c r="J1020" s="53"/>
      <c r="K1020" s="75"/>
      <c r="L1020" s="54"/>
      <c r="M1020" s="75"/>
      <c r="N1020" s="145"/>
      <c r="O1020" s="73"/>
      <c r="P1020" s="145" t="s">
        <v>11</v>
      </c>
      <c r="Q1020" s="58"/>
      <c r="S1020" s="8"/>
    </row>
    <row r="1021" spans="1:19" s="1" customFormat="1" ht="14.25" hidden="1" customHeight="1" x14ac:dyDescent="0.3">
      <c r="A1021" s="11"/>
      <c r="B1021" s="95" t="s">
        <v>586</v>
      </c>
      <c r="C1021" s="433">
        <v>45724.708333333336</v>
      </c>
      <c r="D1021" s="434"/>
      <c r="E1021" s="435"/>
      <c r="F1021" s="96" t="s">
        <v>429</v>
      </c>
      <c r="G1021" s="96">
        <v>7300</v>
      </c>
      <c r="H1021" s="152" t="s">
        <v>581</v>
      </c>
      <c r="I1021" s="86" t="s">
        <v>9</v>
      </c>
      <c r="J1021" s="52"/>
      <c r="K1021" s="95"/>
      <c r="L1021" s="51"/>
      <c r="M1021" s="95"/>
      <c r="N1021" s="124"/>
      <c r="O1021" s="86"/>
      <c r="P1021" s="124" t="s">
        <v>11</v>
      </c>
      <c r="Q1021" s="151"/>
      <c r="S1021" s="8"/>
    </row>
    <row r="1022" spans="1:19" s="1" customFormat="1" ht="14.25" hidden="1" customHeight="1" x14ac:dyDescent="0.3">
      <c r="A1022" s="11"/>
      <c r="B1022" s="95" t="s">
        <v>609</v>
      </c>
      <c r="C1022" s="433">
        <v>45727.791666666664</v>
      </c>
      <c r="D1022" s="434"/>
      <c r="E1022" s="435"/>
      <c r="F1022" s="96" t="s">
        <v>429</v>
      </c>
      <c r="G1022" s="96">
        <v>4800</v>
      </c>
      <c r="H1022" s="152" t="s">
        <v>147</v>
      </c>
      <c r="I1022" s="86" t="s">
        <v>9</v>
      </c>
      <c r="J1022" s="52"/>
      <c r="K1022" s="95"/>
      <c r="L1022" s="51"/>
      <c r="M1022" s="95"/>
      <c r="N1022" s="124"/>
      <c r="O1022" s="86"/>
      <c r="P1022" s="124" t="s">
        <v>11</v>
      </c>
      <c r="Q1022" s="151"/>
      <c r="S1022" s="8"/>
    </row>
    <row r="1023" spans="1:19" s="1" customFormat="1" ht="14.25" hidden="1" customHeight="1" x14ac:dyDescent="0.3">
      <c r="A1023" s="11"/>
      <c r="B1023" s="75" t="s">
        <v>538</v>
      </c>
      <c r="C1023" s="483">
        <v>45728.5</v>
      </c>
      <c r="D1023" s="484"/>
      <c r="E1023" s="485"/>
      <c r="F1023" s="78" t="s">
        <v>429</v>
      </c>
      <c r="G1023" s="78">
        <v>5100</v>
      </c>
      <c r="H1023" s="57" t="s">
        <v>134</v>
      </c>
      <c r="I1023" s="73" t="s">
        <v>9</v>
      </c>
      <c r="J1023" s="53"/>
      <c r="K1023" s="75"/>
      <c r="L1023" s="54"/>
      <c r="M1023" s="75"/>
      <c r="N1023" s="145"/>
      <c r="O1023" s="73"/>
      <c r="P1023" s="145" t="s">
        <v>11</v>
      </c>
      <c r="Q1023" s="58"/>
      <c r="S1023" s="8"/>
    </row>
    <row r="1024" spans="1:19" s="1" customFormat="1" ht="14.25" hidden="1" customHeight="1" x14ac:dyDescent="0.3">
      <c r="A1024" s="11"/>
      <c r="B1024" s="75" t="s">
        <v>536</v>
      </c>
      <c r="C1024" s="483">
        <v>45730.541666666664</v>
      </c>
      <c r="D1024" s="484"/>
      <c r="E1024" s="485"/>
      <c r="F1024" s="78" t="s">
        <v>429</v>
      </c>
      <c r="G1024" s="78">
        <v>8100</v>
      </c>
      <c r="H1024" s="57" t="s">
        <v>591</v>
      </c>
      <c r="I1024" s="73" t="s">
        <v>9</v>
      </c>
      <c r="J1024" s="53"/>
      <c r="K1024" s="75"/>
      <c r="L1024" s="54"/>
      <c r="M1024" s="75"/>
      <c r="N1024" s="145"/>
      <c r="O1024" s="73"/>
      <c r="P1024" s="145" t="s">
        <v>11</v>
      </c>
      <c r="Q1024" s="58"/>
      <c r="S1024" s="8"/>
    </row>
    <row r="1025" spans="1:19" s="1" customFormat="1" ht="14.25" hidden="1" customHeight="1" x14ac:dyDescent="0.3">
      <c r="A1025" s="11"/>
      <c r="B1025" s="95" t="s">
        <v>609</v>
      </c>
      <c r="C1025" s="433">
        <v>45738.291666666664</v>
      </c>
      <c r="D1025" s="434"/>
      <c r="E1025" s="435"/>
      <c r="F1025" s="96" t="s">
        <v>429</v>
      </c>
      <c r="G1025" s="96">
        <v>4800</v>
      </c>
      <c r="H1025" s="152" t="s">
        <v>675</v>
      </c>
      <c r="I1025" s="86" t="s">
        <v>9</v>
      </c>
      <c r="J1025" s="52"/>
      <c r="K1025" s="95"/>
      <c r="L1025" s="51"/>
      <c r="M1025" s="95"/>
      <c r="N1025" s="124"/>
      <c r="O1025" s="86"/>
      <c r="P1025" s="124" t="s">
        <v>11</v>
      </c>
      <c r="Q1025" s="151"/>
      <c r="S1025" s="8"/>
    </row>
    <row r="1026" spans="1:19" s="1" customFormat="1" ht="14.25" hidden="1" customHeight="1" x14ac:dyDescent="0.3">
      <c r="A1026" s="11"/>
      <c r="B1026" s="75" t="s">
        <v>537</v>
      </c>
      <c r="C1026" s="483">
        <v>45740.572916666664</v>
      </c>
      <c r="D1026" s="484"/>
      <c r="E1026" s="485"/>
      <c r="F1026" s="78" t="s">
        <v>429</v>
      </c>
      <c r="G1026" s="78">
        <v>5900</v>
      </c>
      <c r="H1026" s="57" t="s">
        <v>582</v>
      </c>
      <c r="I1026" s="73" t="s">
        <v>9</v>
      </c>
      <c r="J1026" s="53"/>
      <c r="K1026" s="75"/>
      <c r="L1026" s="54"/>
      <c r="M1026" s="75"/>
      <c r="N1026" s="145"/>
      <c r="O1026" s="73"/>
      <c r="P1026" s="145" t="s">
        <v>11</v>
      </c>
      <c r="Q1026" s="58"/>
      <c r="S1026" s="8"/>
    </row>
    <row r="1027" spans="1:19" s="1" customFormat="1" ht="14.25" hidden="1" customHeight="1" x14ac:dyDescent="0.3">
      <c r="A1027" s="11"/>
      <c r="B1027" s="95" t="s">
        <v>721</v>
      </c>
      <c r="C1027" s="433">
        <v>45742.875</v>
      </c>
      <c r="D1027" s="434"/>
      <c r="E1027" s="435"/>
      <c r="F1027" s="96" t="s">
        <v>429</v>
      </c>
      <c r="G1027" s="96">
        <v>6700</v>
      </c>
      <c r="H1027" s="152" t="s">
        <v>591</v>
      </c>
      <c r="I1027" s="86" t="s">
        <v>9</v>
      </c>
      <c r="J1027" s="52"/>
      <c r="K1027" s="95"/>
      <c r="L1027" s="51"/>
      <c r="M1027" s="95"/>
      <c r="N1027" s="124"/>
      <c r="O1027" s="86"/>
      <c r="P1027" s="124" t="s">
        <v>11</v>
      </c>
      <c r="Q1027" s="151"/>
      <c r="S1027" s="8"/>
    </row>
    <row r="1028" spans="1:19" s="1" customFormat="1" ht="14.25" hidden="1" customHeight="1" x14ac:dyDescent="0.3">
      <c r="A1028" s="11"/>
      <c r="B1028" s="95" t="s">
        <v>609</v>
      </c>
      <c r="C1028" s="433">
        <v>45743.708333333336</v>
      </c>
      <c r="D1028" s="434"/>
      <c r="E1028" s="435"/>
      <c r="F1028" s="96" t="s">
        <v>429</v>
      </c>
      <c r="G1028" s="96">
        <v>4800</v>
      </c>
      <c r="H1028" s="152" t="s">
        <v>134</v>
      </c>
      <c r="I1028" s="86" t="s">
        <v>9</v>
      </c>
      <c r="J1028" s="52"/>
      <c r="K1028" s="95"/>
      <c r="L1028" s="51"/>
      <c r="M1028" s="95"/>
      <c r="N1028" s="124"/>
      <c r="O1028" s="86"/>
      <c r="P1028" s="124" t="s">
        <v>11</v>
      </c>
      <c r="Q1028" s="151"/>
      <c r="S1028" s="8"/>
    </row>
    <row r="1029" spans="1:19" s="1" customFormat="1" ht="14.25" hidden="1" customHeight="1" x14ac:dyDescent="0.3">
      <c r="A1029" s="11"/>
      <c r="B1029" s="95" t="s">
        <v>538</v>
      </c>
      <c r="C1029" s="433">
        <v>45744.958333333336</v>
      </c>
      <c r="D1029" s="434"/>
      <c r="E1029" s="435"/>
      <c r="F1029" s="96" t="s">
        <v>429</v>
      </c>
      <c r="G1029" s="96">
        <v>5100</v>
      </c>
      <c r="H1029" s="152" t="s">
        <v>134</v>
      </c>
      <c r="I1029" s="86" t="s">
        <v>9</v>
      </c>
      <c r="J1029" s="52"/>
      <c r="K1029" s="95"/>
      <c r="L1029" s="51"/>
      <c r="M1029" s="95"/>
      <c r="N1029" s="124"/>
      <c r="O1029" s="86"/>
      <c r="P1029" s="124" t="s">
        <v>16</v>
      </c>
      <c r="Q1029" s="151"/>
      <c r="S1029" s="8"/>
    </row>
    <row r="1030" spans="1:19" s="1" customFormat="1" ht="14.25" hidden="1" customHeight="1" x14ac:dyDescent="0.3">
      <c r="A1030" s="11"/>
      <c r="B1030" s="75" t="s">
        <v>916</v>
      </c>
      <c r="C1030" s="483">
        <v>45745.541666666664</v>
      </c>
      <c r="D1030" s="484"/>
      <c r="E1030" s="485"/>
      <c r="F1030" s="78" t="s">
        <v>654</v>
      </c>
      <c r="G1030" s="78">
        <v>25000</v>
      </c>
      <c r="H1030" s="57" t="s">
        <v>917</v>
      </c>
      <c r="I1030" s="73" t="s">
        <v>9</v>
      </c>
      <c r="J1030" s="53"/>
      <c r="K1030" s="75"/>
      <c r="L1030" s="54"/>
      <c r="M1030" s="75"/>
      <c r="N1030" s="145"/>
      <c r="O1030" s="73"/>
      <c r="P1030" s="145" t="s">
        <v>16</v>
      </c>
      <c r="Q1030" s="58" t="s">
        <v>767</v>
      </c>
      <c r="S1030" s="8"/>
    </row>
    <row r="1031" spans="1:19" s="1" customFormat="1" ht="14.25" hidden="1" customHeight="1" x14ac:dyDescent="0.3">
      <c r="A1031" s="11"/>
      <c r="B1031" s="95" t="s">
        <v>536</v>
      </c>
      <c r="C1031" s="433" t="s">
        <v>782</v>
      </c>
      <c r="D1031" s="434"/>
      <c r="E1031" s="435"/>
      <c r="F1031" s="96" t="s">
        <v>429</v>
      </c>
      <c r="G1031" s="96">
        <v>8100</v>
      </c>
      <c r="H1031" s="152" t="s">
        <v>591</v>
      </c>
      <c r="I1031" s="86" t="s">
        <v>9</v>
      </c>
      <c r="J1031" s="52"/>
      <c r="K1031" s="95"/>
      <c r="L1031" s="51"/>
      <c r="M1031" s="95"/>
      <c r="N1031" s="124"/>
      <c r="O1031" s="86"/>
      <c r="P1031" s="124" t="s">
        <v>16</v>
      </c>
      <c r="Q1031" s="151"/>
      <c r="S1031" s="8"/>
    </row>
    <row r="1032" spans="1:19" s="1" customFormat="1" ht="14.25" hidden="1" customHeight="1" x14ac:dyDescent="0.3">
      <c r="A1032" s="11"/>
      <c r="B1032" s="95" t="s">
        <v>609</v>
      </c>
      <c r="C1032" s="433" t="s">
        <v>782</v>
      </c>
      <c r="D1032" s="434"/>
      <c r="E1032" s="435"/>
      <c r="F1032" s="96" t="s">
        <v>429</v>
      </c>
      <c r="G1032" s="96">
        <v>4800</v>
      </c>
      <c r="H1032" s="152" t="s">
        <v>134</v>
      </c>
      <c r="I1032" s="86" t="s">
        <v>9</v>
      </c>
      <c r="J1032" s="52"/>
      <c r="K1032" s="95"/>
      <c r="L1032" s="51"/>
      <c r="M1032" s="95"/>
      <c r="N1032" s="124"/>
      <c r="O1032" s="86"/>
      <c r="P1032" s="124" t="s">
        <v>16</v>
      </c>
      <c r="Q1032" s="151"/>
      <c r="S1032" s="8"/>
    </row>
    <row r="1033" spans="1:19" s="1" customFormat="1" ht="14.25" hidden="1" customHeight="1" x14ac:dyDescent="0.3">
      <c r="A1033" s="11"/>
      <c r="B1033" s="75" t="s">
        <v>912</v>
      </c>
      <c r="C1033" s="483">
        <v>45749.5</v>
      </c>
      <c r="D1033" s="484"/>
      <c r="E1033" s="485"/>
      <c r="F1033" s="78" t="s">
        <v>654</v>
      </c>
      <c r="G1033" s="78">
        <v>20200</v>
      </c>
      <c r="H1033" s="57" t="s">
        <v>913</v>
      </c>
      <c r="I1033" s="73" t="s">
        <v>9</v>
      </c>
      <c r="J1033" s="53"/>
      <c r="K1033" s="75"/>
      <c r="L1033" s="54"/>
      <c r="M1033" s="75"/>
      <c r="N1033" s="145"/>
      <c r="O1033" s="73"/>
      <c r="P1033" s="145" t="s">
        <v>16</v>
      </c>
      <c r="Q1033" s="58" t="s">
        <v>919</v>
      </c>
      <c r="S1033" s="8"/>
    </row>
    <row r="1034" spans="1:19" s="1" customFormat="1" ht="14.25" hidden="1" customHeight="1" x14ac:dyDescent="0.3">
      <c r="A1034" s="11"/>
      <c r="B1034" s="95" t="s">
        <v>933</v>
      </c>
      <c r="C1034" s="433">
        <v>45757.458333333336</v>
      </c>
      <c r="D1034" s="434"/>
      <c r="E1034" s="435"/>
      <c r="F1034" s="96" t="s">
        <v>429</v>
      </c>
      <c r="G1034" s="96">
        <v>4800</v>
      </c>
      <c r="H1034" s="152" t="s">
        <v>147</v>
      </c>
      <c r="I1034" s="86" t="s">
        <v>9</v>
      </c>
      <c r="J1034" s="52"/>
      <c r="K1034" s="95"/>
      <c r="L1034" s="51"/>
      <c r="M1034" s="95"/>
      <c r="N1034" s="124"/>
      <c r="O1034" s="86"/>
      <c r="P1034" s="124" t="s">
        <v>11</v>
      </c>
      <c r="Q1034" s="151"/>
      <c r="S1034" s="8"/>
    </row>
    <row r="1035" spans="1:19" s="1" customFormat="1" ht="14.25" hidden="1" customHeight="1" x14ac:dyDescent="0.3">
      <c r="A1035" s="11"/>
      <c r="B1035" s="75" t="s">
        <v>574</v>
      </c>
      <c r="C1035" s="483">
        <v>45758.277777777781</v>
      </c>
      <c r="D1035" s="484"/>
      <c r="E1035" s="485"/>
      <c r="F1035" s="78" t="s">
        <v>429</v>
      </c>
      <c r="G1035" s="78">
        <v>7500</v>
      </c>
      <c r="H1035" s="57" t="s">
        <v>591</v>
      </c>
      <c r="I1035" s="73" t="s">
        <v>9</v>
      </c>
      <c r="J1035" s="53"/>
      <c r="K1035" s="75"/>
      <c r="L1035" s="54"/>
      <c r="M1035" s="75"/>
      <c r="N1035" s="145"/>
      <c r="O1035" s="73"/>
      <c r="P1035" s="145" t="s">
        <v>11</v>
      </c>
      <c r="Q1035" s="58"/>
      <c r="S1035" s="8"/>
    </row>
    <row r="1036" spans="1:19" s="1" customFormat="1" ht="14.25" hidden="1" customHeight="1" x14ac:dyDescent="0.3">
      <c r="A1036" s="11"/>
      <c r="B1036" s="95" t="s">
        <v>609</v>
      </c>
      <c r="C1036" s="433">
        <v>45759.291666666664</v>
      </c>
      <c r="D1036" s="434"/>
      <c r="E1036" s="435"/>
      <c r="F1036" s="96" t="s">
        <v>429</v>
      </c>
      <c r="G1036" s="96">
        <v>4800</v>
      </c>
      <c r="H1036" s="152" t="s">
        <v>147</v>
      </c>
      <c r="I1036" s="86" t="s">
        <v>9</v>
      </c>
      <c r="J1036" s="52"/>
      <c r="K1036" s="95"/>
      <c r="L1036" s="51"/>
      <c r="M1036" s="95"/>
      <c r="N1036" s="124"/>
      <c r="O1036" s="86"/>
      <c r="P1036" s="124" t="s">
        <v>11</v>
      </c>
      <c r="Q1036" s="151"/>
      <c r="S1036" s="8"/>
    </row>
    <row r="1037" spans="1:19" s="1" customFormat="1" ht="14.25" hidden="1" customHeight="1" x14ac:dyDescent="0.3">
      <c r="A1037" s="11"/>
      <c r="B1037" s="75" t="s">
        <v>878</v>
      </c>
      <c r="C1037" s="483">
        <v>45762.291666666664</v>
      </c>
      <c r="D1037" s="484"/>
      <c r="E1037" s="485"/>
      <c r="F1037" s="78" t="s">
        <v>654</v>
      </c>
      <c r="G1037" s="78">
        <v>27000</v>
      </c>
      <c r="H1037" s="57"/>
      <c r="I1037" s="73" t="s">
        <v>9</v>
      </c>
      <c r="J1037" s="53"/>
      <c r="K1037" s="75"/>
      <c r="L1037" s="54"/>
      <c r="M1037" s="75"/>
      <c r="N1037" s="145"/>
      <c r="O1037" s="73"/>
      <c r="P1037" s="145" t="s">
        <v>16</v>
      </c>
      <c r="Q1037" s="58"/>
      <c r="S1037" s="8"/>
    </row>
    <row r="1038" spans="1:19" s="1" customFormat="1" ht="14.25" hidden="1" customHeight="1" x14ac:dyDescent="0.3">
      <c r="A1038" s="11"/>
      <c r="B1038" s="75" t="s">
        <v>586</v>
      </c>
      <c r="C1038" s="483">
        <v>45764.854166666664</v>
      </c>
      <c r="D1038" s="484"/>
      <c r="E1038" s="485"/>
      <c r="F1038" s="78" t="s">
        <v>429</v>
      </c>
      <c r="G1038" s="78">
        <v>7000</v>
      </c>
      <c r="H1038" s="57" t="s">
        <v>581</v>
      </c>
      <c r="I1038" s="73" t="s">
        <v>9</v>
      </c>
      <c r="J1038" s="53"/>
      <c r="K1038" s="75"/>
      <c r="L1038" s="54"/>
      <c r="M1038" s="75"/>
      <c r="N1038" s="145"/>
      <c r="O1038" s="73"/>
      <c r="P1038" s="145" t="s">
        <v>11</v>
      </c>
      <c r="Q1038" s="58"/>
      <c r="S1038" s="8"/>
    </row>
    <row r="1039" spans="1:19" s="1" customFormat="1" ht="14.25" hidden="1" customHeight="1" x14ac:dyDescent="0.3">
      <c r="A1039" s="11"/>
      <c r="B1039" s="95" t="s">
        <v>537</v>
      </c>
      <c r="C1039" s="433">
        <v>45765.708333333336</v>
      </c>
      <c r="D1039" s="434"/>
      <c r="E1039" s="435"/>
      <c r="F1039" s="96" t="s">
        <v>429</v>
      </c>
      <c r="G1039" s="96">
        <v>5900</v>
      </c>
      <c r="H1039" s="152" t="s">
        <v>582</v>
      </c>
      <c r="I1039" s="86" t="s">
        <v>9</v>
      </c>
      <c r="J1039" s="52"/>
      <c r="K1039" s="95"/>
      <c r="L1039" s="51"/>
      <c r="M1039" s="95"/>
      <c r="N1039" s="124"/>
      <c r="O1039" s="86"/>
      <c r="P1039" s="124" t="s">
        <v>11</v>
      </c>
      <c r="Q1039" s="151"/>
      <c r="S1039" s="8"/>
    </row>
    <row r="1040" spans="1:19" s="1" customFormat="1" ht="16.5" hidden="1" customHeight="1" x14ac:dyDescent="0.3">
      <c r="A1040" s="11"/>
      <c r="B1040" s="75" t="s">
        <v>934</v>
      </c>
      <c r="C1040" s="483">
        <v>45766.538194444445</v>
      </c>
      <c r="D1040" s="484"/>
      <c r="E1040" s="485"/>
      <c r="F1040" s="78" t="s">
        <v>654</v>
      </c>
      <c r="G1040" s="78">
        <v>27100</v>
      </c>
      <c r="H1040" s="57"/>
      <c r="I1040" s="73" t="s">
        <v>9</v>
      </c>
      <c r="J1040" s="53"/>
      <c r="K1040" s="75"/>
      <c r="L1040" s="54"/>
      <c r="M1040" s="75"/>
      <c r="N1040" s="145"/>
      <c r="O1040" s="73"/>
      <c r="P1040" s="185" t="s">
        <v>16</v>
      </c>
      <c r="Q1040" s="58"/>
      <c r="S1040" s="8"/>
    </row>
    <row r="1041" spans="1:19" s="1" customFormat="1" ht="16.5" hidden="1" customHeight="1" x14ac:dyDescent="0.3">
      <c r="A1041" s="11"/>
      <c r="B1041" s="95" t="s">
        <v>538</v>
      </c>
      <c r="C1041" s="433">
        <v>45768.791666666664</v>
      </c>
      <c r="D1041" s="434"/>
      <c r="E1041" s="435"/>
      <c r="F1041" s="96" t="s">
        <v>429</v>
      </c>
      <c r="G1041" s="96">
        <v>5100</v>
      </c>
      <c r="H1041" s="152" t="s">
        <v>147</v>
      </c>
      <c r="I1041" s="86" t="s">
        <v>9</v>
      </c>
      <c r="J1041" s="52"/>
      <c r="K1041" s="95"/>
      <c r="L1041" s="51"/>
      <c r="M1041" s="95"/>
      <c r="N1041" s="124"/>
      <c r="O1041" s="86"/>
      <c r="P1041" s="179"/>
      <c r="Q1041" s="151"/>
      <c r="S1041" s="8"/>
    </row>
    <row r="1042" spans="1:19" s="1" customFormat="1" ht="16.5" hidden="1" customHeight="1" x14ac:dyDescent="0.3">
      <c r="A1042" s="11"/>
      <c r="B1042" s="95" t="s">
        <v>609</v>
      </c>
      <c r="C1042" s="433">
        <v>45769.791666666664</v>
      </c>
      <c r="D1042" s="434"/>
      <c r="E1042" s="435"/>
      <c r="F1042" s="96" t="s">
        <v>429</v>
      </c>
      <c r="G1042" s="96">
        <v>4800</v>
      </c>
      <c r="H1042" s="152"/>
      <c r="I1042" s="86" t="s">
        <v>9</v>
      </c>
      <c r="J1042" s="52"/>
      <c r="K1042" s="95"/>
      <c r="L1042" s="51"/>
      <c r="M1042" s="95"/>
      <c r="N1042" s="124"/>
      <c r="O1042" s="86"/>
      <c r="P1042" s="179"/>
      <c r="Q1042" s="151"/>
      <c r="S1042" s="8"/>
    </row>
    <row r="1043" spans="1:19" s="1" customFormat="1" ht="16.5" hidden="1" customHeight="1" x14ac:dyDescent="0.3">
      <c r="A1043" s="11"/>
      <c r="B1043" s="95" t="s">
        <v>536</v>
      </c>
      <c r="C1043" s="433">
        <v>45772.75</v>
      </c>
      <c r="D1043" s="434"/>
      <c r="E1043" s="435"/>
      <c r="F1043" s="96" t="s">
        <v>429</v>
      </c>
      <c r="G1043" s="96">
        <v>8100</v>
      </c>
      <c r="H1043" s="52"/>
      <c r="I1043" s="86" t="s">
        <v>9</v>
      </c>
      <c r="J1043" s="52"/>
      <c r="K1043" s="95"/>
      <c r="L1043" s="51"/>
      <c r="M1043" s="95"/>
      <c r="N1043" s="124"/>
      <c r="O1043" s="86"/>
      <c r="P1043" s="179"/>
      <c r="Q1043" s="151"/>
      <c r="S1043" s="8"/>
    </row>
    <row r="1044" spans="1:19" s="1" customFormat="1" ht="16.5" hidden="1" customHeight="1" x14ac:dyDescent="0.3">
      <c r="A1044" s="11"/>
      <c r="B1044" s="95" t="s">
        <v>538</v>
      </c>
      <c r="C1044" s="433">
        <v>45773.416666666664</v>
      </c>
      <c r="D1044" s="434"/>
      <c r="E1044" s="435"/>
      <c r="F1044" s="96" t="s">
        <v>429</v>
      </c>
      <c r="G1044" s="96">
        <v>5100</v>
      </c>
      <c r="H1044" s="52" t="s">
        <v>134</v>
      </c>
      <c r="I1044" s="86" t="s">
        <v>9</v>
      </c>
      <c r="J1044" s="52"/>
      <c r="K1044" s="95"/>
      <c r="L1044" s="51"/>
      <c r="M1044" s="95"/>
      <c r="N1044" s="124"/>
      <c r="O1044" s="86"/>
      <c r="P1044" s="179"/>
      <c r="Q1044" s="151"/>
      <c r="S1044" s="8"/>
    </row>
    <row r="1045" spans="1:19" s="1" customFormat="1" ht="16.5" hidden="1" customHeight="1" x14ac:dyDescent="0.3">
      <c r="A1045" s="11"/>
      <c r="B1045" s="95" t="s">
        <v>631</v>
      </c>
      <c r="C1045" s="433">
        <v>45773.875</v>
      </c>
      <c r="D1045" s="434"/>
      <c r="E1045" s="435"/>
      <c r="F1045" s="96" t="s">
        <v>429</v>
      </c>
      <c r="G1045" s="96">
        <v>5100</v>
      </c>
      <c r="H1045" s="52" t="s">
        <v>147</v>
      </c>
      <c r="I1045" s="86" t="s">
        <v>9</v>
      </c>
      <c r="J1045" s="52"/>
      <c r="K1045" s="95"/>
      <c r="L1045" s="51"/>
      <c r="M1045" s="95"/>
      <c r="N1045" s="124"/>
      <c r="O1045" s="86"/>
      <c r="P1045" s="179"/>
      <c r="Q1045" s="151"/>
      <c r="S1045" s="8"/>
    </row>
    <row r="1046" spans="1:19" s="1" customFormat="1" ht="16.5" hidden="1" customHeight="1" x14ac:dyDescent="0.3">
      <c r="A1046" s="11"/>
      <c r="B1046" s="75" t="s">
        <v>940</v>
      </c>
      <c r="C1046" s="483">
        <v>45775.493055555555</v>
      </c>
      <c r="D1046" s="484"/>
      <c r="E1046" s="485"/>
      <c r="F1046" s="78" t="s">
        <v>654</v>
      </c>
      <c r="G1046" s="78">
        <v>25000</v>
      </c>
      <c r="H1046" s="53"/>
      <c r="I1046" s="73" t="s">
        <v>9</v>
      </c>
      <c r="J1046" s="53"/>
      <c r="K1046" s="75"/>
      <c r="L1046" s="54"/>
      <c r="M1046" s="75"/>
      <c r="N1046" s="145"/>
      <c r="O1046" s="73"/>
      <c r="P1046" s="185" t="s">
        <v>16</v>
      </c>
      <c r="Q1046" s="58"/>
      <c r="S1046" s="8"/>
    </row>
    <row r="1047" spans="1:19" s="1" customFormat="1" ht="16.5" hidden="1" customHeight="1" x14ac:dyDescent="0.3">
      <c r="A1047" s="11"/>
      <c r="B1047" s="95" t="s">
        <v>536</v>
      </c>
      <c r="C1047" s="433">
        <v>45777.791666666664</v>
      </c>
      <c r="D1047" s="434"/>
      <c r="E1047" s="435"/>
      <c r="F1047" s="96" t="s">
        <v>429</v>
      </c>
      <c r="G1047" s="96">
        <v>8100</v>
      </c>
      <c r="H1047" s="52"/>
      <c r="I1047" s="86" t="s">
        <v>9</v>
      </c>
      <c r="J1047" s="52"/>
      <c r="K1047" s="95"/>
      <c r="L1047" s="51"/>
      <c r="M1047" s="95"/>
      <c r="N1047" s="124"/>
      <c r="O1047" s="86"/>
      <c r="P1047" s="179"/>
      <c r="Q1047" s="151"/>
      <c r="S1047" s="8"/>
    </row>
    <row r="1048" spans="1:19" s="1" customFormat="1" ht="16.5" hidden="1" customHeight="1" x14ac:dyDescent="0.3">
      <c r="A1048" s="11"/>
      <c r="B1048" s="95" t="s">
        <v>574</v>
      </c>
      <c r="C1048" s="433">
        <v>45779.298611111109</v>
      </c>
      <c r="D1048" s="434"/>
      <c r="E1048" s="435"/>
      <c r="F1048" s="96" t="s">
        <v>429</v>
      </c>
      <c r="G1048" s="96">
        <v>7500</v>
      </c>
      <c r="H1048" s="52" t="s">
        <v>591</v>
      </c>
      <c r="I1048" s="86" t="s">
        <v>9</v>
      </c>
      <c r="J1048" s="52"/>
      <c r="K1048" s="95"/>
      <c r="L1048" s="51"/>
      <c r="M1048" s="95"/>
      <c r="N1048" s="124"/>
      <c r="O1048" s="86"/>
      <c r="P1048" s="179"/>
      <c r="Q1048" s="151" t="s">
        <v>948</v>
      </c>
      <c r="S1048" s="8"/>
    </row>
    <row r="1049" spans="1:19" s="1" customFormat="1" ht="16.5" hidden="1" customHeight="1" x14ac:dyDescent="0.3">
      <c r="A1049" s="11"/>
      <c r="B1049" s="95" t="s">
        <v>532</v>
      </c>
      <c r="C1049" s="433">
        <v>45780.3125</v>
      </c>
      <c r="D1049" s="434"/>
      <c r="E1049" s="435"/>
      <c r="F1049" s="96" t="s">
        <v>429</v>
      </c>
      <c r="G1049" s="96">
        <v>5000</v>
      </c>
      <c r="H1049" s="52" t="s">
        <v>573</v>
      </c>
      <c r="I1049" s="86" t="s">
        <v>9</v>
      </c>
      <c r="J1049" s="52"/>
      <c r="K1049" s="95"/>
      <c r="L1049" s="51"/>
      <c r="M1049" s="95"/>
      <c r="N1049" s="124"/>
      <c r="O1049" s="86"/>
      <c r="P1049" s="179"/>
      <c r="Q1049" s="151"/>
      <c r="S1049" s="8"/>
    </row>
    <row r="1050" spans="1:19" s="1" customFormat="1" ht="16.5" hidden="1" customHeight="1" x14ac:dyDescent="0.3">
      <c r="A1050" s="11"/>
      <c r="B1050" s="95" t="s">
        <v>945</v>
      </c>
      <c r="C1050" s="433">
        <v>45781.5</v>
      </c>
      <c r="D1050" s="434"/>
      <c r="E1050" s="435"/>
      <c r="F1050" s="96" t="s">
        <v>946</v>
      </c>
      <c r="G1050" s="96">
        <v>27500</v>
      </c>
      <c r="H1050" s="52"/>
      <c r="I1050" s="86" t="s">
        <v>9</v>
      </c>
      <c r="J1050" s="52"/>
      <c r="K1050" s="95"/>
      <c r="L1050" s="51"/>
      <c r="M1050" s="95"/>
      <c r="N1050" s="124"/>
      <c r="O1050" s="86"/>
      <c r="P1050" s="179" t="s">
        <v>16</v>
      </c>
      <c r="Q1050" s="151"/>
      <c r="S1050" s="8"/>
    </row>
    <row r="1051" spans="1:19" s="1" customFormat="1" ht="16.5" hidden="1" customHeight="1" x14ac:dyDescent="0.3">
      <c r="A1051" s="11"/>
      <c r="B1051" s="95" t="s">
        <v>586</v>
      </c>
      <c r="C1051" s="433" t="s">
        <v>947</v>
      </c>
      <c r="D1051" s="434"/>
      <c r="E1051" s="435"/>
      <c r="F1051" s="96" t="s">
        <v>429</v>
      </c>
      <c r="G1051" s="96">
        <v>7300</v>
      </c>
      <c r="H1051" s="52" t="s">
        <v>581</v>
      </c>
      <c r="I1051" s="86" t="s">
        <v>9</v>
      </c>
      <c r="J1051" s="52"/>
      <c r="K1051" s="95"/>
      <c r="L1051" s="51"/>
      <c r="M1051" s="95"/>
      <c r="N1051" s="124"/>
      <c r="O1051" s="86"/>
      <c r="P1051" s="179"/>
      <c r="Q1051" s="151"/>
      <c r="S1051" s="8"/>
    </row>
    <row r="1052" spans="1:19" s="1" customFormat="1" ht="16.5" hidden="1" customHeight="1" x14ac:dyDescent="0.3">
      <c r="A1052" s="11"/>
      <c r="B1052" s="75" t="s">
        <v>536</v>
      </c>
      <c r="C1052" s="483">
        <v>45785.916666666664</v>
      </c>
      <c r="D1052" s="484"/>
      <c r="E1052" s="485"/>
      <c r="F1052" s="78" t="s">
        <v>429</v>
      </c>
      <c r="G1052" s="78">
        <v>4800</v>
      </c>
      <c r="H1052" s="53" t="s">
        <v>147</v>
      </c>
      <c r="I1052" s="73" t="s">
        <v>9</v>
      </c>
      <c r="J1052" s="53"/>
      <c r="K1052" s="75"/>
      <c r="L1052" s="54"/>
      <c r="M1052" s="75"/>
      <c r="N1052" s="145"/>
      <c r="O1052" s="73"/>
      <c r="P1052" s="185"/>
      <c r="Q1052" s="58"/>
      <c r="S1052" s="8"/>
    </row>
    <row r="1053" spans="1:19" s="1" customFormat="1" ht="16.5" hidden="1" customHeight="1" x14ac:dyDescent="0.3">
      <c r="A1053" s="11"/>
      <c r="B1053" s="75" t="s">
        <v>951</v>
      </c>
      <c r="C1053" s="483">
        <v>45787.806944444441</v>
      </c>
      <c r="D1053" s="484"/>
      <c r="E1053" s="485"/>
      <c r="F1053" s="78" t="s">
        <v>654</v>
      </c>
      <c r="G1053" s="78">
        <v>26600</v>
      </c>
      <c r="H1053" s="53"/>
      <c r="I1053" s="73" t="s">
        <v>9</v>
      </c>
      <c r="J1053" s="53"/>
      <c r="K1053" s="75"/>
      <c r="L1053" s="54"/>
      <c r="M1053" s="75"/>
      <c r="N1053" s="145"/>
      <c r="O1053" s="73"/>
      <c r="P1053" s="185"/>
      <c r="Q1053" s="58"/>
      <c r="S1053" s="8"/>
    </row>
    <row r="1054" spans="1:19" s="1" customFormat="1" ht="16.5" hidden="1" customHeight="1" x14ac:dyDescent="0.3">
      <c r="A1054" s="11"/>
      <c r="B1054" s="75" t="s">
        <v>609</v>
      </c>
      <c r="C1054" s="483">
        <v>45790.40625</v>
      </c>
      <c r="D1054" s="484"/>
      <c r="E1054" s="485"/>
      <c r="F1054" s="78" t="s">
        <v>429</v>
      </c>
      <c r="G1054" s="78">
        <v>4800</v>
      </c>
      <c r="H1054" s="53" t="s">
        <v>147</v>
      </c>
      <c r="I1054" s="73" t="s">
        <v>9</v>
      </c>
      <c r="J1054" s="53"/>
      <c r="K1054" s="75"/>
      <c r="L1054" s="54"/>
      <c r="M1054" s="75"/>
      <c r="N1054" s="145"/>
      <c r="O1054" s="73"/>
      <c r="P1054" s="185"/>
      <c r="Q1054" s="58" t="s">
        <v>956</v>
      </c>
      <c r="S1054" s="8"/>
    </row>
    <row r="1055" spans="1:19" s="1" customFormat="1" ht="16.5" hidden="1" customHeight="1" x14ac:dyDescent="0.3">
      <c r="A1055" s="11"/>
      <c r="B1055" s="95" t="s">
        <v>586</v>
      </c>
      <c r="C1055" s="433">
        <v>45792.25</v>
      </c>
      <c r="D1055" s="434"/>
      <c r="E1055" s="435"/>
      <c r="F1055" s="96" t="s">
        <v>429</v>
      </c>
      <c r="G1055" s="96">
        <v>7300</v>
      </c>
      <c r="H1055" s="152" t="s">
        <v>591</v>
      </c>
      <c r="I1055" s="86" t="s">
        <v>9</v>
      </c>
      <c r="J1055" s="52"/>
      <c r="K1055" s="95"/>
      <c r="L1055" s="51"/>
      <c r="M1055" s="95"/>
      <c r="N1055" s="124"/>
      <c r="O1055" s="86"/>
      <c r="P1055" s="179"/>
      <c r="Q1055" s="151"/>
      <c r="S1055" s="8"/>
    </row>
    <row r="1056" spans="1:19" s="1" customFormat="1" ht="16.5" hidden="1" customHeight="1" x14ac:dyDescent="0.3">
      <c r="A1056" s="11"/>
      <c r="B1056" s="95" t="s">
        <v>538</v>
      </c>
      <c r="C1056" s="433">
        <v>45792.875</v>
      </c>
      <c r="D1056" s="434"/>
      <c r="E1056" s="435"/>
      <c r="F1056" s="96" t="s">
        <v>429</v>
      </c>
      <c r="G1056" s="96">
        <v>5100</v>
      </c>
      <c r="H1056" s="152" t="s">
        <v>134</v>
      </c>
      <c r="I1056" s="86" t="s">
        <v>9</v>
      </c>
      <c r="J1056" s="52"/>
      <c r="K1056" s="95"/>
      <c r="L1056" s="51"/>
      <c r="M1056" s="95"/>
      <c r="N1056" s="124"/>
      <c r="O1056" s="86"/>
      <c r="P1056" s="179"/>
      <c r="Q1056" s="151"/>
      <c r="S1056" s="8"/>
    </row>
    <row r="1057" spans="1:19" s="1" customFormat="1" ht="16.5" hidden="1" customHeight="1" x14ac:dyDescent="0.3">
      <c r="A1057" s="11"/>
      <c r="B1057" s="95" t="s">
        <v>574</v>
      </c>
      <c r="C1057" s="433">
        <v>45793.75</v>
      </c>
      <c r="D1057" s="434"/>
      <c r="E1057" s="435"/>
      <c r="F1057" s="96" t="s">
        <v>429</v>
      </c>
      <c r="G1057" s="96">
        <v>7500</v>
      </c>
      <c r="H1057" s="52"/>
      <c r="I1057" s="86" t="s">
        <v>9</v>
      </c>
      <c r="J1057" s="52"/>
      <c r="K1057" s="95"/>
      <c r="L1057" s="51"/>
      <c r="M1057" s="95"/>
      <c r="N1057" s="124"/>
      <c r="O1057" s="86"/>
      <c r="P1057" s="179"/>
      <c r="Q1057" s="151"/>
      <c r="S1057" s="8"/>
    </row>
    <row r="1058" spans="1:19" s="1" customFormat="1" ht="16.5" hidden="1" customHeight="1" x14ac:dyDescent="0.3">
      <c r="A1058" s="11"/>
      <c r="B1058" s="75" t="s">
        <v>952</v>
      </c>
      <c r="C1058" s="483">
        <v>45795.120833333334</v>
      </c>
      <c r="D1058" s="484"/>
      <c r="E1058" s="485"/>
      <c r="F1058" s="78" t="s">
        <v>654</v>
      </c>
      <c r="G1058" s="78">
        <v>25000</v>
      </c>
      <c r="H1058" s="53"/>
      <c r="I1058" s="73" t="s">
        <v>9</v>
      </c>
      <c r="J1058" s="53"/>
      <c r="K1058" s="75"/>
      <c r="L1058" s="54"/>
      <c r="M1058" s="75"/>
      <c r="N1058" s="145"/>
      <c r="O1058" s="73"/>
      <c r="P1058" s="185"/>
      <c r="Q1058" s="58"/>
      <c r="S1058" s="8"/>
    </row>
    <row r="1059" spans="1:19" s="1" customFormat="1" ht="16.5" hidden="1" customHeight="1" x14ac:dyDescent="0.3">
      <c r="A1059" s="11"/>
      <c r="B1059" s="95" t="s">
        <v>537</v>
      </c>
      <c r="C1059" s="433">
        <v>45797.75</v>
      </c>
      <c r="D1059" s="434"/>
      <c r="E1059" s="435"/>
      <c r="F1059" s="96" t="s">
        <v>429</v>
      </c>
      <c r="G1059" s="96">
        <v>5900</v>
      </c>
      <c r="H1059" s="52" t="s">
        <v>582</v>
      </c>
      <c r="I1059" s="86" t="s">
        <v>9</v>
      </c>
      <c r="J1059" s="52"/>
      <c r="K1059" s="95"/>
      <c r="L1059" s="51"/>
      <c r="M1059" s="95"/>
      <c r="N1059" s="124"/>
      <c r="O1059" s="86"/>
      <c r="P1059" s="179"/>
      <c r="Q1059" s="151"/>
      <c r="S1059" s="8"/>
    </row>
    <row r="1060" spans="1:19" s="1" customFormat="1" ht="16.5" hidden="1" customHeight="1" x14ac:dyDescent="0.3">
      <c r="A1060" s="11"/>
      <c r="B1060" s="75" t="s">
        <v>609</v>
      </c>
      <c r="C1060" s="483">
        <v>45798.295138888891</v>
      </c>
      <c r="D1060" s="484"/>
      <c r="E1060" s="485"/>
      <c r="F1060" s="78" t="s">
        <v>429</v>
      </c>
      <c r="G1060" s="78">
        <v>4800</v>
      </c>
      <c r="H1060" s="53" t="s">
        <v>147</v>
      </c>
      <c r="I1060" s="73" t="s">
        <v>9</v>
      </c>
      <c r="J1060" s="53"/>
      <c r="K1060" s="75"/>
      <c r="L1060" s="54"/>
      <c r="M1060" s="75"/>
      <c r="N1060" s="145"/>
      <c r="O1060" s="73"/>
      <c r="P1060" s="185"/>
      <c r="Q1060" s="58"/>
      <c r="S1060" s="8"/>
    </row>
    <row r="1061" spans="1:19" s="1" customFormat="1" ht="16.5" hidden="1" customHeight="1" x14ac:dyDescent="0.3">
      <c r="A1061" s="11"/>
      <c r="B1061" s="75" t="s">
        <v>955</v>
      </c>
      <c r="C1061" s="411">
        <v>45799.008333333331</v>
      </c>
      <c r="D1061" s="412"/>
      <c r="E1061" s="413"/>
      <c r="F1061" s="78" t="s">
        <v>654</v>
      </c>
      <c r="G1061" s="78">
        <v>25000</v>
      </c>
      <c r="H1061" s="57"/>
      <c r="I1061" s="73" t="s">
        <v>9</v>
      </c>
      <c r="J1061" s="53"/>
      <c r="K1061" s="75"/>
      <c r="L1061" s="54"/>
      <c r="M1061" s="75"/>
      <c r="N1061" s="145"/>
      <c r="O1061" s="73"/>
      <c r="P1061" s="185" t="s">
        <v>16</v>
      </c>
      <c r="Q1061" s="58"/>
      <c r="S1061" s="8"/>
    </row>
    <row r="1062" spans="1:19" s="1" customFormat="1" ht="19.5" hidden="1" customHeight="1" x14ac:dyDescent="0.3">
      <c r="A1062" s="11"/>
      <c r="B1062" s="75" t="s">
        <v>916</v>
      </c>
      <c r="C1062" s="411">
        <v>45803.347222222219</v>
      </c>
      <c r="D1062" s="412"/>
      <c r="E1062" s="413"/>
      <c r="F1062" s="78" t="s">
        <v>654</v>
      </c>
      <c r="G1062" s="78">
        <v>24800</v>
      </c>
      <c r="H1062" s="57"/>
      <c r="I1062" s="73" t="s">
        <v>9</v>
      </c>
      <c r="J1062" s="53"/>
      <c r="K1062" s="75"/>
      <c r="L1062" s="54"/>
      <c r="M1062" s="104" t="s">
        <v>53</v>
      </c>
      <c r="N1062" s="145"/>
      <c r="O1062" s="73"/>
      <c r="P1062" s="185" t="s">
        <v>16</v>
      </c>
      <c r="Q1062" s="58" t="s">
        <v>973</v>
      </c>
      <c r="S1062" s="8"/>
    </row>
    <row r="1063" spans="1:19" s="1" customFormat="1" ht="19.5" hidden="1" customHeight="1" x14ac:dyDescent="0.3">
      <c r="A1063" s="11"/>
      <c r="B1063" s="95" t="s">
        <v>537</v>
      </c>
      <c r="C1063" s="395">
        <v>45806.958333333336</v>
      </c>
      <c r="D1063" s="396"/>
      <c r="E1063" s="397"/>
      <c r="F1063" s="96" t="s">
        <v>429</v>
      </c>
      <c r="G1063" s="96">
        <v>5900</v>
      </c>
      <c r="H1063" s="152" t="s">
        <v>582</v>
      </c>
      <c r="I1063" s="86" t="s">
        <v>9</v>
      </c>
      <c r="J1063" s="52"/>
      <c r="K1063" s="95"/>
      <c r="L1063" s="51"/>
      <c r="M1063" s="95"/>
      <c r="N1063" s="124"/>
      <c r="O1063" s="86"/>
      <c r="P1063" s="179"/>
      <c r="Q1063" s="151"/>
      <c r="S1063" s="8"/>
    </row>
    <row r="1064" spans="1:19" s="1" customFormat="1" ht="19.5" hidden="1" customHeight="1" x14ac:dyDescent="0.3">
      <c r="A1064" s="11"/>
      <c r="B1064" s="95" t="s">
        <v>538</v>
      </c>
      <c r="C1064" s="395">
        <v>45807.75</v>
      </c>
      <c r="D1064" s="396"/>
      <c r="E1064" s="397"/>
      <c r="F1064" s="96" t="s">
        <v>429</v>
      </c>
      <c r="G1064" s="96">
        <v>5100</v>
      </c>
      <c r="H1064" s="152" t="s">
        <v>147</v>
      </c>
      <c r="I1064" s="86" t="s">
        <v>9</v>
      </c>
      <c r="J1064" s="52"/>
      <c r="K1064" s="95"/>
      <c r="L1064" s="51"/>
      <c r="M1064" s="95"/>
      <c r="N1064" s="124"/>
      <c r="O1064" s="86"/>
      <c r="P1064" s="179"/>
      <c r="Q1064" s="151" t="s">
        <v>975</v>
      </c>
      <c r="S1064" s="8"/>
    </row>
    <row r="1065" spans="1:19" s="1" customFormat="1" ht="19.5" hidden="1" customHeight="1" x14ac:dyDescent="0.3">
      <c r="A1065" s="11"/>
      <c r="B1065" s="95" t="s">
        <v>609</v>
      </c>
      <c r="C1065" s="395">
        <v>45809.291666666664</v>
      </c>
      <c r="D1065" s="396"/>
      <c r="E1065" s="397"/>
      <c r="F1065" s="96" t="s">
        <v>429</v>
      </c>
      <c r="G1065" s="96">
        <v>4800</v>
      </c>
      <c r="H1065" s="152" t="s">
        <v>147</v>
      </c>
      <c r="I1065" s="86" t="s">
        <v>9</v>
      </c>
      <c r="J1065" s="52"/>
      <c r="K1065" s="95"/>
      <c r="L1065" s="51"/>
      <c r="M1065" s="100"/>
      <c r="N1065" s="124"/>
      <c r="O1065" s="86"/>
      <c r="P1065" s="179" t="s">
        <v>16</v>
      </c>
      <c r="Q1065" s="151"/>
      <c r="S1065" s="8"/>
    </row>
    <row r="1066" spans="1:19" s="1" customFormat="1" ht="19.5" hidden="1" customHeight="1" x14ac:dyDescent="0.3">
      <c r="A1066" s="11"/>
      <c r="B1066" s="75" t="s">
        <v>974</v>
      </c>
      <c r="C1066" s="411">
        <v>45809.881944444445</v>
      </c>
      <c r="D1066" s="412"/>
      <c r="E1066" s="413"/>
      <c r="F1066" s="78" t="s">
        <v>654</v>
      </c>
      <c r="G1066" s="78">
        <v>27500</v>
      </c>
      <c r="H1066" s="57"/>
      <c r="I1066" s="73" t="s">
        <v>9</v>
      </c>
      <c r="J1066" s="53"/>
      <c r="K1066" s="75"/>
      <c r="L1066" s="54"/>
      <c r="M1066" s="63" t="s">
        <v>16</v>
      </c>
      <c r="N1066" s="145"/>
      <c r="O1066" s="73"/>
      <c r="P1066" s="185" t="s">
        <v>16</v>
      </c>
      <c r="Q1066" s="58"/>
      <c r="S1066" s="8"/>
    </row>
    <row r="1067" spans="1:19" s="1" customFormat="1" ht="19.5" hidden="1" customHeight="1" x14ac:dyDescent="0.3">
      <c r="A1067" s="11"/>
      <c r="B1067" s="75" t="s">
        <v>538</v>
      </c>
      <c r="C1067" s="411">
        <v>45812.53125</v>
      </c>
      <c r="D1067" s="412"/>
      <c r="E1067" s="413"/>
      <c r="F1067" s="78" t="s">
        <v>429</v>
      </c>
      <c r="G1067" s="78">
        <v>5100</v>
      </c>
      <c r="H1067" s="57"/>
      <c r="I1067" s="73" t="s">
        <v>9</v>
      </c>
      <c r="J1067" s="53"/>
      <c r="K1067" s="75"/>
      <c r="L1067" s="54"/>
      <c r="M1067" s="75"/>
      <c r="N1067" s="145"/>
      <c r="O1067" s="73"/>
      <c r="P1067" s="185"/>
      <c r="Q1067" s="58" t="s">
        <v>984</v>
      </c>
      <c r="S1067" s="8"/>
    </row>
    <row r="1068" spans="1:19" s="1" customFormat="1" ht="19.5" hidden="1" customHeight="1" x14ac:dyDescent="0.3">
      <c r="A1068" s="11"/>
      <c r="B1068" s="95" t="s">
        <v>537</v>
      </c>
      <c r="C1068" s="395">
        <v>45813.75</v>
      </c>
      <c r="D1068" s="396"/>
      <c r="E1068" s="397"/>
      <c r="F1068" s="96" t="s">
        <v>429</v>
      </c>
      <c r="G1068" s="96">
        <v>5900</v>
      </c>
      <c r="H1068" s="152" t="s">
        <v>582</v>
      </c>
      <c r="I1068" s="86" t="s">
        <v>9</v>
      </c>
      <c r="J1068" s="52"/>
      <c r="K1068" s="95"/>
      <c r="L1068" s="51"/>
      <c r="M1068" s="95"/>
      <c r="N1068" s="124"/>
      <c r="O1068" s="86"/>
      <c r="P1068" s="179"/>
      <c r="Q1068" s="151"/>
      <c r="S1068" s="8"/>
    </row>
    <row r="1069" spans="1:19" s="1" customFormat="1" ht="19.5" hidden="1" customHeight="1" x14ac:dyDescent="0.3">
      <c r="A1069" s="11"/>
      <c r="B1069" s="95" t="s">
        <v>574</v>
      </c>
      <c r="C1069" s="395">
        <v>45814.875</v>
      </c>
      <c r="D1069" s="396"/>
      <c r="E1069" s="397"/>
      <c r="F1069" s="96" t="s">
        <v>429</v>
      </c>
      <c r="G1069" s="96">
        <v>7500</v>
      </c>
      <c r="H1069" s="152" t="s">
        <v>591</v>
      </c>
      <c r="I1069" s="86" t="s">
        <v>9</v>
      </c>
      <c r="J1069" s="52"/>
      <c r="K1069" s="95"/>
      <c r="L1069" s="51"/>
      <c r="M1069" s="95"/>
      <c r="N1069" s="124"/>
      <c r="O1069" s="86"/>
      <c r="P1069" s="179"/>
      <c r="Q1069" s="151"/>
      <c r="S1069" s="8"/>
    </row>
    <row r="1070" spans="1:19" s="1" customFormat="1" ht="19.5" hidden="1" customHeight="1" x14ac:dyDescent="0.3">
      <c r="A1070" s="11"/>
      <c r="B1070" s="75" t="s">
        <v>538</v>
      </c>
      <c r="C1070" s="411">
        <v>45817.395833333336</v>
      </c>
      <c r="D1070" s="412"/>
      <c r="E1070" s="413"/>
      <c r="F1070" s="78" t="s">
        <v>429</v>
      </c>
      <c r="G1070" s="78">
        <v>5100</v>
      </c>
      <c r="H1070" s="57" t="s">
        <v>147</v>
      </c>
      <c r="I1070" s="73" t="s">
        <v>9</v>
      </c>
      <c r="J1070" s="53"/>
      <c r="K1070" s="75"/>
      <c r="L1070" s="54"/>
      <c r="M1070" s="75"/>
      <c r="N1070" s="145"/>
      <c r="O1070" s="73"/>
      <c r="P1070" s="185"/>
      <c r="Q1070" s="58"/>
      <c r="S1070" s="8"/>
    </row>
    <row r="1071" spans="1:19" s="1" customFormat="1" ht="19.5" hidden="1" customHeight="1" x14ac:dyDescent="0.3">
      <c r="A1071" s="11" t="s">
        <v>991</v>
      </c>
      <c r="B1071" s="75" t="s">
        <v>983</v>
      </c>
      <c r="C1071" s="411">
        <v>45820.625</v>
      </c>
      <c r="D1071" s="412"/>
      <c r="E1071" s="413"/>
      <c r="F1071" s="78" t="s">
        <v>654</v>
      </c>
      <c r="G1071" s="78">
        <v>25000</v>
      </c>
      <c r="H1071" s="57"/>
      <c r="I1071" s="73" t="s">
        <v>9</v>
      </c>
      <c r="J1071" s="53"/>
      <c r="K1071" s="75"/>
      <c r="L1071" s="54"/>
      <c r="M1071" s="75" t="s">
        <v>16</v>
      </c>
      <c r="N1071" s="145"/>
      <c r="O1071" s="73"/>
      <c r="P1071" s="185" t="s">
        <v>16</v>
      </c>
      <c r="Q1071" s="58"/>
      <c r="S1071" s="8"/>
    </row>
    <row r="1072" spans="1:19" s="1" customFormat="1" ht="19.5" hidden="1" customHeight="1" x14ac:dyDescent="0.3">
      <c r="A1072" s="11"/>
      <c r="B1072" s="75" t="s">
        <v>537</v>
      </c>
      <c r="C1072" s="411">
        <v>45823.892361111109</v>
      </c>
      <c r="D1072" s="412"/>
      <c r="E1072" s="413"/>
      <c r="F1072" s="78" t="s">
        <v>429</v>
      </c>
      <c r="G1072" s="78">
        <v>5900</v>
      </c>
      <c r="H1072" s="57" t="s">
        <v>582</v>
      </c>
      <c r="I1072" s="73" t="s">
        <v>9</v>
      </c>
      <c r="J1072" s="53"/>
      <c r="K1072" s="75"/>
      <c r="L1072" s="54"/>
      <c r="M1072" s="75"/>
      <c r="N1072" s="145"/>
      <c r="O1072" s="73"/>
      <c r="P1072" s="185"/>
      <c r="Q1072" s="58"/>
      <c r="S1072" s="8"/>
    </row>
    <row r="1073" spans="1:19" s="1" customFormat="1" ht="19.5" hidden="1" customHeight="1" x14ac:dyDescent="0.3">
      <c r="A1073" s="11"/>
      <c r="B1073" s="75" t="s">
        <v>974</v>
      </c>
      <c r="C1073" s="411">
        <v>45825.034722222219</v>
      </c>
      <c r="D1073" s="412"/>
      <c r="E1073" s="413"/>
      <c r="F1073" s="78" t="s">
        <v>654</v>
      </c>
      <c r="G1073" s="78">
        <v>27500</v>
      </c>
      <c r="H1073" s="57"/>
      <c r="I1073" s="73" t="s">
        <v>9</v>
      </c>
      <c r="J1073" s="53"/>
      <c r="K1073" s="75"/>
      <c r="L1073" s="54"/>
      <c r="M1073" s="75" t="s">
        <v>16</v>
      </c>
      <c r="N1073" s="145"/>
      <c r="O1073" s="73"/>
      <c r="P1073" s="185" t="s">
        <v>16</v>
      </c>
      <c r="Q1073" s="58"/>
      <c r="S1073" s="8"/>
    </row>
    <row r="1074" spans="1:19" s="1" customFormat="1" ht="19.5" hidden="1" customHeight="1" x14ac:dyDescent="0.3">
      <c r="A1074" s="11"/>
      <c r="B1074" s="95" t="s">
        <v>721</v>
      </c>
      <c r="C1074" s="395">
        <v>45828.75</v>
      </c>
      <c r="D1074" s="396"/>
      <c r="E1074" s="397"/>
      <c r="F1074" s="96" t="s">
        <v>429</v>
      </c>
      <c r="G1074" s="96">
        <v>6900</v>
      </c>
      <c r="H1074" s="152" t="s">
        <v>581</v>
      </c>
      <c r="I1074" s="86" t="s">
        <v>9</v>
      </c>
      <c r="J1074" s="52"/>
      <c r="K1074" s="95"/>
      <c r="L1074" s="51"/>
      <c r="M1074" s="95"/>
      <c r="N1074" s="124"/>
      <c r="O1074" s="86"/>
      <c r="P1074" s="179"/>
      <c r="Q1074" s="151"/>
      <c r="S1074" s="8"/>
    </row>
    <row r="1075" spans="1:19" s="1" customFormat="1" ht="19.5" hidden="1" customHeight="1" x14ac:dyDescent="0.3">
      <c r="A1075" s="11"/>
      <c r="B1075" s="95" t="s">
        <v>933</v>
      </c>
      <c r="C1075" s="395">
        <v>45829.333333333336</v>
      </c>
      <c r="D1075" s="396"/>
      <c r="E1075" s="397"/>
      <c r="F1075" s="96" t="s">
        <v>429</v>
      </c>
      <c r="G1075" s="96">
        <v>4800</v>
      </c>
      <c r="H1075" s="152" t="s">
        <v>147</v>
      </c>
      <c r="I1075" s="86"/>
      <c r="J1075" s="52"/>
      <c r="K1075" s="95"/>
      <c r="L1075" s="51"/>
      <c r="M1075" s="95"/>
      <c r="N1075" s="124"/>
      <c r="O1075" s="86"/>
      <c r="P1075" s="179"/>
      <c r="Q1075" s="151"/>
      <c r="S1075" s="8"/>
    </row>
    <row r="1076" spans="1:19" s="1" customFormat="1" ht="19.5" hidden="1" customHeight="1" x14ac:dyDescent="0.3">
      <c r="A1076" s="11"/>
      <c r="B1076" s="75" t="s">
        <v>126</v>
      </c>
      <c r="C1076" s="411">
        <v>45829.333333333336</v>
      </c>
      <c r="D1076" s="412"/>
      <c r="E1076" s="413"/>
      <c r="F1076" s="78" t="s">
        <v>654</v>
      </c>
      <c r="G1076" s="78">
        <v>23000</v>
      </c>
      <c r="H1076" s="57"/>
      <c r="I1076" s="73" t="s">
        <v>9</v>
      </c>
      <c r="J1076" s="53"/>
      <c r="K1076" s="75"/>
      <c r="L1076" s="54"/>
      <c r="M1076" s="75" t="s">
        <v>16</v>
      </c>
      <c r="N1076" s="145"/>
      <c r="O1076" s="73"/>
      <c r="P1076" s="185" t="s">
        <v>16</v>
      </c>
      <c r="Q1076" s="58"/>
      <c r="S1076" s="8"/>
    </row>
    <row r="1077" spans="1:19" s="1" customFormat="1" ht="19.5" hidden="1" customHeight="1" x14ac:dyDescent="0.3">
      <c r="A1077" s="11"/>
      <c r="B1077" s="75" t="s">
        <v>537</v>
      </c>
      <c r="C1077" s="411">
        <v>45832.75</v>
      </c>
      <c r="D1077" s="412"/>
      <c r="E1077" s="413"/>
      <c r="F1077" s="78" t="s">
        <v>429</v>
      </c>
      <c r="G1077" s="78">
        <v>6000</v>
      </c>
      <c r="H1077" s="57" t="s">
        <v>582</v>
      </c>
      <c r="I1077" s="73" t="s">
        <v>9</v>
      </c>
      <c r="J1077" s="53"/>
      <c r="K1077" s="75"/>
      <c r="L1077" s="54"/>
      <c r="M1077" s="75"/>
      <c r="N1077" s="145"/>
      <c r="O1077" s="73"/>
      <c r="P1077" s="185"/>
      <c r="Q1077" s="58"/>
      <c r="S1077" s="8"/>
    </row>
    <row r="1078" spans="1:19" s="1" customFormat="1" ht="19.5" hidden="1" customHeight="1" x14ac:dyDescent="0.3">
      <c r="A1078" s="11"/>
      <c r="B1078" s="75" t="s">
        <v>609</v>
      </c>
      <c r="C1078" s="411">
        <v>45833.309027777781</v>
      </c>
      <c r="D1078" s="412"/>
      <c r="E1078" s="413"/>
      <c r="F1078" s="78" t="s">
        <v>429</v>
      </c>
      <c r="G1078" s="78">
        <v>4800</v>
      </c>
      <c r="H1078" s="57" t="s">
        <v>147</v>
      </c>
      <c r="I1078" s="73" t="s">
        <v>9</v>
      </c>
      <c r="J1078" s="53"/>
      <c r="K1078" s="75"/>
      <c r="L1078" s="54"/>
      <c r="M1078" s="75"/>
      <c r="N1078" s="145"/>
      <c r="O1078" s="73"/>
      <c r="P1078" s="185"/>
      <c r="Q1078" s="58"/>
      <c r="S1078" s="8"/>
    </row>
    <row r="1079" spans="1:19" s="1" customFormat="1" ht="19.5" hidden="1" customHeight="1" x14ac:dyDescent="0.3">
      <c r="A1079" s="11"/>
      <c r="B1079" s="75" t="s">
        <v>721</v>
      </c>
      <c r="C1079" s="411">
        <v>45833.791666666664</v>
      </c>
      <c r="D1079" s="412"/>
      <c r="E1079" s="413"/>
      <c r="F1079" s="78" t="s">
        <v>429</v>
      </c>
      <c r="G1079" s="78">
        <v>6900</v>
      </c>
      <c r="H1079" s="57" t="s">
        <v>591</v>
      </c>
      <c r="I1079" s="73" t="s">
        <v>9</v>
      </c>
      <c r="J1079" s="53"/>
      <c r="K1079" s="75"/>
      <c r="L1079" s="54"/>
      <c r="M1079" s="75"/>
      <c r="N1079" s="145"/>
      <c r="O1079" s="73"/>
      <c r="P1079" s="185"/>
      <c r="Q1079" s="58"/>
      <c r="S1079" s="8"/>
    </row>
    <row r="1080" spans="1:19" s="1" customFormat="1" ht="19.5" hidden="1" customHeight="1" x14ac:dyDescent="0.3">
      <c r="A1080" s="11"/>
      <c r="B1080" s="75" t="s">
        <v>574</v>
      </c>
      <c r="C1080" s="411">
        <v>45835.75</v>
      </c>
      <c r="D1080" s="412"/>
      <c r="E1080" s="413"/>
      <c r="F1080" s="78" t="s">
        <v>429</v>
      </c>
      <c r="G1080" s="78">
        <v>7500</v>
      </c>
      <c r="H1080" s="57" t="s">
        <v>591</v>
      </c>
      <c r="I1080" s="73" t="s">
        <v>9</v>
      </c>
      <c r="J1080" s="53"/>
      <c r="K1080" s="75"/>
      <c r="L1080" s="54"/>
      <c r="M1080" s="75"/>
      <c r="N1080" s="145"/>
      <c r="O1080" s="73"/>
      <c r="P1080" s="185"/>
      <c r="Q1080" s="58"/>
      <c r="S1080" s="8"/>
    </row>
    <row r="1081" spans="1:19" s="1" customFormat="1" ht="19.5" hidden="1" customHeight="1" x14ac:dyDescent="0.3">
      <c r="A1081" s="11"/>
      <c r="B1081" s="95" t="s">
        <v>933</v>
      </c>
      <c r="C1081" s="395" t="s">
        <v>1008</v>
      </c>
      <c r="D1081" s="396"/>
      <c r="E1081" s="397"/>
      <c r="F1081" s="96" t="s">
        <v>429</v>
      </c>
      <c r="G1081" s="96">
        <v>4800</v>
      </c>
      <c r="H1081" s="152" t="s">
        <v>147</v>
      </c>
      <c r="I1081" s="86" t="s">
        <v>9</v>
      </c>
      <c r="J1081" s="52"/>
      <c r="K1081" s="95"/>
      <c r="L1081" s="51"/>
      <c r="M1081" s="95"/>
      <c r="N1081" s="124"/>
      <c r="O1081" s="86"/>
      <c r="P1081" s="179"/>
      <c r="Q1081" s="151"/>
      <c r="S1081" s="8"/>
    </row>
    <row r="1082" spans="1:19" s="1" customFormat="1" ht="19.5" hidden="1" customHeight="1" x14ac:dyDescent="0.3">
      <c r="A1082" s="11"/>
      <c r="B1082" s="95" t="s">
        <v>538</v>
      </c>
      <c r="C1082" s="395" t="s">
        <v>1007</v>
      </c>
      <c r="D1082" s="396"/>
      <c r="E1082" s="397"/>
      <c r="F1082" s="96" t="s">
        <v>429</v>
      </c>
      <c r="G1082" s="96">
        <v>5100</v>
      </c>
      <c r="H1082" s="152" t="s">
        <v>134</v>
      </c>
      <c r="I1082" s="86" t="s">
        <v>9</v>
      </c>
      <c r="J1082" s="52"/>
      <c r="K1082" s="95"/>
      <c r="L1082" s="51"/>
      <c r="M1082" s="95"/>
      <c r="N1082" s="124"/>
      <c r="O1082" s="86"/>
      <c r="P1082" s="179"/>
      <c r="Q1082" s="151"/>
      <c r="S1082" s="8"/>
    </row>
    <row r="1083" spans="1:19" s="1" customFormat="1" ht="16.5" hidden="1" customHeight="1" x14ac:dyDescent="0.3">
      <c r="A1083" s="11"/>
      <c r="B1083" s="75" t="s">
        <v>974</v>
      </c>
      <c r="C1083" s="411">
        <v>45838.256944444445</v>
      </c>
      <c r="D1083" s="412"/>
      <c r="E1083" s="413"/>
      <c r="F1083" s="78" t="s">
        <v>654</v>
      </c>
      <c r="G1083" s="78">
        <v>27500</v>
      </c>
      <c r="H1083" s="57"/>
      <c r="I1083" s="73" t="s">
        <v>9</v>
      </c>
      <c r="J1083" s="53"/>
      <c r="K1083" s="75"/>
      <c r="L1083" s="54"/>
      <c r="M1083" s="75" t="s">
        <v>16</v>
      </c>
      <c r="N1083" s="145"/>
      <c r="O1083" s="73"/>
      <c r="P1083" s="185" t="s">
        <v>16</v>
      </c>
      <c r="Q1083" s="58"/>
      <c r="S1083" s="8"/>
    </row>
    <row r="1084" spans="1:19" s="1" customFormat="1" ht="16.5" hidden="1" customHeight="1" x14ac:dyDescent="0.3">
      <c r="A1084" s="11"/>
      <c r="B1084" s="95" t="s">
        <v>586</v>
      </c>
      <c r="C1084" s="395">
        <v>45840.791666666664</v>
      </c>
      <c r="D1084" s="396"/>
      <c r="E1084" s="397"/>
      <c r="F1084" s="96" t="s">
        <v>429</v>
      </c>
      <c r="G1084" s="96">
        <v>7300</v>
      </c>
      <c r="H1084" s="152" t="s">
        <v>591</v>
      </c>
      <c r="I1084" s="86" t="s">
        <v>9</v>
      </c>
      <c r="J1084" s="52"/>
      <c r="K1084" s="95"/>
      <c r="L1084" s="51"/>
      <c r="M1084" s="95"/>
      <c r="N1084" s="124"/>
      <c r="O1084" s="86"/>
      <c r="P1084" s="179"/>
      <c r="Q1084" s="151"/>
      <c r="S1084" s="8"/>
    </row>
    <row r="1085" spans="1:19" s="1" customFormat="1" ht="16.5" hidden="1" customHeight="1" x14ac:dyDescent="0.3">
      <c r="A1085" s="11"/>
      <c r="B1085" s="75" t="s">
        <v>609</v>
      </c>
      <c r="C1085" s="411">
        <v>45841.451388888891</v>
      </c>
      <c r="D1085" s="412"/>
      <c r="E1085" s="413"/>
      <c r="F1085" s="78" t="s">
        <v>429</v>
      </c>
      <c r="G1085" s="78">
        <v>4800</v>
      </c>
      <c r="H1085" s="57" t="s">
        <v>147</v>
      </c>
      <c r="I1085" s="73" t="s">
        <v>9</v>
      </c>
      <c r="J1085" s="53"/>
      <c r="K1085" s="75"/>
      <c r="L1085" s="54"/>
      <c r="M1085" s="75"/>
      <c r="N1085" s="145"/>
      <c r="O1085" s="73"/>
      <c r="P1085" s="185"/>
      <c r="Q1085" s="58"/>
      <c r="S1085" s="8"/>
    </row>
    <row r="1086" spans="1:19" s="1" customFormat="1" ht="16.5" hidden="1" customHeight="1" x14ac:dyDescent="0.3">
      <c r="A1086" s="11"/>
      <c r="B1086" s="75" t="s">
        <v>574</v>
      </c>
      <c r="C1086" s="411">
        <v>45841.954861111109</v>
      </c>
      <c r="D1086" s="412"/>
      <c r="E1086" s="413"/>
      <c r="F1086" s="78" t="s">
        <v>429</v>
      </c>
      <c r="G1086" s="78">
        <v>7500</v>
      </c>
      <c r="H1086" s="57" t="s">
        <v>133</v>
      </c>
      <c r="I1086" s="73" t="s">
        <v>9</v>
      </c>
      <c r="J1086" s="53"/>
      <c r="K1086" s="75"/>
      <c r="L1086" s="54"/>
      <c r="M1086" s="75"/>
      <c r="N1086" s="145"/>
      <c r="O1086" s="73"/>
      <c r="P1086" s="185"/>
      <c r="Q1086" s="58"/>
      <c r="S1086" s="8"/>
    </row>
    <row r="1087" spans="1:19" s="1" customFormat="1" ht="16.5" hidden="1" customHeight="1" x14ac:dyDescent="0.3">
      <c r="A1087" s="11"/>
      <c r="B1087" s="95" t="s">
        <v>98</v>
      </c>
      <c r="C1087" s="395">
        <v>45843.375</v>
      </c>
      <c r="D1087" s="396"/>
      <c r="E1087" s="397"/>
      <c r="F1087" s="96" t="s">
        <v>429</v>
      </c>
      <c r="G1087" s="96">
        <v>6600</v>
      </c>
      <c r="H1087" s="152" t="s">
        <v>582</v>
      </c>
      <c r="I1087" s="86" t="s">
        <v>9</v>
      </c>
      <c r="J1087" s="52"/>
      <c r="K1087" s="95"/>
      <c r="L1087" s="51"/>
      <c r="M1087" s="95"/>
      <c r="N1087" s="124"/>
      <c r="O1087" s="86"/>
      <c r="P1087" s="179"/>
      <c r="Q1087" s="151"/>
      <c r="S1087" s="8"/>
    </row>
    <row r="1088" spans="1:19" s="1" customFormat="1" ht="16.5" hidden="1" customHeight="1" x14ac:dyDescent="0.3">
      <c r="A1088" s="11"/>
      <c r="B1088" s="95" t="s">
        <v>933</v>
      </c>
      <c r="C1088" s="395">
        <v>45844.416666666664</v>
      </c>
      <c r="D1088" s="396"/>
      <c r="E1088" s="397"/>
      <c r="F1088" s="96" t="s">
        <v>429</v>
      </c>
      <c r="G1088" s="96">
        <v>4800</v>
      </c>
      <c r="H1088" s="152" t="s">
        <v>147</v>
      </c>
      <c r="I1088" s="86" t="s">
        <v>9</v>
      </c>
      <c r="J1088" s="52"/>
      <c r="K1088" s="95"/>
      <c r="L1088" s="51"/>
      <c r="M1088" s="95"/>
      <c r="N1088" s="124"/>
      <c r="O1088" s="86"/>
      <c r="P1088" s="179"/>
      <c r="Q1088" s="151"/>
      <c r="S1088" s="8"/>
    </row>
    <row r="1089" spans="1:19" s="1" customFormat="1" ht="19.5" hidden="1" customHeight="1" x14ac:dyDescent="0.3">
      <c r="A1089" s="11"/>
      <c r="B1089" s="95" t="s">
        <v>536</v>
      </c>
      <c r="C1089" s="395">
        <v>45846.75</v>
      </c>
      <c r="D1089" s="396"/>
      <c r="E1089" s="397"/>
      <c r="F1089" s="96" t="s">
        <v>429</v>
      </c>
      <c r="G1089" s="96">
        <v>8100</v>
      </c>
      <c r="H1089" s="152" t="s">
        <v>581</v>
      </c>
      <c r="I1089" s="86" t="s">
        <v>9</v>
      </c>
      <c r="J1089" s="52"/>
      <c r="K1089" s="95"/>
      <c r="L1089" s="51"/>
      <c r="M1089" s="95"/>
      <c r="N1089" s="124"/>
      <c r="O1089" s="86"/>
      <c r="P1089" s="179"/>
      <c r="Q1089" s="151"/>
      <c r="S1089" s="8"/>
    </row>
    <row r="1090" spans="1:19" s="1" customFormat="1" ht="19.5" hidden="1" customHeight="1" x14ac:dyDescent="0.3">
      <c r="A1090" s="11"/>
      <c r="B1090" s="95" t="s">
        <v>538</v>
      </c>
      <c r="C1090" s="395">
        <v>45847.875</v>
      </c>
      <c r="D1090" s="396"/>
      <c r="E1090" s="397"/>
      <c r="F1090" s="96" t="s">
        <v>429</v>
      </c>
      <c r="G1090" s="96">
        <v>7300</v>
      </c>
      <c r="H1090" s="152" t="s">
        <v>134</v>
      </c>
      <c r="I1090" s="86" t="s">
        <v>9</v>
      </c>
      <c r="J1090" s="52"/>
      <c r="K1090" s="95"/>
      <c r="L1090" s="51"/>
      <c r="M1090" s="95"/>
      <c r="N1090" s="124"/>
      <c r="O1090" s="86"/>
      <c r="P1090" s="179"/>
      <c r="Q1090" s="151"/>
      <c r="S1090" s="8"/>
    </row>
    <row r="1091" spans="1:19" s="1" customFormat="1" ht="19.5" hidden="1" customHeight="1" x14ac:dyDescent="0.3">
      <c r="A1091" s="11"/>
      <c r="B1091" s="75" t="s">
        <v>586</v>
      </c>
      <c r="C1091" s="411">
        <v>45848.482638888891</v>
      </c>
      <c r="D1091" s="412"/>
      <c r="E1091" s="413"/>
      <c r="F1091" s="78" t="s">
        <v>429</v>
      </c>
      <c r="G1091" s="78">
        <v>5100</v>
      </c>
      <c r="H1091" s="57" t="s">
        <v>134</v>
      </c>
      <c r="I1091" s="73" t="s">
        <v>9</v>
      </c>
      <c r="J1091" s="53"/>
      <c r="K1091" s="75"/>
      <c r="L1091" s="54"/>
      <c r="M1091" s="75"/>
      <c r="N1091" s="145"/>
      <c r="O1091" s="73"/>
      <c r="P1091" s="185"/>
      <c r="Q1091" s="58"/>
      <c r="S1091" s="8"/>
    </row>
    <row r="1092" spans="1:19" s="1" customFormat="1" ht="19.5" hidden="1" customHeight="1" x14ac:dyDescent="0.3">
      <c r="A1092" s="11"/>
      <c r="B1092" s="85" t="s">
        <v>574</v>
      </c>
      <c r="C1092" s="452">
        <v>45849.75</v>
      </c>
      <c r="D1092" s="453"/>
      <c r="E1092" s="454"/>
      <c r="F1092" s="238" t="s">
        <v>429</v>
      </c>
      <c r="G1092" s="97">
        <v>7500</v>
      </c>
      <c r="H1092" s="239"/>
      <c r="I1092" s="69" t="s">
        <v>9</v>
      </c>
      <c r="J1092" s="240"/>
      <c r="K1092" s="85"/>
      <c r="L1092" s="241"/>
      <c r="M1092" s="235"/>
      <c r="N1092" s="242"/>
      <c r="O1092" s="69"/>
      <c r="P1092" s="243"/>
      <c r="Q1092" s="244"/>
      <c r="S1092" s="8"/>
    </row>
    <row r="1093" spans="1:19" s="1" customFormat="1" ht="19.5" hidden="1" customHeight="1" x14ac:dyDescent="0.3">
      <c r="A1093" s="11"/>
      <c r="B1093" s="245" t="s">
        <v>538</v>
      </c>
      <c r="C1093" s="411">
        <v>45852.270833333336</v>
      </c>
      <c r="D1093" s="412"/>
      <c r="E1093" s="413"/>
      <c r="F1093" s="247" t="s">
        <v>429</v>
      </c>
      <c r="G1093" s="78">
        <v>5100</v>
      </c>
      <c r="H1093" s="57" t="s">
        <v>573</v>
      </c>
      <c r="I1093" s="73" t="s">
        <v>9</v>
      </c>
      <c r="J1093" s="53"/>
      <c r="K1093" s="75"/>
      <c r="L1093" s="54"/>
      <c r="M1093" s="245"/>
      <c r="N1093" s="145"/>
      <c r="O1093" s="73"/>
      <c r="P1093" s="245"/>
      <c r="Q1093" s="248"/>
      <c r="S1093" s="8"/>
    </row>
    <row r="1094" spans="1:19" s="1" customFormat="1" ht="19.5" hidden="1" customHeight="1" x14ac:dyDescent="0.3">
      <c r="A1094" s="11"/>
      <c r="B1094" s="75" t="s">
        <v>1018</v>
      </c>
      <c r="C1094" s="411">
        <v>45852.833333333336</v>
      </c>
      <c r="D1094" s="412"/>
      <c r="E1094" s="413"/>
      <c r="F1094" s="247" t="s">
        <v>654</v>
      </c>
      <c r="G1094" s="78">
        <v>27500</v>
      </c>
      <c r="H1094" s="57"/>
      <c r="I1094" s="73" t="s">
        <v>9</v>
      </c>
      <c r="J1094" s="53"/>
      <c r="K1094" s="75"/>
      <c r="L1094" s="54"/>
      <c r="M1094" s="164" t="s">
        <v>16</v>
      </c>
      <c r="N1094" s="145"/>
      <c r="O1094" s="73"/>
      <c r="P1094" s="246" t="s">
        <v>16</v>
      </c>
      <c r="Q1094" s="250"/>
      <c r="S1094" s="8"/>
    </row>
    <row r="1095" spans="1:19" s="1" customFormat="1" ht="19.5" hidden="1" customHeight="1" x14ac:dyDescent="0.3">
      <c r="A1095" s="11"/>
      <c r="B1095" s="236" t="s">
        <v>536</v>
      </c>
      <c r="C1095" s="395" t="s">
        <v>1023</v>
      </c>
      <c r="D1095" s="396"/>
      <c r="E1095" s="397"/>
      <c r="F1095" s="238" t="s">
        <v>429</v>
      </c>
      <c r="G1095" s="96">
        <v>8100</v>
      </c>
      <c r="H1095" s="249" t="s">
        <v>581</v>
      </c>
      <c r="I1095" s="86" t="s">
        <v>9</v>
      </c>
      <c r="J1095" s="234"/>
      <c r="K1095" s="95"/>
      <c r="L1095" s="51"/>
      <c r="M1095" s="236"/>
      <c r="N1095" s="124"/>
      <c r="O1095" s="86"/>
      <c r="P1095" s="236"/>
      <c r="Q1095" s="237"/>
      <c r="S1095" s="8"/>
    </row>
    <row r="1096" spans="1:19" s="1" customFormat="1" ht="19.5" hidden="1" customHeight="1" x14ac:dyDescent="0.3">
      <c r="A1096" s="11"/>
      <c r="B1096" s="236" t="s">
        <v>586</v>
      </c>
      <c r="C1096" s="395" t="s">
        <v>1025</v>
      </c>
      <c r="D1096" s="396"/>
      <c r="E1096" s="397"/>
      <c r="F1096" s="238" t="s">
        <v>429</v>
      </c>
      <c r="G1096" s="96">
        <v>7300</v>
      </c>
      <c r="H1096" s="249" t="s">
        <v>581</v>
      </c>
      <c r="I1096" s="86" t="s">
        <v>9</v>
      </c>
      <c r="J1096" s="234"/>
      <c r="K1096" s="95"/>
      <c r="L1096" s="51"/>
      <c r="M1096" s="236"/>
      <c r="N1096" s="124"/>
      <c r="O1096" s="86"/>
      <c r="P1096" s="236"/>
      <c r="Q1096" s="237"/>
      <c r="S1096" s="8"/>
    </row>
    <row r="1097" spans="1:19" s="1" customFormat="1" ht="19.5" hidden="1" customHeight="1" x14ac:dyDescent="0.3">
      <c r="A1097" s="11"/>
      <c r="B1097" s="448" t="s">
        <v>1015</v>
      </c>
      <c r="C1097" s="499" t="s">
        <v>1022</v>
      </c>
      <c r="D1097" s="500"/>
      <c r="E1097" s="501"/>
      <c r="F1097" s="543" t="s">
        <v>1014</v>
      </c>
      <c r="G1097" s="78">
        <v>12000</v>
      </c>
      <c r="H1097" s="467" t="s">
        <v>224</v>
      </c>
      <c r="I1097" s="73" t="s">
        <v>23</v>
      </c>
      <c r="J1097" s="53" t="s">
        <v>962</v>
      </c>
      <c r="K1097" s="75"/>
      <c r="L1097" s="54"/>
      <c r="M1097" s="448" t="s">
        <v>16</v>
      </c>
      <c r="N1097" s="145"/>
      <c r="O1097" s="530"/>
      <c r="P1097" s="448" t="s">
        <v>16</v>
      </c>
      <c r="Q1097" s="511" t="s">
        <v>1016</v>
      </c>
      <c r="S1097" s="8"/>
    </row>
    <row r="1098" spans="1:19" s="1" customFormat="1" ht="19.5" hidden="1" customHeight="1" x14ac:dyDescent="0.3">
      <c r="A1098" s="11"/>
      <c r="B1098" s="449"/>
      <c r="C1098" s="502"/>
      <c r="D1098" s="503"/>
      <c r="E1098" s="504"/>
      <c r="F1098" s="544"/>
      <c r="G1098" s="252">
        <v>5000</v>
      </c>
      <c r="H1098" s="468"/>
      <c r="I1098" s="253" t="s">
        <v>18</v>
      </c>
      <c r="J1098" s="254" t="s">
        <v>1017</v>
      </c>
      <c r="K1098" s="75"/>
      <c r="L1098" s="54"/>
      <c r="M1098" s="449"/>
      <c r="N1098" s="145"/>
      <c r="O1098" s="531"/>
      <c r="P1098" s="449"/>
      <c r="Q1098" s="512"/>
      <c r="S1098" s="8"/>
    </row>
    <row r="1099" spans="1:19" s="1" customFormat="1" ht="19.5" hidden="1" customHeight="1" x14ac:dyDescent="0.3">
      <c r="A1099" s="11"/>
      <c r="B1099" s="236" t="s">
        <v>538</v>
      </c>
      <c r="C1099" s="395">
        <v>45859.708333333336</v>
      </c>
      <c r="D1099" s="396"/>
      <c r="E1099" s="397"/>
      <c r="F1099" s="238" t="s">
        <v>429</v>
      </c>
      <c r="G1099" s="96">
        <v>5100</v>
      </c>
      <c r="H1099" s="249" t="s">
        <v>134</v>
      </c>
      <c r="I1099" s="86" t="s">
        <v>9</v>
      </c>
      <c r="J1099" s="234"/>
      <c r="K1099" s="95"/>
      <c r="L1099" s="51"/>
      <c r="M1099" s="236"/>
      <c r="N1099" s="124"/>
      <c r="O1099" s="251"/>
      <c r="P1099" s="236"/>
      <c r="Q1099" s="237"/>
      <c r="S1099" s="8"/>
    </row>
    <row r="1100" spans="1:19" s="1" customFormat="1" ht="18.75" hidden="1" customHeight="1" x14ac:dyDescent="0.3">
      <c r="A1100" s="11"/>
      <c r="B1100" s="236" t="s">
        <v>933</v>
      </c>
      <c r="C1100" s="395">
        <v>45861.5</v>
      </c>
      <c r="D1100" s="396"/>
      <c r="E1100" s="397"/>
      <c r="F1100" s="238" t="s">
        <v>429</v>
      </c>
      <c r="G1100" s="96">
        <v>4800</v>
      </c>
      <c r="H1100" s="152" t="s">
        <v>147</v>
      </c>
      <c r="I1100" s="86" t="s">
        <v>9</v>
      </c>
      <c r="J1100" s="52"/>
      <c r="K1100" s="95"/>
      <c r="L1100" s="51"/>
      <c r="M1100" s="236"/>
      <c r="N1100" s="124"/>
      <c r="O1100" s="86"/>
      <c r="P1100" s="236"/>
      <c r="Q1100" s="237"/>
      <c r="S1100" s="8"/>
    </row>
    <row r="1101" spans="1:19" s="1" customFormat="1" ht="19.5" hidden="1" customHeight="1" x14ac:dyDescent="0.3">
      <c r="A1101" s="11"/>
      <c r="B1101" s="75" t="s">
        <v>1020</v>
      </c>
      <c r="C1101" s="411">
        <v>45863.75</v>
      </c>
      <c r="D1101" s="412"/>
      <c r="E1101" s="413"/>
      <c r="F1101" s="78" t="s">
        <v>654</v>
      </c>
      <c r="G1101" s="78">
        <v>27500</v>
      </c>
      <c r="H1101" s="57"/>
      <c r="I1101" s="73" t="s">
        <v>9</v>
      </c>
      <c r="J1101" s="53"/>
      <c r="K1101" s="75"/>
      <c r="L1101" s="54"/>
      <c r="M1101" s="75" t="s">
        <v>16</v>
      </c>
      <c r="N1101" s="145"/>
      <c r="O1101" s="73"/>
      <c r="P1101" s="185" t="s">
        <v>16</v>
      </c>
      <c r="Q1101" s="256" t="s">
        <v>1033</v>
      </c>
      <c r="S1101" s="8"/>
    </row>
    <row r="1102" spans="1:19" s="1" customFormat="1" ht="19.5" hidden="1" customHeight="1" x14ac:dyDescent="0.3">
      <c r="A1102" s="11"/>
      <c r="B1102" s="236" t="s">
        <v>574</v>
      </c>
      <c r="C1102" s="395">
        <v>45867.6875</v>
      </c>
      <c r="D1102" s="396"/>
      <c r="E1102" s="397"/>
      <c r="F1102" s="238" t="s">
        <v>429</v>
      </c>
      <c r="G1102" s="96">
        <v>7500</v>
      </c>
      <c r="H1102" s="152" t="s">
        <v>133</v>
      </c>
      <c r="I1102" s="86" t="s">
        <v>9</v>
      </c>
      <c r="J1102" s="52"/>
      <c r="K1102" s="95"/>
      <c r="L1102" s="51"/>
      <c r="M1102" s="236"/>
      <c r="N1102" s="124"/>
      <c r="O1102" s="86"/>
      <c r="P1102" s="236"/>
      <c r="Q1102" s="237"/>
      <c r="S1102" s="8"/>
    </row>
    <row r="1103" spans="1:19" s="1" customFormat="1" ht="19.5" hidden="1" customHeight="1" x14ac:dyDescent="0.3">
      <c r="A1103" s="11"/>
      <c r="B1103" s="245" t="s">
        <v>1027</v>
      </c>
      <c r="C1103" s="411">
        <v>45868.461805555555</v>
      </c>
      <c r="D1103" s="412"/>
      <c r="E1103" s="413"/>
      <c r="F1103" s="247" t="s">
        <v>429</v>
      </c>
      <c r="G1103" s="78">
        <v>4100</v>
      </c>
      <c r="H1103" s="57" t="s">
        <v>134</v>
      </c>
      <c r="I1103" s="73" t="s">
        <v>9</v>
      </c>
      <c r="J1103" s="53"/>
      <c r="K1103" s="75"/>
      <c r="L1103" s="54"/>
      <c r="M1103" s="245"/>
      <c r="N1103" s="145"/>
      <c r="O1103" s="73"/>
      <c r="P1103" s="245"/>
      <c r="Q1103" s="248"/>
      <c r="S1103" s="8"/>
    </row>
    <row r="1104" spans="1:19" s="1" customFormat="1" ht="19.5" hidden="1" customHeight="1" x14ac:dyDescent="0.3">
      <c r="A1104" s="11"/>
      <c r="B1104" s="236" t="s">
        <v>538</v>
      </c>
      <c r="C1104" s="395" t="s">
        <v>1032</v>
      </c>
      <c r="D1104" s="396"/>
      <c r="E1104" s="397"/>
      <c r="F1104" s="238" t="s">
        <v>429</v>
      </c>
      <c r="G1104" s="96">
        <v>5100</v>
      </c>
      <c r="H1104" s="152" t="s">
        <v>147</v>
      </c>
      <c r="I1104" s="86" t="s">
        <v>9</v>
      </c>
      <c r="J1104" s="52"/>
      <c r="K1104" s="95"/>
      <c r="L1104" s="51"/>
      <c r="M1104" s="236"/>
      <c r="N1104" s="124"/>
      <c r="O1104" s="86"/>
      <c r="P1104" s="236"/>
      <c r="Q1104" s="237"/>
      <c r="S1104" s="8"/>
    </row>
    <row r="1105" spans="1:19" s="1" customFormat="1" ht="19.5" hidden="1" customHeight="1" x14ac:dyDescent="0.3">
      <c r="A1105" s="11"/>
      <c r="B1105" s="236" t="s">
        <v>98</v>
      </c>
      <c r="C1105" s="395" t="s">
        <v>1028</v>
      </c>
      <c r="D1105" s="396"/>
      <c r="E1105" s="397"/>
      <c r="F1105" s="238" t="s">
        <v>429</v>
      </c>
      <c r="G1105" s="96">
        <v>6600</v>
      </c>
      <c r="H1105" s="152" t="s">
        <v>582</v>
      </c>
      <c r="I1105" s="86" t="s">
        <v>9</v>
      </c>
      <c r="J1105" s="52"/>
      <c r="K1105" s="95"/>
      <c r="L1105" s="51"/>
      <c r="M1105" s="236"/>
      <c r="N1105" s="124"/>
      <c r="O1105" s="86"/>
      <c r="P1105" s="236"/>
      <c r="Q1105" s="237"/>
      <c r="S1105" s="8"/>
    </row>
    <row r="1106" spans="1:19" s="1" customFormat="1" ht="19.5" hidden="1" customHeight="1" x14ac:dyDescent="0.3">
      <c r="A1106" s="11"/>
      <c r="B1106" s="236" t="s">
        <v>586</v>
      </c>
      <c r="C1106" s="395">
        <v>45870.75</v>
      </c>
      <c r="D1106" s="396"/>
      <c r="E1106" s="397"/>
      <c r="F1106" s="238" t="s">
        <v>429</v>
      </c>
      <c r="G1106" s="96">
        <v>7300</v>
      </c>
      <c r="H1106" s="152" t="s">
        <v>591</v>
      </c>
      <c r="I1106" s="86" t="s">
        <v>9</v>
      </c>
      <c r="J1106" s="52"/>
      <c r="K1106" s="95"/>
      <c r="L1106" s="51"/>
      <c r="M1106" s="236"/>
      <c r="N1106" s="124"/>
      <c r="O1106" s="86"/>
      <c r="P1106" s="236"/>
      <c r="Q1106" s="237"/>
      <c r="S1106" s="8"/>
    </row>
    <row r="1107" spans="1:19" s="1" customFormat="1" ht="19.5" hidden="1" customHeight="1" x14ac:dyDescent="0.3">
      <c r="A1107" s="11"/>
      <c r="B1107" s="236" t="s">
        <v>538</v>
      </c>
      <c r="C1107" s="395">
        <v>45873.75</v>
      </c>
      <c r="D1107" s="396"/>
      <c r="E1107" s="397"/>
      <c r="F1107" s="238" t="s">
        <v>429</v>
      </c>
      <c r="G1107" s="96">
        <v>5100</v>
      </c>
      <c r="H1107" s="152" t="s">
        <v>147</v>
      </c>
      <c r="I1107" s="86" t="s">
        <v>9</v>
      </c>
      <c r="J1107" s="52"/>
      <c r="K1107" s="95"/>
      <c r="L1107" s="51"/>
      <c r="M1107" s="236"/>
      <c r="N1107" s="124"/>
      <c r="O1107" s="86"/>
      <c r="P1107" s="236"/>
      <c r="Q1107" s="237"/>
      <c r="S1107" s="8"/>
    </row>
    <row r="1108" spans="1:19" s="1" customFormat="1" ht="19.5" hidden="1" customHeight="1" x14ac:dyDescent="0.3">
      <c r="A1108" s="11"/>
      <c r="B1108" s="236" t="s">
        <v>536</v>
      </c>
      <c r="C1108" s="395">
        <v>45874.916666666664</v>
      </c>
      <c r="D1108" s="396"/>
      <c r="E1108" s="397"/>
      <c r="F1108" s="238" t="s">
        <v>429</v>
      </c>
      <c r="G1108" s="96">
        <v>8100</v>
      </c>
      <c r="H1108" s="152" t="s">
        <v>581</v>
      </c>
      <c r="I1108" s="86" t="s">
        <v>9</v>
      </c>
      <c r="J1108" s="52"/>
      <c r="K1108" s="95"/>
      <c r="L1108" s="51"/>
      <c r="M1108" s="236"/>
      <c r="N1108" s="124"/>
      <c r="O1108" s="86"/>
      <c r="P1108" s="236"/>
      <c r="Q1108" s="237"/>
      <c r="S1108" s="8"/>
    </row>
    <row r="1109" spans="1:19" s="1" customFormat="1" ht="19.5" hidden="1" customHeight="1" x14ac:dyDescent="0.3">
      <c r="A1109" s="11"/>
      <c r="B1109" s="236" t="s">
        <v>933</v>
      </c>
      <c r="C1109" s="395">
        <v>45875.583333333336</v>
      </c>
      <c r="D1109" s="396"/>
      <c r="E1109" s="397"/>
      <c r="F1109" s="238" t="s">
        <v>429</v>
      </c>
      <c r="G1109" s="96">
        <v>4800</v>
      </c>
      <c r="H1109" s="152" t="s">
        <v>147</v>
      </c>
      <c r="I1109" s="86" t="s">
        <v>9</v>
      </c>
      <c r="J1109" s="52"/>
      <c r="K1109" s="95"/>
      <c r="L1109" s="51"/>
      <c r="M1109" s="236"/>
      <c r="N1109" s="124"/>
      <c r="O1109" s="86"/>
      <c r="P1109" s="236"/>
      <c r="Q1109" s="237"/>
      <c r="S1109" s="8"/>
    </row>
    <row r="1110" spans="1:19" s="1" customFormat="1" ht="19.5" hidden="1" customHeight="1" x14ac:dyDescent="0.3">
      <c r="A1110" s="11"/>
      <c r="B1110" s="266" t="s">
        <v>1035</v>
      </c>
      <c r="C1110" s="411">
        <v>45877.512499999997</v>
      </c>
      <c r="D1110" s="412"/>
      <c r="E1110" s="413"/>
      <c r="F1110" s="247" t="s">
        <v>654</v>
      </c>
      <c r="G1110" s="78">
        <v>27500</v>
      </c>
      <c r="H1110" s="57"/>
      <c r="I1110" s="73" t="s">
        <v>9</v>
      </c>
      <c r="J1110" s="53"/>
      <c r="K1110" s="75"/>
      <c r="L1110" s="54"/>
      <c r="M1110" s="245" t="s">
        <v>16</v>
      </c>
      <c r="N1110" s="145"/>
      <c r="O1110" s="73"/>
      <c r="P1110" s="245"/>
      <c r="Q1110" s="248"/>
      <c r="S1110" s="8"/>
    </row>
    <row r="1111" spans="1:19" s="1" customFormat="1" ht="19.5" hidden="1" customHeight="1" x14ac:dyDescent="0.3">
      <c r="A1111" s="11"/>
      <c r="B1111" s="245" t="s">
        <v>586</v>
      </c>
      <c r="C1111" s="411">
        <v>45879.975694444445</v>
      </c>
      <c r="D1111" s="412"/>
      <c r="E1111" s="413"/>
      <c r="F1111" s="247" t="s">
        <v>429</v>
      </c>
      <c r="G1111" s="78">
        <v>7300</v>
      </c>
      <c r="H1111" s="57" t="s">
        <v>582</v>
      </c>
      <c r="I1111" s="73" t="s">
        <v>9</v>
      </c>
      <c r="J1111" s="53"/>
      <c r="K1111" s="75"/>
      <c r="L1111" s="54"/>
      <c r="M1111" s="245"/>
      <c r="N1111" s="145"/>
      <c r="O1111" s="73"/>
      <c r="P1111" s="245"/>
      <c r="Q1111" s="248"/>
      <c r="S1111" s="8"/>
    </row>
    <row r="1112" spans="1:19" s="1" customFormat="1" ht="19.5" hidden="1" customHeight="1" x14ac:dyDescent="0.3">
      <c r="A1112" s="11"/>
      <c r="B1112" s="236"/>
      <c r="C1112" s="258"/>
      <c r="D1112" s="259"/>
      <c r="E1112" s="260"/>
      <c r="F1112" s="238"/>
      <c r="G1112" s="96"/>
      <c r="H1112" s="152"/>
      <c r="I1112" s="86"/>
      <c r="J1112" s="52"/>
      <c r="K1112" s="95"/>
      <c r="L1112" s="51"/>
      <c r="M1112" s="236"/>
      <c r="N1112" s="124"/>
      <c r="O1112" s="86"/>
      <c r="P1112" s="236"/>
      <c r="Q1112" s="237"/>
      <c r="S1112" s="8"/>
    </row>
    <row r="1113" spans="1:19" s="1" customFormat="1" ht="19.5" hidden="1" customHeight="1" x14ac:dyDescent="0.3">
      <c r="A1113" s="11"/>
      <c r="B1113" s="236" t="s">
        <v>538</v>
      </c>
      <c r="C1113" s="395" t="s">
        <v>1038</v>
      </c>
      <c r="D1113" s="396"/>
      <c r="E1113" s="397"/>
      <c r="F1113" s="238" t="s">
        <v>429</v>
      </c>
      <c r="G1113" s="96">
        <v>5100</v>
      </c>
      <c r="H1113" s="152" t="s">
        <v>134</v>
      </c>
      <c r="I1113" s="86" t="s">
        <v>9</v>
      </c>
      <c r="J1113" s="52"/>
      <c r="K1113" s="95"/>
      <c r="L1113" s="51"/>
      <c r="M1113" s="236"/>
      <c r="N1113" s="124"/>
      <c r="O1113" s="86"/>
      <c r="P1113" s="236"/>
      <c r="Q1113" s="237"/>
      <c r="S1113" s="8"/>
    </row>
    <row r="1114" spans="1:19" s="1" customFormat="1" ht="19.5" hidden="1" customHeight="1" x14ac:dyDescent="0.3">
      <c r="A1114" s="11"/>
      <c r="B1114" s="236" t="s">
        <v>933</v>
      </c>
      <c r="C1114" s="395">
        <v>45881.916666666664</v>
      </c>
      <c r="D1114" s="396"/>
      <c r="E1114" s="397"/>
      <c r="F1114" s="238" t="s">
        <v>429</v>
      </c>
      <c r="G1114" s="96">
        <v>4800</v>
      </c>
      <c r="H1114" s="152" t="s">
        <v>147</v>
      </c>
      <c r="I1114" s="86" t="s">
        <v>9</v>
      </c>
      <c r="J1114" s="52"/>
      <c r="K1114" s="95"/>
      <c r="L1114" s="51"/>
      <c r="M1114" s="124"/>
      <c r="N1114" s="124"/>
      <c r="O1114" s="86"/>
      <c r="P1114" s="236"/>
      <c r="Q1114" s="237"/>
      <c r="S1114" s="8"/>
    </row>
    <row r="1115" spans="1:19" s="1" customFormat="1" ht="19.5" hidden="1" customHeight="1" x14ac:dyDescent="0.3">
      <c r="A1115" s="11"/>
      <c r="B1115" s="236" t="s">
        <v>574</v>
      </c>
      <c r="C1115" s="395">
        <v>45883.333333333336</v>
      </c>
      <c r="D1115" s="396"/>
      <c r="E1115" s="397"/>
      <c r="F1115" s="238" t="s">
        <v>429</v>
      </c>
      <c r="G1115" s="96">
        <v>7500</v>
      </c>
      <c r="H1115" s="152" t="s">
        <v>133</v>
      </c>
      <c r="I1115" s="86" t="s">
        <v>9</v>
      </c>
      <c r="J1115" s="52"/>
      <c r="K1115" s="95"/>
      <c r="L1115" s="51"/>
      <c r="M1115" s="236"/>
      <c r="N1115" s="124"/>
      <c r="O1115" s="86"/>
      <c r="P1115" s="236"/>
      <c r="Q1115" s="237"/>
      <c r="S1115" s="8"/>
    </row>
    <row r="1116" spans="1:19" s="1" customFormat="1" ht="19.5" hidden="1" customHeight="1" x14ac:dyDescent="0.3">
      <c r="A1116" s="11"/>
      <c r="B1116" s="245" t="s">
        <v>1050</v>
      </c>
      <c r="C1116" s="411">
        <v>45886.883333333331</v>
      </c>
      <c r="D1116" s="412"/>
      <c r="E1116" s="413"/>
      <c r="F1116" s="247" t="s">
        <v>654</v>
      </c>
      <c r="G1116" s="78">
        <v>24000</v>
      </c>
      <c r="H1116" s="57"/>
      <c r="I1116" s="73" t="s">
        <v>9</v>
      </c>
      <c r="J1116" s="53"/>
      <c r="K1116" s="75"/>
      <c r="L1116" s="54"/>
      <c r="M1116" s="75" t="s">
        <v>16</v>
      </c>
      <c r="N1116" s="145"/>
      <c r="O1116" s="73"/>
      <c r="P1116" s="245"/>
      <c r="Q1116" s="248"/>
      <c r="S1116" s="8"/>
    </row>
    <row r="1117" spans="1:19" s="1" customFormat="1" ht="19.5" hidden="1" customHeight="1" x14ac:dyDescent="0.3">
      <c r="A1117" s="11"/>
      <c r="B1117" s="236" t="s">
        <v>933</v>
      </c>
      <c r="C1117" s="395">
        <v>45889.666666666664</v>
      </c>
      <c r="D1117" s="396"/>
      <c r="E1117" s="397"/>
      <c r="F1117" s="238" t="s">
        <v>429</v>
      </c>
      <c r="G1117" s="96">
        <v>4800</v>
      </c>
      <c r="H1117" s="152" t="s">
        <v>147</v>
      </c>
      <c r="I1117" s="86" t="s">
        <v>9</v>
      </c>
      <c r="J1117" s="52"/>
      <c r="K1117" s="95"/>
      <c r="L1117" s="51"/>
      <c r="M1117" s="95"/>
      <c r="N1117" s="124"/>
      <c r="O1117" s="86"/>
      <c r="P1117" s="236"/>
      <c r="Q1117" s="237"/>
      <c r="S1117" s="8"/>
    </row>
    <row r="1118" spans="1:19" s="1" customFormat="1" ht="19.5" hidden="1" customHeight="1" x14ac:dyDescent="0.3">
      <c r="A1118" s="11"/>
      <c r="B1118" s="236" t="s">
        <v>586</v>
      </c>
      <c r="C1118" s="395" t="s">
        <v>1054</v>
      </c>
      <c r="D1118" s="396"/>
      <c r="E1118" s="397"/>
      <c r="F1118" s="238" t="s">
        <v>429</v>
      </c>
      <c r="G1118" s="96">
        <v>7300</v>
      </c>
      <c r="H1118" s="152" t="s">
        <v>581</v>
      </c>
      <c r="I1118" s="86" t="s">
        <v>9</v>
      </c>
      <c r="J1118" s="52"/>
      <c r="K1118" s="95"/>
      <c r="L1118" s="51"/>
      <c r="M1118" s="95"/>
      <c r="N1118" s="124"/>
      <c r="O1118" s="86"/>
      <c r="P1118" s="236"/>
      <c r="Q1118" s="237"/>
      <c r="S1118" s="8"/>
    </row>
    <row r="1119" spans="1:19" s="1" customFormat="1" ht="19.5" hidden="1" customHeight="1" x14ac:dyDescent="0.3">
      <c r="A1119" s="11"/>
      <c r="B1119" s="245" t="s">
        <v>538</v>
      </c>
      <c r="C1119" s="411">
        <v>45890.340277777781</v>
      </c>
      <c r="D1119" s="412"/>
      <c r="E1119" s="413"/>
      <c r="F1119" s="247" t="s">
        <v>429</v>
      </c>
      <c r="G1119" s="78">
        <v>5100</v>
      </c>
      <c r="H1119" s="57" t="s">
        <v>147</v>
      </c>
      <c r="I1119" s="73" t="s">
        <v>9</v>
      </c>
      <c r="J1119" s="53"/>
      <c r="K1119" s="75"/>
      <c r="L1119" s="54"/>
      <c r="M1119" s="245"/>
      <c r="N1119" s="145"/>
      <c r="O1119" s="73"/>
      <c r="P1119" s="245"/>
      <c r="Q1119" s="248"/>
      <c r="S1119" s="8"/>
    </row>
    <row r="1120" spans="1:19" ht="19.5" hidden="1" customHeight="1" x14ac:dyDescent="0.3">
      <c r="B1120" s="429" t="s">
        <v>834</v>
      </c>
      <c r="C1120" s="462" t="s">
        <v>1053</v>
      </c>
      <c r="D1120" s="462"/>
      <c r="E1120" s="462"/>
      <c r="F1120" s="463" t="s">
        <v>1014</v>
      </c>
      <c r="G1120" s="78">
        <v>5000</v>
      </c>
      <c r="H1120" s="464" t="s">
        <v>224</v>
      </c>
      <c r="I1120" s="272" t="s">
        <v>18</v>
      </c>
      <c r="J1120" s="272" t="s">
        <v>1064</v>
      </c>
      <c r="K1120" s="75"/>
      <c r="L1120" s="429"/>
      <c r="M1120" s="429" t="s">
        <v>16</v>
      </c>
      <c r="N1120" s="532"/>
      <c r="O1120" s="533"/>
      <c r="P1120" s="529"/>
      <c r="Q1120" s="535" t="s">
        <v>1058</v>
      </c>
    </row>
    <row r="1121" spans="1:19" ht="19.5" hidden="1" customHeight="1" x14ac:dyDescent="0.3">
      <c r="B1121" s="429"/>
      <c r="C1121" s="462"/>
      <c r="D1121" s="462"/>
      <c r="E1121" s="462"/>
      <c r="F1121" s="463"/>
      <c r="G1121" s="78">
        <v>4000</v>
      </c>
      <c r="H1121" s="464"/>
      <c r="I1121" s="232" t="s">
        <v>11</v>
      </c>
      <c r="J1121" s="232" t="s">
        <v>1066</v>
      </c>
      <c r="K1121" s="75"/>
      <c r="L1121" s="429"/>
      <c r="M1121" s="429"/>
      <c r="N1121" s="532"/>
      <c r="O1121" s="533"/>
      <c r="P1121" s="529"/>
      <c r="Q1121" s="535"/>
    </row>
    <row r="1122" spans="1:19" ht="19.5" hidden="1" customHeight="1" x14ac:dyDescent="0.3">
      <c r="B1122" s="429"/>
      <c r="C1122" s="462"/>
      <c r="D1122" s="462"/>
      <c r="E1122" s="462"/>
      <c r="F1122" s="463"/>
      <c r="G1122" s="78">
        <v>8000</v>
      </c>
      <c r="H1122" s="464"/>
      <c r="I1122" s="232" t="s">
        <v>1062</v>
      </c>
      <c r="J1122" s="232" t="s">
        <v>1063</v>
      </c>
      <c r="K1122" s="75"/>
      <c r="L1122" s="429"/>
      <c r="M1122" s="429"/>
      <c r="N1122" s="532"/>
      <c r="O1122" s="533"/>
      <c r="P1122" s="529"/>
      <c r="Q1122" s="535"/>
    </row>
    <row r="1123" spans="1:19" ht="19.5" hidden="1" customHeight="1" x14ac:dyDescent="0.3">
      <c r="B1123" s="95" t="s">
        <v>586</v>
      </c>
      <c r="C1123" s="479" t="s">
        <v>1072</v>
      </c>
      <c r="D1123" s="479"/>
      <c r="E1123" s="479"/>
      <c r="F1123" s="97" t="s">
        <v>429</v>
      </c>
      <c r="G1123" s="96">
        <v>7300</v>
      </c>
      <c r="H1123" s="152" t="s">
        <v>581</v>
      </c>
      <c r="I1123" s="86" t="s">
        <v>9</v>
      </c>
      <c r="J1123" s="52"/>
      <c r="K1123" s="95"/>
      <c r="L1123" s="51"/>
      <c r="M1123" s="95"/>
      <c r="N1123" s="124"/>
      <c r="O1123" s="86"/>
      <c r="P1123" s="95"/>
      <c r="Q1123" s="151"/>
    </row>
    <row r="1124" spans="1:19" s="1" customFormat="1" ht="19.5" hidden="1" customHeight="1" x14ac:dyDescent="0.3">
      <c r="A1124" s="11"/>
      <c r="B1124" s="95" t="s">
        <v>574</v>
      </c>
      <c r="C1124" s="479" t="s">
        <v>1069</v>
      </c>
      <c r="D1124" s="479"/>
      <c r="E1124" s="479"/>
      <c r="F1124" s="97" t="s">
        <v>429</v>
      </c>
      <c r="G1124" s="96">
        <v>7500</v>
      </c>
      <c r="H1124" s="152" t="s">
        <v>133</v>
      </c>
      <c r="I1124" s="86" t="s">
        <v>9</v>
      </c>
      <c r="J1124" s="52"/>
      <c r="K1124" s="95"/>
      <c r="L1124" s="51"/>
      <c r="M1124" s="95"/>
      <c r="N1124" s="124"/>
      <c r="O1124" s="86"/>
      <c r="P1124" s="95"/>
      <c r="Q1124" s="151"/>
      <c r="S1124" s="8"/>
    </row>
    <row r="1125" spans="1:19" s="1" customFormat="1" ht="19.5" hidden="1" customHeight="1" x14ac:dyDescent="0.3">
      <c r="A1125" s="11"/>
      <c r="B1125" s="95" t="s">
        <v>98</v>
      </c>
      <c r="C1125" s="479" t="s">
        <v>1065</v>
      </c>
      <c r="D1125" s="479"/>
      <c r="E1125" s="479"/>
      <c r="F1125" s="97" t="s">
        <v>429</v>
      </c>
      <c r="G1125" s="96">
        <v>6600</v>
      </c>
      <c r="H1125" s="152" t="s">
        <v>134</v>
      </c>
      <c r="I1125" s="86" t="s">
        <v>9</v>
      </c>
      <c r="J1125" s="52"/>
      <c r="K1125" s="95"/>
      <c r="L1125" s="51"/>
      <c r="M1125" s="95"/>
      <c r="N1125" s="124"/>
      <c r="O1125" s="86"/>
      <c r="P1125" s="95"/>
      <c r="Q1125" s="151"/>
      <c r="S1125" s="8"/>
    </row>
    <row r="1126" spans="1:19" s="1" customFormat="1" ht="19.5" hidden="1" customHeight="1" x14ac:dyDescent="0.3">
      <c r="A1126" s="11" t="s">
        <v>1079</v>
      </c>
      <c r="B1126" s="75" t="s">
        <v>536</v>
      </c>
      <c r="C1126" s="462">
        <v>45895.305555555555</v>
      </c>
      <c r="D1126" s="462"/>
      <c r="E1126" s="462"/>
      <c r="F1126" s="78" t="s">
        <v>429</v>
      </c>
      <c r="G1126" s="78">
        <v>8100</v>
      </c>
      <c r="H1126" s="57" t="s">
        <v>133</v>
      </c>
      <c r="I1126" s="73" t="s">
        <v>9</v>
      </c>
      <c r="J1126" s="53"/>
      <c r="K1126" s="75"/>
      <c r="L1126" s="54"/>
      <c r="M1126" s="75"/>
      <c r="N1126" s="145"/>
      <c r="O1126" s="73"/>
      <c r="P1126" s="75"/>
      <c r="Q1126" s="58"/>
      <c r="S1126" s="8"/>
    </row>
    <row r="1127" spans="1:19" s="1" customFormat="1" ht="19.5" hidden="1" customHeight="1" x14ac:dyDescent="0.3">
      <c r="A1127" s="11"/>
      <c r="B1127" s="75" t="s">
        <v>538</v>
      </c>
      <c r="C1127" s="462">
        <v>45896.458333333336</v>
      </c>
      <c r="D1127" s="462"/>
      <c r="E1127" s="462"/>
      <c r="F1127" s="78" t="s">
        <v>429</v>
      </c>
      <c r="G1127" s="78">
        <v>5100</v>
      </c>
      <c r="H1127" s="57" t="s">
        <v>134</v>
      </c>
      <c r="I1127" s="73" t="s">
        <v>9</v>
      </c>
      <c r="J1127" s="53"/>
      <c r="K1127" s="75"/>
      <c r="L1127" s="54"/>
      <c r="M1127" s="75"/>
      <c r="N1127" s="145"/>
      <c r="O1127" s="73"/>
      <c r="P1127" s="75"/>
      <c r="Q1127" s="58"/>
      <c r="S1127" s="8"/>
    </row>
    <row r="1128" spans="1:19" s="1" customFormat="1" ht="19.5" hidden="1" customHeight="1" x14ac:dyDescent="0.3">
      <c r="A1128" s="11"/>
      <c r="B1128" s="245" t="s">
        <v>586</v>
      </c>
      <c r="C1128" s="462">
        <v>45897.055555555555</v>
      </c>
      <c r="D1128" s="462"/>
      <c r="E1128" s="462"/>
      <c r="F1128" s="78" t="s">
        <v>429</v>
      </c>
      <c r="G1128" s="273">
        <v>7300</v>
      </c>
      <c r="H1128" s="57" t="s">
        <v>581</v>
      </c>
      <c r="I1128" s="73" t="s">
        <v>9</v>
      </c>
      <c r="J1128" s="231"/>
      <c r="K1128" s="75"/>
      <c r="L1128" s="54"/>
      <c r="M1128" s="245"/>
      <c r="N1128" s="145"/>
      <c r="O1128" s="73"/>
      <c r="P1128" s="75"/>
      <c r="Q1128" s="58"/>
      <c r="S1128" s="8"/>
    </row>
    <row r="1129" spans="1:19" s="1" customFormat="1" ht="19.5" hidden="1" customHeight="1" x14ac:dyDescent="0.3">
      <c r="A1129" s="11"/>
      <c r="B1129" s="236" t="s">
        <v>933</v>
      </c>
      <c r="C1129" s="479" t="s">
        <v>1080</v>
      </c>
      <c r="D1129" s="479"/>
      <c r="E1129" s="479"/>
      <c r="F1129" s="97" t="s">
        <v>429</v>
      </c>
      <c r="G1129" s="270">
        <v>4800</v>
      </c>
      <c r="H1129" s="152" t="s">
        <v>147</v>
      </c>
      <c r="I1129" s="86" t="s">
        <v>9</v>
      </c>
      <c r="J1129" s="228"/>
      <c r="K1129" s="95"/>
      <c r="L1129" s="51"/>
      <c r="M1129" s="236"/>
      <c r="N1129" s="124"/>
      <c r="O1129" s="86"/>
      <c r="P1129" s="95"/>
      <c r="Q1129" s="151"/>
      <c r="S1129" s="8"/>
    </row>
    <row r="1130" spans="1:19" s="1" customFormat="1" ht="19.5" hidden="1" customHeight="1" x14ac:dyDescent="0.3">
      <c r="A1130" s="11"/>
      <c r="B1130" s="522" t="s">
        <v>834</v>
      </c>
      <c r="C1130" s="513">
        <v>45898.791666666664</v>
      </c>
      <c r="D1130" s="514"/>
      <c r="E1130" s="515"/>
      <c r="F1130" s="425" t="s">
        <v>1014</v>
      </c>
      <c r="G1130" s="96">
        <v>5500</v>
      </c>
      <c r="H1130" s="526" t="s">
        <v>224</v>
      </c>
      <c r="I1130" s="228" t="s">
        <v>18</v>
      </c>
      <c r="J1130" s="86" t="s">
        <v>1078</v>
      </c>
      <c r="K1130" s="95"/>
      <c r="L1130" s="86"/>
      <c r="M1130" s="522" t="s">
        <v>16</v>
      </c>
      <c r="N1130" s="124"/>
      <c r="O1130" s="86"/>
      <c r="P1130" s="95"/>
      <c r="Q1130" s="470"/>
      <c r="S1130" s="8"/>
    </row>
    <row r="1131" spans="1:19" s="1" customFormat="1" ht="19.5" hidden="1" customHeight="1" x14ac:dyDescent="0.3">
      <c r="A1131" s="11"/>
      <c r="B1131" s="523"/>
      <c r="C1131" s="516"/>
      <c r="D1131" s="517"/>
      <c r="E1131" s="518"/>
      <c r="F1131" s="525"/>
      <c r="G1131" s="96">
        <v>8000</v>
      </c>
      <c r="H1131" s="527"/>
      <c r="I1131" s="228" t="s">
        <v>11</v>
      </c>
      <c r="J1131" s="86" t="s">
        <v>1082</v>
      </c>
      <c r="K1131" s="95"/>
      <c r="L1131" s="86"/>
      <c r="M1131" s="523"/>
      <c r="N1131" s="271" t="s">
        <v>254</v>
      </c>
      <c r="O1131" s="251" t="s">
        <v>964</v>
      </c>
      <c r="P1131" s="95"/>
      <c r="Q1131" s="534"/>
      <c r="S1131" s="8"/>
    </row>
    <row r="1132" spans="1:19" s="1" customFormat="1" ht="19.5" hidden="1" customHeight="1" x14ac:dyDescent="0.3">
      <c r="A1132" s="11"/>
      <c r="B1132" s="524"/>
      <c r="C1132" s="519"/>
      <c r="D1132" s="520"/>
      <c r="E1132" s="521"/>
      <c r="F1132" s="426"/>
      <c r="G1132" s="96">
        <v>3500</v>
      </c>
      <c r="H1132" s="528"/>
      <c r="I1132" s="228" t="s">
        <v>1074</v>
      </c>
      <c r="J1132" s="86" t="s">
        <v>1081</v>
      </c>
      <c r="K1132" s="95"/>
      <c r="L1132" s="86"/>
      <c r="M1132" s="524"/>
      <c r="N1132" s="271" t="s">
        <v>254</v>
      </c>
      <c r="O1132" s="251" t="s">
        <v>964</v>
      </c>
      <c r="P1132" s="95"/>
      <c r="Q1132" s="471"/>
      <c r="S1132" s="8"/>
    </row>
    <row r="1133" spans="1:19" s="1" customFormat="1" ht="19.5" hidden="1" customHeight="1" x14ac:dyDescent="0.3">
      <c r="A1133" s="11"/>
      <c r="B1133" s="75" t="s">
        <v>1050</v>
      </c>
      <c r="C1133" s="462" t="s">
        <v>1076</v>
      </c>
      <c r="D1133" s="462"/>
      <c r="E1133" s="462"/>
      <c r="F1133" s="78" t="s">
        <v>654</v>
      </c>
      <c r="G1133" s="78">
        <v>25000</v>
      </c>
      <c r="H1133" s="57"/>
      <c r="I1133" s="73" t="s">
        <v>9</v>
      </c>
      <c r="J1133" s="53"/>
      <c r="K1133" s="75"/>
      <c r="L1133" s="54"/>
      <c r="M1133" s="75" t="s">
        <v>16</v>
      </c>
      <c r="N1133" s="145"/>
      <c r="O1133" s="73"/>
      <c r="P1133" s="75"/>
      <c r="Q1133" s="58"/>
      <c r="S1133" s="8"/>
    </row>
    <row r="1134" spans="1:19" s="1" customFormat="1" ht="19.5" hidden="1" customHeight="1" x14ac:dyDescent="0.3">
      <c r="A1134" s="11"/>
      <c r="B1134" s="75" t="s">
        <v>574</v>
      </c>
      <c r="C1134" s="462">
        <v>45903.03125</v>
      </c>
      <c r="D1134" s="462"/>
      <c r="E1134" s="462"/>
      <c r="F1134" s="78" t="s">
        <v>429</v>
      </c>
      <c r="G1134" s="78">
        <v>7500</v>
      </c>
      <c r="H1134" s="57" t="s">
        <v>591</v>
      </c>
      <c r="I1134" s="73" t="s">
        <v>9</v>
      </c>
      <c r="J1134" s="53"/>
      <c r="K1134" s="75"/>
      <c r="L1134" s="54"/>
      <c r="M1134" s="75"/>
      <c r="N1134" s="145"/>
      <c r="O1134" s="73"/>
      <c r="P1134" s="75"/>
      <c r="Q1134" s="58"/>
      <c r="S1134" s="8"/>
    </row>
    <row r="1135" spans="1:19" s="1" customFormat="1" ht="19.5" hidden="1" customHeight="1" x14ac:dyDescent="0.3">
      <c r="A1135" s="11"/>
      <c r="B1135" s="75" t="s">
        <v>1094</v>
      </c>
      <c r="C1135" s="462">
        <v>45904.013888888891</v>
      </c>
      <c r="D1135" s="462"/>
      <c r="E1135" s="462"/>
      <c r="F1135" s="78" t="s">
        <v>429</v>
      </c>
      <c r="G1135" s="78">
        <v>4800</v>
      </c>
      <c r="H1135" s="57" t="s">
        <v>591</v>
      </c>
      <c r="I1135" s="73" t="s">
        <v>9</v>
      </c>
      <c r="J1135" s="53"/>
      <c r="K1135" s="75"/>
      <c r="L1135" s="54"/>
      <c r="M1135" s="75"/>
      <c r="N1135" s="145"/>
      <c r="O1135" s="73"/>
      <c r="P1135" s="75"/>
      <c r="Q1135" s="58"/>
      <c r="S1135" s="8"/>
    </row>
    <row r="1136" spans="1:19" s="1" customFormat="1" ht="19.5" hidden="1" customHeight="1" x14ac:dyDescent="0.3">
      <c r="A1136" s="11"/>
      <c r="B1136" s="95" t="s">
        <v>537</v>
      </c>
      <c r="C1136" s="479" t="s">
        <v>1093</v>
      </c>
      <c r="D1136" s="479"/>
      <c r="E1136" s="479"/>
      <c r="F1136" s="97" t="s">
        <v>429</v>
      </c>
      <c r="G1136" s="96">
        <v>5900</v>
      </c>
      <c r="H1136" s="152" t="s">
        <v>573</v>
      </c>
      <c r="I1136" s="86" t="s">
        <v>9</v>
      </c>
      <c r="J1136" s="52"/>
      <c r="K1136" s="95"/>
      <c r="L1136" s="51"/>
      <c r="M1136" s="95"/>
      <c r="N1136" s="124"/>
      <c r="O1136" s="86"/>
      <c r="P1136" s="95"/>
      <c r="Q1136" s="151"/>
      <c r="S1136" s="8"/>
    </row>
    <row r="1137" spans="1:19" s="1" customFormat="1" ht="19.5" hidden="1" customHeight="1" x14ac:dyDescent="0.3">
      <c r="A1137" s="11"/>
      <c r="B1137" s="75" t="s">
        <v>538</v>
      </c>
      <c r="C1137" s="462">
        <v>45905.368055555555</v>
      </c>
      <c r="D1137" s="462"/>
      <c r="E1137" s="462"/>
      <c r="F1137" s="78" t="s">
        <v>429</v>
      </c>
      <c r="G1137" s="78">
        <v>5100</v>
      </c>
      <c r="H1137" s="57" t="s">
        <v>147</v>
      </c>
      <c r="I1137" s="73" t="s">
        <v>9</v>
      </c>
      <c r="J1137" s="53"/>
      <c r="K1137" s="75"/>
      <c r="L1137" s="54"/>
      <c r="M1137" s="75"/>
      <c r="N1137" s="145"/>
      <c r="O1137" s="73"/>
      <c r="P1137" s="75"/>
      <c r="Q1137" s="58"/>
      <c r="S1137" s="8"/>
    </row>
    <row r="1138" spans="1:19" s="1" customFormat="1" ht="19.5" hidden="1" customHeight="1" x14ac:dyDescent="0.3">
      <c r="A1138" s="11"/>
      <c r="B1138" s="95" t="s">
        <v>933</v>
      </c>
      <c r="C1138" s="479" t="s">
        <v>1095</v>
      </c>
      <c r="D1138" s="479"/>
      <c r="E1138" s="479"/>
      <c r="F1138" s="97" t="s">
        <v>429</v>
      </c>
      <c r="G1138" s="96">
        <v>4800</v>
      </c>
      <c r="H1138" s="152" t="s">
        <v>147</v>
      </c>
      <c r="I1138" s="86" t="s">
        <v>9</v>
      </c>
      <c r="J1138" s="52"/>
      <c r="K1138" s="95"/>
      <c r="L1138" s="51"/>
      <c r="M1138" s="95"/>
      <c r="N1138" s="124"/>
      <c r="O1138" s="86"/>
      <c r="P1138" s="95"/>
      <c r="Q1138" s="151"/>
      <c r="S1138" s="8"/>
    </row>
    <row r="1139" spans="1:19" s="1" customFormat="1" ht="19.5" hidden="1" customHeight="1" x14ac:dyDescent="0.3">
      <c r="A1139" s="11"/>
      <c r="B1139" s="75" t="s">
        <v>940</v>
      </c>
      <c r="C1139" s="462">
        <v>45906.927083333336</v>
      </c>
      <c r="D1139" s="462"/>
      <c r="E1139" s="462"/>
      <c r="F1139" s="78" t="s">
        <v>654</v>
      </c>
      <c r="G1139" s="78">
        <v>25000</v>
      </c>
      <c r="H1139" s="57"/>
      <c r="I1139" s="73" t="s">
        <v>9</v>
      </c>
      <c r="J1139" s="53"/>
      <c r="K1139" s="75"/>
      <c r="L1139" s="54"/>
      <c r="M1139" s="75" t="s">
        <v>16</v>
      </c>
      <c r="N1139" s="145"/>
      <c r="O1139" s="73"/>
      <c r="P1139" s="75"/>
      <c r="Q1139" s="58"/>
      <c r="S1139" s="8"/>
    </row>
    <row r="1140" spans="1:19" s="1" customFormat="1" ht="19.5" hidden="1" customHeight="1" x14ac:dyDescent="0.3">
      <c r="A1140" s="11"/>
      <c r="B1140" s="75" t="s">
        <v>536</v>
      </c>
      <c r="C1140" s="462">
        <v>45910.381944444445</v>
      </c>
      <c r="D1140" s="462"/>
      <c r="E1140" s="462"/>
      <c r="F1140" s="78" t="s">
        <v>429</v>
      </c>
      <c r="G1140" s="78">
        <v>8100</v>
      </c>
      <c r="H1140" s="57" t="s">
        <v>591</v>
      </c>
      <c r="I1140" s="73" t="s">
        <v>9</v>
      </c>
      <c r="J1140" s="53"/>
      <c r="K1140" s="75"/>
      <c r="L1140" s="54"/>
      <c r="M1140" s="75"/>
      <c r="N1140" s="145"/>
      <c r="O1140" s="73"/>
      <c r="P1140" s="75"/>
      <c r="Q1140" s="58"/>
      <c r="S1140" s="8"/>
    </row>
    <row r="1141" spans="1:19" s="1" customFormat="1" ht="19.5" hidden="1" customHeight="1" x14ac:dyDescent="0.3">
      <c r="A1141" s="11"/>
      <c r="B1141" s="75" t="s">
        <v>538</v>
      </c>
      <c r="C1141" s="462">
        <v>45911.479166666664</v>
      </c>
      <c r="D1141" s="462"/>
      <c r="E1141" s="462"/>
      <c r="F1141" s="78" t="s">
        <v>654</v>
      </c>
      <c r="G1141" s="78">
        <v>5300</v>
      </c>
      <c r="H1141" s="57" t="s">
        <v>134</v>
      </c>
      <c r="I1141" s="73" t="s">
        <v>9</v>
      </c>
      <c r="J1141" s="53"/>
      <c r="K1141" s="75"/>
      <c r="L1141" s="54"/>
      <c r="M1141" s="75"/>
      <c r="N1141" s="145"/>
      <c r="O1141" s="73"/>
      <c r="P1141" s="75"/>
      <c r="Q1141" s="58"/>
      <c r="S1141" s="8"/>
    </row>
    <row r="1142" spans="1:19" s="1" customFormat="1" ht="19.5" hidden="1" customHeight="1" x14ac:dyDescent="0.3">
      <c r="A1142" s="11"/>
      <c r="B1142" s="75" t="s">
        <v>98</v>
      </c>
      <c r="C1142" s="462">
        <v>45912.03125</v>
      </c>
      <c r="D1142" s="462"/>
      <c r="E1142" s="462"/>
      <c r="F1142" s="78" t="s">
        <v>429</v>
      </c>
      <c r="G1142" s="78">
        <v>6600</v>
      </c>
      <c r="H1142" s="57" t="s">
        <v>582</v>
      </c>
      <c r="I1142" s="73" t="s">
        <v>9</v>
      </c>
      <c r="J1142" s="53"/>
      <c r="K1142" s="75"/>
      <c r="L1142" s="54"/>
      <c r="M1142" s="75"/>
      <c r="N1142" s="145"/>
      <c r="O1142" s="73"/>
      <c r="P1142" s="75"/>
      <c r="Q1142" s="58"/>
      <c r="S1142" s="8"/>
    </row>
    <row r="1143" spans="1:19" s="1" customFormat="1" ht="19.5" hidden="1" customHeight="1" x14ac:dyDescent="0.3">
      <c r="A1143" s="11"/>
      <c r="B1143" s="95" t="s">
        <v>574</v>
      </c>
      <c r="C1143" s="395" t="s">
        <v>1101</v>
      </c>
      <c r="D1143" s="396"/>
      <c r="E1143" s="397"/>
      <c r="F1143" s="97" t="s">
        <v>429</v>
      </c>
      <c r="G1143" s="96">
        <v>7500</v>
      </c>
      <c r="H1143" s="152"/>
      <c r="I1143" s="86" t="s">
        <v>9</v>
      </c>
      <c r="J1143" s="52"/>
      <c r="K1143" s="95"/>
      <c r="L1143" s="51"/>
      <c r="M1143" s="95"/>
      <c r="N1143" s="124"/>
      <c r="O1143" s="86"/>
      <c r="P1143" s="95"/>
      <c r="Q1143" s="151"/>
      <c r="S1143" s="8"/>
    </row>
    <row r="1144" spans="1:19" s="1" customFormat="1" ht="19.5" hidden="1" customHeight="1" x14ac:dyDescent="0.3">
      <c r="A1144" s="11"/>
      <c r="B1144" s="75" t="s">
        <v>1099</v>
      </c>
      <c r="C1144" s="462">
        <v>45913.520833333336</v>
      </c>
      <c r="D1144" s="462"/>
      <c r="E1144" s="462"/>
      <c r="F1144" s="78" t="s">
        <v>654</v>
      </c>
      <c r="G1144" s="78">
        <v>25000</v>
      </c>
      <c r="H1144" s="57"/>
      <c r="I1144" s="73" t="s">
        <v>9</v>
      </c>
      <c r="J1144" s="53"/>
      <c r="K1144" s="75"/>
      <c r="L1144" s="54"/>
      <c r="M1144" s="75"/>
      <c r="N1144" s="145"/>
      <c r="O1144" s="73"/>
      <c r="P1144" s="75"/>
      <c r="Q1144" s="58" t="s">
        <v>1108</v>
      </c>
      <c r="S1144" s="8"/>
    </row>
    <row r="1145" spans="1:19" s="1" customFormat="1" ht="19.149999999999999" hidden="1" customHeight="1" x14ac:dyDescent="0.3">
      <c r="A1145" s="18"/>
      <c r="B1145" s="95" t="s">
        <v>537</v>
      </c>
      <c r="C1145" s="479">
        <v>45917.791666666664</v>
      </c>
      <c r="D1145" s="479"/>
      <c r="E1145" s="479"/>
      <c r="F1145" s="97" t="s">
        <v>429</v>
      </c>
      <c r="G1145" s="96">
        <v>6000</v>
      </c>
      <c r="H1145" s="152" t="s">
        <v>147</v>
      </c>
      <c r="I1145" s="86" t="s">
        <v>9</v>
      </c>
      <c r="J1145" s="52"/>
      <c r="K1145" s="95"/>
      <c r="L1145" s="51"/>
      <c r="M1145" s="95"/>
      <c r="N1145" s="124"/>
      <c r="O1145" s="86"/>
      <c r="P1145" s="95"/>
      <c r="Q1145" s="151"/>
      <c r="S1145" s="8"/>
    </row>
    <row r="1146" spans="1:19" s="1" customFormat="1" ht="19.149999999999999" hidden="1" customHeight="1" x14ac:dyDescent="0.3">
      <c r="A1146" s="18"/>
      <c r="B1146" s="75" t="s">
        <v>702</v>
      </c>
      <c r="C1146" s="462">
        <v>45918.3125</v>
      </c>
      <c r="D1146" s="462"/>
      <c r="E1146" s="462"/>
      <c r="F1146" s="78" t="s">
        <v>429</v>
      </c>
      <c r="G1146" s="78">
        <v>6700</v>
      </c>
      <c r="H1146" s="57" t="s">
        <v>582</v>
      </c>
      <c r="I1146" s="73" t="s">
        <v>9</v>
      </c>
      <c r="J1146" s="53"/>
      <c r="K1146" s="75"/>
      <c r="L1146" s="54"/>
      <c r="M1146" s="75"/>
      <c r="N1146" s="145"/>
      <c r="O1146" s="73"/>
      <c r="P1146" s="75"/>
      <c r="Q1146" s="58"/>
      <c r="S1146" s="8"/>
    </row>
    <row r="1147" spans="1:19" s="1" customFormat="1" ht="19.5" hidden="1" customHeight="1" x14ac:dyDescent="0.3">
      <c r="A1147" s="11"/>
      <c r="B1147" s="75" t="s">
        <v>1102</v>
      </c>
      <c r="C1147" s="462">
        <v>45919.604166666664</v>
      </c>
      <c r="D1147" s="462"/>
      <c r="E1147" s="462"/>
      <c r="F1147" s="78" t="s">
        <v>654</v>
      </c>
      <c r="G1147" s="78">
        <v>27400</v>
      </c>
      <c r="H1147" s="57"/>
      <c r="I1147" s="73" t="s">
        <v>9</v>
      </c>
      <c r="J1147" s="53"/>
      <c r="K1147" s="75"/>
      <c r="L1147" s="54"/>
      <c r="M1147" s="75" t="s">
        <v>16</v>
      </c>
      <c r="N1147" s="145"/>
      <c r="O1147" s="73"/>
      <c r="P1147" s="75" t="s">
        <v>16</v>
      </c>
      <c r="Q1147" s="58"/>
      <c r="S1147" s="8"/>
    </row>
    <row r="1148" spans="1:19" s="1" customFormat="1" ht="18.75" hidden="1" customHeight="1" x14ac:dyDescent="0.3">
      <c r="A1148" s="11" t="s">
        <v>1073</v>
      </c>
      <c r="B1148" s="75" t="s">
        <v>586</v>
      </c>
      <c r="C1148" s="411">
        <v>45922.822916666664</v>
      </c>
      <c r="D1148" s="412"/>
      <c r="E1148" s="413"/>
      <c r="F1148" s="78" t="s">
        <v>429</v>
      </c>
      <c r="G1148" s="78">
        <v>7300</v>
      </c>
      <c r="H1148" s="57" t="s">
        <v>582</v>
      </c>
      <c r="I1148" s="73" t="s">
        <v>9</v>
      </c>
      <c r="J1148" s="53"/>
      <c r="K1148" s="75"/>
      <c r="L1148" s="54"/>
      <c r="M1148" s="75"/>
      <c r="N1148" s="145"/>
      <c r="O1148" s="73"/>
      <c r="P1148" s="75"/>
      <c r="Q1148" s="58"/>
      <c r="S1148" s="8"/>
    </row>
    <row r="1149" spans="1:19" s="1" customFormat="1" ht="19.5" hidden="1" customHeight="1" x14ac:dyDescent="0.3">
      <c r="A1149" s="18"/>
      <c r="B1149" s="75" t="s">
        <v>1114</v>
      </c>
      <c r="C1149" s="462">
        <v>45925.5</v>
      </c>
      <c r="D1149" s="462"/>
      <c r="E1149" s="462"/>
      <c r="F1149" s="78" t="s">
        <v>654</v>
      </c>
      <c r="G1149" s="78">
        <v>25000</v>
      </c>
      <c r="H1149" s="57"/>
      <c r="I1149" s="73" t="s">
        <v>9</v>
      </c>
      <c r="J1149" s="53"/>
      <c r="K1149" s="75"/>
      <c r="L1149" s="54"/>
      <c r="M1149" s="75" t="s">
        <v>16</v>
      </c>
      <c r="N1149" s="145"/>
      <c r="O1149" s="73"/>
      <c r="P1149" s="75" t="s">
        <v>16</v>
      </c>
      <c r="Q1149" s="58"/>
      <c r="S1149" s="8"/>
    </row>
    <row r="1150" spans="1:19" s="1" customFormat="1" ht="19.5" hidden="1" customHeight="1" x14ac:dyDescent="0.3">
      <c r="A1150" s="18"/>
      <c r="B1150" s="95" t="s">
        <v>536</v>
      </c>
      <c r="C1150" s="395" t="s">
        <v>1117</v>
      </c>
      <c r="D1150" s="396"/>
      <c r="E1150" s="397"/>
      <c r="F1150" s="97" t="s">
        <v>429</v>
      </c>
      <c r="G1150" s="96">
        <v>8100</v>
      </c>
      <c r="H1150" s="152" t="s">
        <v>133</v>
      </c>
      <c r="I1150" s="86" t="s">
        <v>9</v>
      </c>
      <c r="J1150" s="52"/>
      <c r="K1150" s="95"/>
      <c r="L1150" s="51"/>
      <c r="M1150" s="95"/>
      <c r="N1150" s="124"/>
      <c r="O1150" s="86"/>
      <c r="P1150" s="95"/>
      <c r="Q1150" s="151"/>
      <c r="S1150" s="8"/>
    </row>
    <row r="1151" spans="1:19" s="1" customFormat="1" ht="19.5" hidden="1" customHeight="1" x14ac:dyDescent="0.3">
      <c r="A1151" s="18"/>
      <c r="B1151" s="95" t="s">
        <v>537</v>
      </c>
      <c r="C1151" s="479" t="s">
        <v>1116</v>
      </c>
      <c r="D1151" s="479"/>
      <c r="E1151" s="479"/>
      <c r="F1151" s="97" t="s">
        <v>429</v>
      </c>
      <c r="G1151" s="96">
        <v>6000</v>
      </c>
      <c r="H1151" s="152" t="s">
        <v>147</v>
      </c>
      <c r="I1151" s="86"/>
      <c r="J1151" s="52"/>
      <c r="K1151" s="95"/>
      <c r="L1151" s="51"/>
      <c r="M1151" s="95"/>
      <c r="N1151" s="124"/>
      <c r="O1151" s="86"/>
      <c r="P1151" s="95"/>
      <c r="Q1151" s="151"/>
      <c r="S1151" s="8"/>
    </row>
    <row r="1152" spans="1:19" s="1" customFormat="1" ht="19.5" hidden="1" customHeight="1" x14ac:dyDescent="0.3">
      <c r="A1152" s="18"/>
      <c r="B1152" s="75" t="s">
        <v>574</v>
      </c>
      <c r="C1152" s="462">
        <v>45930.260416666664</v>
      </c>
      <c r="D1152" s="462"/>
      <c r="E1152" s="462"/>
      <c r="F1152" s="78" t="s">
        <v>429</v>
      </c>
      <c r="G1152" s="78">
        <v>7500</v>
      </c>
      <c r="H1152" s="57" t="s">
        <v>147</v>
      </c>
      <c r="I1152" s="73" t="s">
        <v>9</v>
      </c>
      <c r="J1152" s="53"/>
      <c r="K1152" s="75"/>
      <c r="L1152" s="54"/>
      <c r="M1152" s="75"/>
      <c r="N1152" s="145"/>
      <c r="O1152" s="73"/>
      <c r="P1152" s="75"/>
      <c r="Q1152" s="58"/>
      <c r="S1152" s="8"/>
    </row>
    <row r="1153" spans="1:19" s="1" customFormat="1" ht="19.5" hidden="1" customHeight="1" x14ac:dyDescent="0.3">
      <c r="A1153" s="18"/>
      <c r="B1153" s="95" t="s">
        <v>678</v>
      </c>
      <c r="C1153" s="479">
        <v>45931.5</v>
      </c>
      <c r="D1153" s="479"/>
      <c r="E1153" s="479"/>
      <c r="F1153" s="97" t="s">
        <v>429</v>
      </c>
      <c r="G1153" s="96">
        <v>6800</v>
      </c>
      <c r="H1153" s="152" t="s">
        <v>133</v>
      </c>
      <c r="I1153" s="86" t="s">
        <v>9</v>
      </c>
      <c r="J1153" s="52"/>
      <c r="K1153" s="95"/>
      <c r="L1153" s="51"/>
      <c r="M1153" s="95"/>
      <c r="N1153" s="124"/>
      <c r="O1153" s="86"/>
      <c r="P1153" s="95"/>
      <c r="Q1153" s="151"/>
      <c r="S1153" s="8"/>
    </row>
    <row r="1154" spans="1:19" s="1" customFormat="1" ht="19.5" hidden="1" customHeight="1" x14ac:dyDescent="0.3">
      <c r="A1154" s="18"/>
      <c r="B1154" s="95" t="s">
        <v>98</v>
      </c>
      <c r="C1154" s="479">
        <v>45932.541666666664</v>
      </c>
      <c r="D1154" s="479"/>
      <c r="E1154" s="479"/>
      <c r="F1154" s="97" t="s">
        <v>429</v>
      </c>
      <c r="G1154" s="96">
        <v>6600</v>
      </c>
      <c r="H1154" s="152" t="s">
        <v>582</v>
      </c>
      <c r="I1154" s="86" t="s">
        <v>9</v>
      </c>
      <c r="J1154" s="52"/>
      <c r="K1154" s="95"/>
      <c r="L1154" s="51"/>
      <c r="M1154" s="95"/>
      <c r="N1154" s="124"/>
      <c r="O1154" s="86"/>
      <c r="P1154" s="95"/>
      <c r="Q1154" s="151"/>
      <c r="S1154" s="8"/>
    </row>
    <row r="1155" spans="1:19" s="1" customFormat="1" ht="19.5" hidden="1" customHeight="1" x14ac:dyDescent="0.3">
      <c r="A1155" s="18"/>
      <c r="B1155" s="95" t="s">
        <v>538</v>
      </c>
      <c r="C1155" s="479">
        <v>45933.875</v>
      </c>
      <c r="D1155" s="479"/>
      <c r="E1155" s="479"/>
      <c r="F1155" s="97" t="s">
        <v>429</v>
      </c>
      <c r="G1155" s="96">
        <v>5300</v>
      </c>
      <c r="H1155" s="152"/>
      <c r="I1155" s="86" t="s">
        <v>9</v>
      </c>
      <c r="J1155" s="52"/>
      <c r="K1155" s="95"/>
      <c r="L1155" s="51"/>
      <c r="M1155" s="95"/>
      <c r="N1155" s="124"/>
      <c r="O1155" s="86"/>
      <c r="P1155" s="95"/>
      <c r="Q1155" s="151"/>
      <c r="S1155" s="8"/>
    </row>
    <row r="1156" spans="1:19" s="1" customFormat="1" ht="19.5" hidden="1" customHeight="1" x14ac:dyDescent="0.3">
      <c r="A1156" s="18"/>
      <c r="B1156" s="95" t="s">
        <v>1120</v>
      </c>
      <c r="C1156" s="479" t="s">
        <v>1125</v>
      </c>
      <c r="D1156" s="479"/>
      <c r="E1156" s="479"/>
      <c r="F1156" s="97" t="s">
        <v>654</v>
      </c>
      <c r="G1156" s="96">
        <v>27500</v>
      </c>
      <c r="H1156" s="152"/>
      <c r="I1156" s="86" t="s">
        <v>9</v>
      </c>
      <c r="J1156" s="52"/>
      <c r="K1156" s="95"/>
      <c r="L1156" s="51"/>
      <c r="M1156" s="95" t="s">
        <v>16</v>
      </c>
      <c r="N1156" s="124"/>
      <c r="O1156" s="86"/>
      <c r="P1156" s="95" t="s">
        <v>16</v>
      </c>
      <c r="Q1156" s="151"/>
      <c r="S1156" s="8"/>
    </row>
    <row r="1157" spans="1:19" s="1" customFormat="1" ht="19.5" hidden="1" customHeight="1" x14ac:dyDescent="0.3">
      <c r="A1157" s="18"/>
      <c r="B1157" s="75" t="s">
        <v>532</v>
      </c>
      <c r="C1157" s="462">
        <v>45940.315972222219</v>
      </c>
      <c r="D1157" s="462"/>
      <c r="E1157" s="462"/>
      <c r="F1157" s="78" t="s">
        <v>429</v>
      </c>
      <c r="G1157" s="78">
        <v>5000</v>
      </c>
      <c r="H1157" s="57"/>
      <c r="I1157" s="73" t="s">
        <v>9</v>
      </c>
      <c r="J1157" s="53"/>
      <c r="K1157" s="75"/>
      <c r="L1157" s="54"/>
      <c r="M1157" s="75"/>
      <c r="N1157" s="145"/>
      <c r="O1157" s="73"/>
      <c r="P1157" s="75"/>
      <c r="Q1157" s="58"/>
      <c r="S1157" s="8"/>
    </row>
    <row r="1158" spans="1:19" s="1" customFormat="1" ht="19.5" hidden="1" customHeight="1" x14ac:dyDescent="0.3">
      <c r="A1158" s="18"/>
      <c r="B1158" s="95" t="s">
        <v>586</v>
      </c>
      <c r="C1158" s="479" t="s">
        <v>1138</v>
      </c>
      <c r="D1158" s="479"/>
      <c r="E1158" s="479"/>
      <c r="F1158" s="97" t="s">
        <v>429</v>
      </c>
      <c r="G1158" s="96">
        <v>7300</v>
      </c>
      <c r="H1158" s="152"/>
      <c r="I1158" s="86" t="s">
        <v>9</v>
      </c>
      <c r="J1158" s="52"/>
      <c r="K1158" s="95"/>
      <c r="L1158" s="51"/>
      <c r="M1158" s="95"/>
      <c r="N1158" s="124"/>
      <c r="O1158" s="86"/>
      <c r="P1158" s="95"/>
      <c r="Q1158" s="151"/>
      <c r="S1158" s="8"/>
    </row>
    <row r="1159" spans="1:19" s="1" customFormat="1" ht="19.5" hidden="1" customHeight="1" x14ac:dyDescent="0.3">
      <c r="A1159" s="18"/>
      <c r="B1159" s="75" t="s">
        <v>1147</v>
      </c>
      <c r="C1159" s="411">
        <v>45942.204861111109</v>
      </c>
      <c r="D1159" s="412"/>
      <c r="E1159" s="413"/>
      <c r="F1159" s="78" t="s">
        <v>654</v>
      </c>
      <c r="G1159" s="78">
        <v>27030</v>
      </c>
      <c r="H1159" s="57"/>
      <c r="I1159" s="73" t="s">
        <v>9</v>
      </c>
      <c r="J1159" s="53"/>
      <c r="K1159" s="75"/>
      <c r="L1159" s="54"/>
      <c r="M1159" s="75"/>
      <c r="N1159" s="145"/>
      <c r="O1159" s="73"/>
      <c r="P1159" s="75" t="s">
        <v>16</v>
      </c>
      <c r="Q1159" s="58"/>
      <c r="S1159" s="8"/>
    </row>
    <row r="1160" spans="1:19" s="1" customFormat="1" ht="19.5" hidden="1" customHeight="1" x14ac:dyDescent="0.3">
      <c r="A1160" s="18"/>
      <c r="B1160" s="95" t="s">
        <v>537</v>
      </c>
      <c r="C1160" s="479">
        <v>45947.791666666664</v>
      </c>
      <c r="D1160" s="479"/>
      <c r="E1160" s="479"/>
      <c r="F1160" s="97" t="s">
        <v>429</v>
      </c>
      <c r="G1160" s="96">
        <v>6000</v>
      </c>
      <c r="H1160" s="152"/>
      <c r="I1160" s="86" t="s">
        <v>9</v>
      </c>
      <c r="J1160" s="52"/>
      <c r="K1160" s="95"/>
      <c r="L1160" s="51"/>
      <c r="M1160" s="95"/>
      <c r="N1160" s="124"/>
      <c r="O1160" s="86"/>
      <c r="P1160" s="95"/>
      <c r="Q1160" s="151"/>
      <c r="S1160" s="8"/>
    </row>
    <row r="1161" spans="1:19" s="1" customFormat="1" ht="19.5" hidden="1" customHeight="1" x14ac:dyDescent="0.3">
      <c r="A1161" s="18"/>
      <c r="B1161" s="95" t="s">
        <v>538</v>
      </c>
      <c r="C1161" s="479" t="s">
        <v>1152</v>
      </c>
      <c r="D1161" s="479"/>
      <c r="E1161" s="479"/>
      <c r="F1161" s="97" t="s">
        <v>429</v>
      </c>
      <c r="G1161" s="96">
        <v>5300</v>
      </c>
      <c r="H1161" s="152"/>
      <c r="I1161" s="86" t="s">
        <v>9</v>
      </c>
      <c r="J1161" s="52"/>
      <c r="K1161" s="95"/>
      <c r="L1161" s="51"/>
      <c r="M1161" s="95"/>
      <c r="N1161" s="124"/>
      <c r="O1161" s="86"/>
      <c r="P1161" s="95"/>
      <c r="Q1161" s="151"/>
      <c r="S1161" s="8"/>
    </row>
    <row r="1162" spans="1:19" s="1" customFormat="1" ht="19.5" hidden="1" customHeight="1" x14ac:dyDescent="0.3">
      <c r="A1162" s="18"/>
      <c r="B1162" s="95" t="s">
        <v>532</v>
      </c>
      <c r="C1162" s="395" t="s">
        <v>1150</v>
      </c>
      <c r="D1162" s="396"/>
      <c r="E1162" s="397"/>
      <c r="F1162" s="97" t="s">
        <v>429</v>
      </c>
      <c r="G1162" s="96">
        <v>5000</v>
      </c>
      <c r="H1162" s="152"/>
      <c r="I1162" s="86" t="s">
        <v>9</v>
      </c>
      <c r="J1162" s="52"/>
      <c r="K1162" s="95"/>
      <c r="L1162" s="51"/>
      <c r="M1162" s="95"/>
      <c r="N1162" s="124"/>
      <c r="O1162" s="86"/>
      <c r="P1162" s="95"/>
      <c r="Q1162" s="151"/>
      <c r="S1162" s="8"/>
    </row>
    <row r="1163" spans="1:19" s="1" customFormat="1" ht="19.5" hidden="1" customHeight="1" x14ac:dyDescent="0.3">
      <c r="A1163" s="18"/>
      <c r="B1163" s="95" t="s">
        <v>536</v>
      </c>
      <c r="C1163" s="395" t="s">
        <v>1151</v>
      </c>
      <c r="D1163" s="396"/>
      <c r="E1163" s="397"/>
      <c r="F1163" s="97" t="s">
        <v>429</v>
      </c>
      <c r="G1163" s="96">
        <v>8100</v>
      </c>
      <c r="H1163" s="152"/>
      <c r="I1163" s="86" t="s">
        <v>9</v>
      </c>
      <c r="J1163" s="52"/>
      <c r="K1163" s="95"/>
      <c r="L1163" s="51"/>
      <c r="M1163" s="95"/>
      <c r="N1163" s="124"/>
      <c r="O1163" s="86"/>
      <c r="P1163" s="95"/>
      <c r="Q1163" s="151"/>
      <c r="S1163" s="8"/>
    </row>
    <row r="1164" spans="1:19" s="1" customFormat="1" ht="19.5" hidden="1" customHeight="1" x14ac:dyDescent="0.3">
      <c r="A1164" s="18"/>
      <c r="B1164" s="75" t="s">
        <v>574</v>
      </c>
      <c r="C1164" s="462">
        <v>45951.878472222219</v>
      </c>
      <c r="D1164" s="462"/>
      <c r="E1164" s="462"/>
      <c r="F1164" s="78" t="s">
        <v>429</v>
      </c>
      <c r="G1164" s="78">
        <v>7500</v>
      </c>
      <c r="H1164" s="57" t="s">
        <v>591</v>
      </c>
      <c r="I1164" s="73" t="s">
        <v>9</v>
      </c>
      <c r="J1164" s="53"/>
      <c r="K1164" s="75"/>
      <c r="L1164" s="54"/>
      <c r="M1164" s="75"/>
      <c r="N1164" s="145"/>
      <c r="O1164" s="73"/>
      <c r="P1164" s="75"/>
      <c r="Q1164" s="58"/>
      <c r="S1164" s="8"/>
    </row>
    <row r="1165" spans="1:19" s="1" customFormat="1" ht="19.5" hidden="1" customHeight="1" x14ac:dyDescent="0.3">
      <c r="A1165" s="18"/>
      <c r="B1165" s="95" t="s">
        <v>538</v>
      </c>
      <c r="C1165" s="479">
        <v>45954.791666666664</v>
      </c>
      <c r="D1165" s="479"/>
      <c r="E1165" s="479"/>
      <c r="F1165" s="97" t="s">
        <v>429</v>
      </c>
      <c r="G1165" s="96">
        <v>5300</v>
      </c>
      <c r="H1165" s="97" t="s">
        <v>147</v>
      </c>
      <c r="I1165" s="86" t="s">
        <v>9</v>
      </c>
      <c r="J1165" s="52"/>
      <c r="K1165" s="95"/>
      <c r="L1165" s="51"/>
      <c r="M1165" s="95"/>
      <c r="N1165" s="124"/>
      <c r="O1165" s="86"/>
      <c r="P1165" s="95"/>
      <c r="Q1165" s="151"/>
      <c r="S1165" s="8"/>
    </row>
    <row r="1166" spans="1:19" s="1" customFormat="1" ht="19.5" hidden="1" customHeight="1" x14ac:dyDescent="0.3">
      <c r="A1166" s="18"/>
      <c r="B1166" s="95" t="s">
        <v>536</v>
      </c>
      <c r="C1166" s="479">
        <v>45955.416666666664</v>
      </c>
      <c r="D1166" s="479"/>
      <c r="E1166" s="479"/>
      <c r="F1166" s="97" t="s">
        <v>429</v>
      </c>
      <c r="G1166" s="96">
        <v>8100</v>
      </c>
      <c r="H1166" s="152" t="s">
        <v>591</v>
      </c>
      <c r="I1166" s="86" t="s">
        <v>9</v>
      </c>
      <c r="J1166" s="52"/>
      <c r="K1166" s="95"/>
      <c r="L1166" s="51"/>
      <c r="M1166" s="95"/>
      <c r="N1166" s="124"/>
      <c r="O1166" s="86"/>
      <c r="P1166" s="95"/>
      <c r="Q1166" s="151"/>
      <c r="S1166" s="8"/>
    </row>
    <row r="1167" spans="1:19" s="1" customFormat="1" ht="19.5" hidden="1" customHeight="1" x14ac:dyDescent="0.3">
      <c r="A1167" s="18"/>
      <c r="B1167" s="75" t="s">
        <v>586</v>
      </c>
      <c r="C1167" s="462">
        <v>45957.388888888891</v>
      </c>
      <c r="D1167" s="462"/>
      <c r="E1167" s="462"/>
      <c r="F1167" s="78" t="s">
        <v>429</v>
      </c>
      <c r="G1167" s="78">
        <v>7300</v>
      </c>
      <c r="H1167" s="57" t="s">
        <v>133</v>
      </c>
      <c r="I1167" s="73" t="s">
        <v>9</v>
      </c>
      <c r="J1167" s="53"/>
      <c r="K1167" s="75"/>
      <c r="L1167" s="54"/>
      <c r="M1167" s="75"/>
      <c r="N1167" s="145"/>
      <c r="O1167" s="73"/>
      <c r="P1167" s="75"/>
      <c r="Q1167" s="58"/>
      <c r="S1167" s="8"/>
    </row>
    <row r="1168" spans="1:19" s="1" customFormat="1" ht="19.5" hidden="1" customHeight="1" x14ac:dyDescent="0.3">
      <c r="A1168" s="18"/>
      <c r="B1168" s="95" t="s">
        <v>537</v>
      </c>
      <c r="C1168" s="479" t="s">
        <v>1166</v>
      </c>
      <c r="D1168" s="479"/>
      <c r="E1168" s="479"/>
      <c r="F1168" s="97" t="s">
        <v>429</v>
      </c>
      <c r="G1168" s="96">
        <v>6000</v>
      </c>
      <c r="H1168" s="152" t="s">
        <v>147</v>
      </c>
      <c r="I1168" s="86" t="s">
        <v>9</v>
      </c>
      <c r="J1168" s="52"/>
      <c r="K1168" s="95"/>
      <c r="L1168" s="51"/>
      <c r="M1168" s="95"/>
      <c r="N1168" s="124"/>
      <c r="O1168" s="86"/>
      <c r="P1168" s="95"/>
      <c r="Q1168" s="151"/>
      <c r="S1168" s="8"/>
    </row>
    <row r="1169" spans="1:19" s="1" customFormat="1" ht="19.5" hidden="1" customHeight="1" x14ac:dyDescent="0.3">
      <c r="A1169" s="18"/>
      <c r="B1169" s="75" t="s">
        <v>574</v>
      </c>
      <c r="C1169" s="462">
        <v>45960.572916666664</v>
      </c>
      <c r="D1169" s="462"/>
      <c r="E1169" s="462"/>
      <c r="F1169" s="78" t="s">
        <v>429</v>
      </c>
      <c r="G1169" s="78">
        <v>7500</v>
      </c>
      <c r="H1169" s="57" t="s">
        <v>591</v>
      </c>
      <c r="I1169" s="73" t="s">
        <v>9</v>
      </c>
      <c r="J1169" s="53"/>
      <c r="K1169" s="75"/>
      <c r="L1169" s="54"/>
      <c r="M1169" s="75"/>
      <c r="N1169" s="145"/>
      <c r="O1169" s="73"/>
      <c r="P1169" s="75"/>
      <c r="Q1169" s="58"/>
      <c r="S1169" s="8"/>
    </row>
    <row r="1170" spans="1:19" s="1" customFormat="1" ht="19.5" hidden="1" customHeight="1" x14ac:dyDescent="0.3">
      <c r="A1170" s="18"/>
      <c r="B1170" s="95" t="s">
        <v>1167</v>
      </c>
      <c r="C1170" s="479">
        <v>45962.708333333336</v>
      </c>
      <c r="D1170" s="479"/>
      <c r="E1170" s="479"/>
      <c r="F1170" s="97" t="s">
        <v>429</v>
      </c>
      <c r="G1170" s="96">
        <v>5300</v>
      </c>
      <c r="H1170" s="152" t="s">
        <v>591</v>
      </c>
      <c r="I1170" s="86" t="s">
        <v>9</v>
      </c>
      <c r="J1170" s="52"/>
      <c r="K1170" s="95"/>
      <c r="L1170" s="51"/>
      <c r="M1170" s="95"/>
      <c r="N1170" s="124"/>
      <c r="O1170" s="86"/>
      <c r="P1170" s="95"/>
      <c r="Q1170" s="151"/>
      <c r="S1170" s="8"/>
    </row>
    <row r="1171" spans="1:19" s="1" customFormat="1" ht="19.5" hidden="1" customHeight="1" x14ac:dyDescent="0.3">
      <c r="A1171" s="18"/>
      <c r="B1171" s="95" t="s">
        <v>98</v>
      </c>
      <c r="C1171" s="479">
        <v>45963.375</v>
      </c>
      <c r="D1171" s="479"/>
      <c r="E1171" s="479"/>
      <c r="F1171" s="97" t="s">
        <v>429</v>
      </c>
      <c r="G1171" s="96">
        <v>6600</v>
      </c>
      <c r="H1171" s="152" t="s">
        <v>582</v>
      </c>
      <c r="I1171" s="86" t="s">
        <v>9</v>
      </c>
      <c r="J1171" s="52"/>
      <c r="K1171" s="95"/>
      <c r="L1171" s="51"/>
      <c r="M1171" s="95"/>
      <c r="N1171" s="124"/>
      <c r="O1171" s="86"/>
      <c r="P1171" s="95"/>
      <c r="Q1171" s="151"/>
      <c r="S1171" s="8"/>
    </row>
    <row r="1172" spans="1:19" s="1" customFormat="1" ht="19.5" hidden="1" customHeight="1" x14ac:dyDescent="0.3">
      <c r="A1172" s="18"/>
      <c r="B1172" s="75" t="s">
        <v>1170</v>
      </c>
      <c r="C1172" s="462">
        <v>45965.324999999997</v>
      </c>
      <c r="D1172" s="462"/>
      <c r="E1172" s="462"/>
      <c r="F1172" s="78" t="s">
        <v>654</v>
      </c>
      <c r="G1172" s="78">
        <v>25750</v>
      </c>
      <c r="H1172" s="57"/>
      <c r="I1172" s="73" t="s">
        <v>9</v>
      </c>
      <c r="J1172" s="53"/>
      <c r="K1172" s="75"/>
      <c r="L1172" s="54"/>
      <c r="M1172" s="75" t="s">
        <v>16</v>
      </c>
      <c r="N1172" s="145"/>
      <c r="O1172" s="73"/>
      <c r="P1172" s="75"/>
      <c r="Q1172" s="58"/>
      <c r="S1172" s="8"/>
    </row>
    <row r="1173" spans="1:19" s="1" customFormat="1" ht="19.5" hidden="1" customHeight="1" x14ac:dyDescent="0.3">
      <c r="A1173" s="18"/>
      <c r="B1173" s="95" t="s">
        <v>537</v>
      </c>
      <c r="C1173" s="479">
        <v>45968.791666666664</v>
      </c>
      <c r="D1173" s="479"/>
      <c r="E1173" s="479"/>
      <c r="F1173" s="97" t="s">
        <v>429</v>
      </c>
      <c r="G1173" s="96">
        <v>6000</v>
      </c>
      <c r="H1173" s="152" t="s">
        <v>147</v>
      </c>
      <c r="I1173" s="86" t="s">
        <v>9</v>
      </c>
      <c r="J1173" s="52"/>
      <c r="K1173" s="95"/>
      <c r="L1173" s="51"/>
      <c r="M1173" s="95"/>
      <c r="N1173" s="124"/>
      <c r="O1173" s="86"/>
      <c r="P1173" s="95"/>
      <c r="Q1173" s="151"/>
      <c r="S1173" s="8"/>
    </row>
    <row r="1174" spans="1:19" s="1" customFormat="1" ht="19.5" hidden="1" customHeight="1" x14ac:dyDescent="0.3">
      <c r="A1174" s="18"/>
      <c r="B1174" s="95" t="s">
        <v>586</v>
      </c>
      <c r="C1174" s="479" t="s">
        <v>1182</v>
      </c>
      <c r="D1174" s="479"/>
      <c r="E1174" s="479"/>
      <c r="F1174" s="97" t="s">
        <v>429</v>
      </c>
      <c r="G1174" s="96">
        <v>7300</v>
      </c>
      <c r="H1174" s="152" t="s">
        <v>581</v>
      </c>
      <c r="I1174" s="86" t="s">
        <v>9</v>
      </c>
      <c r="J1174" s="52"/>
      <c r="K1174" s="95"/>
      <c r="L1174" s="51"/>
      <c r="M1174" s="95"/>
      <c r="N1174" s="124"/>
      <c r="O1174" s="86"/>
      <c r="P1174" s="95"/>
      <c r="Q1174" s="151"/>
      <c r="S1174" s="8"/>
    </row>
    <row r="1175" spans="1:19" s="1" customFormat="1" ht="19.5" hidden="1" customHeight="1" x14ac:dyDescent="0.3">
      <c r="A1175" s="18"/>
      <c r="B1175" s="75" t="s">
        <v>1172</v>
      </c>
      <c r="C1175" s="411">
        <v>45971.241666666669</v>
      </c>
      <c r="D1175" s="412"/>
      <c r="E1175" s="413"/>
      <c r="F1175" s="78" t="s">
        <v>654</v>
      </c>
      <c r="G1175" s="78">
        <v>25450</v>
      </c>
      <c r="H1175" s="57"/>
      <c r="I1175" s="73" t="s">
        <v>9</v>
      </c>
      <c r="J1175" s="53"/>
      <c r="K1175" s="75"/>
      <c r="L1175" s="54"/>
      <c r="M1175" s="75" t="s">
        <v>16</v>
      </c>
      <c r="N1175" s="145"/>
      <c r="O1175" s="73"/>
      <c r="P1175" s="75"/>
      <c r="Q1175" s="58"/>
      <c r="S1175" s="8"/>
    </row>
    <row r="1176" spans="1:19" s="1" customFormat="1" ht="19.5" hidden="1" customHeight="1" x14ac:dyDescent="0.3">
      <c r="A1176" s="18"/>
      <c r="B1176" s="75" t="s">
        <v>536</v>
      </c>
      <c r="C1176" s="411">
        <v>45974.368055555555</v>
      </c>
      <c r="D1176" s="412"/>
      <c r="E1176" s="413"/>
      <c r="F1176" s="78" t="s">
        <v>429</v>
      </c>
      <c r="G1176" s="78">
        <v>7500</v>
      </c>
      <c r="H1176" s="57" t="s">
        <v>591</v>
      </c>
      <c r="I1176" s="73" t="s">
        <v>9</v>
      </c>
      <c r="J1176" s="53"/>
      <c r="K1176" s="75"/>
      <c r="L1176" s="54"/>
      <c r="M1176" s="75"/>
      <c r="N1176" s="145"/>
      <c r="O1176" s="73"/>
      <c r="P1176" s="75"/>
      <c r="Q1176" s="58"/>
      <c r="S1176" s="8"/>
    </row>
    <row r="1177" spans="1:19" s="1" customFormat="1" ht="19.5" hidden="1" customHeight="1" x14ac:dyDescent="0.3">
      <c r="A1177" s="18"/>
      <c r="B1177" s="75" t="s">
        <v>574</v>
      </c>
      <c r="C1177" s="411">
        <v>45975.402777777781</v>
      </c>
      <c r="D1177" s="412"/>
      <c r="E1177" s="413"/>
      <c r="F1177" s="78" t="s">
        <v>429</v>
      </c>
      <c r="G1177" s="78">
        <v>8100</v>
      </c>
      <c r="H1177" s="57" t="s">
        <v>591</v>
      </c>
      <c r="I1177" s="73" t="s">
        <v>9</v>
      </c>
      <c r="J1177" s="53"/>
      <c r="K1177" s="75"/>
      <c r="L1177" s="54"/>
      <c r="M1177" s="75"/>
      <c r="N1177" s="145"/>
      <c r="O1177" s="73"/>
      <c r="P1177" s="75"/>
      <c r="Q1177" s="58"/>
      <c r="S1177" s="8"/>
    </row>
    <row r="1178" spans="1:19" s="1" customFormat="1" ht="19.5" hidden="1" customHeight="1" x14ac:dyDescent="0.3">
      <c r="A1178" s="18"/>
      <c r="B1178" s="95" t="s">
        <v>538</v>
      </c>
      <c r="C1178" s="452" t="s">
        <v>1192</v>
      </c>
      <c r="D1178" s="453"/>
      <c r="E1178" s="454"/>
      <c r="F1178" s="97" t="s">
        <v>429</v>
      </c>
      <c r="G1178" s="96">
        <v>5300</v>
      </c>
      <c r="H1178" s="152" t="s">
        <v>134</v>
      </c>
      <c r="I1178" s="86" t="s">
        <v>9</v>
      </c>
      <c r="J1178" s="52"/>
      <c r="K1178" s="95"/>
      <c r="L1178" s="51"/>
      <c r="M1178" s="95"/>
      <c r="N1178" s="124"/>
      <c r="O1178" s="86"/>
      <c r="P1178" s="95"/>
      <c r="Q1178" s="151"/>
      <c r="S1178" s="8"/>
    </row>
    <row r="1179" spans="1:19" s="1" customFormat="1" ht="19.5" hidden="1" customHeight="1" x14ac:dyDescent="0.3">
      <c r="A1179" s="18"/>
      <c r="B1179" s="75" t="s">
        <v>1185</v>
      </c>
      <c r="C1179" s="411">
        <v>45976.932638888888</v>
      </c>
      <c r="D1179" s="412"/>
      <c r="E1179" s="413"/>
      <c r="F1179" s="78" t="s">
        <v>654</v>
      </c>
      <c r="G1179" s="78">
        <v>25500</v>
      </c>
      <c r="H1179" s="57"/>
      <c r="I1179" s="73" t="s">
        <v>9</v>
      </c>
      <c r="J1179" s="53"/>
      <c r="K1179" s="75"/>
      <c r="L1179" s="54"/>
      <c r="M1179" s="75"/>
      <c r="N1179" s="145"/>
      <c r="O1179" s="73"/>
      <c r="P1179" s="75"/>
      <c r="Q1179" s="58"/>
      <c r="S1179" s="8"/>
    </row>
    <row r="1180" spans="1:19" s="1" customFormat="1" ht="19.5" hidden="1" customHeight="1" x14ac:dyDescent="0.3">
      <c r="A1180" s="18"/>
      <c r="B1180" s="75" t="s">
        <v>702</v>
      </c>
      <c r="C1180" s="411">
        <v>45979.8125</v>
      </c>
      <c r="D1180" s="412"/>
      <c r="E1180" s="413"/>
      <c r="F1180" s="78" t="s">
        <v>429</v>
      </c>
      <c r="G1180" s="78">
        <v>6700</v>
      </c>
      <c r="H1180" s="57" t="s">
        <v>573</v>
      </c>
      <c r="I1180" s="73" t="s">
        <v>9</v>
      </c>
      <c r="J1180" s="53"/>
      <c r="K1180" s="75"/>
      <c r="L1180" s="54"/>
      <c r="M1180" s="75"/>
      <c r="N1180" s="145"/>
      <c r="O1180" s="73"/>
      <c r="P1180" s="75"/>
      <c r="Q1180" s="58"/>
      <c r="S1180" s="8"/>
    </row>
    <row r="1181" spans="1:19" s="1" customFormat="1" ht="19.5" hidden="1" customHeight="1" x14ac:dyDescent="0.3">
      <c r="A1181" s="18"/>
      <c r="B1181" s="95" t="s">
        <v>537</v>
      </c>
      <c r="C1181" s="452" t="s">
        <v>1196</v>
      </c>
      <c r="D1181" s="453"/>
      <c r="E1181" s="454"/>
      <c r="F1181" s="97" t="s">
        <v>429</v>
      </c>
      <c r="G1181" s="96">
        <v>6000</v>
      </c>
      <c r="H1181" s="152" t="s">
        <v>147</v>
      </c>
      <c r="I1181" s="86" t="s">
        <v>9</v>
      </c>
      <c r="J1181" s="52"/>
      <c r="K1181" s="95"/>
      <c r="L1181" s="51"/>
      <c r="M1181" s="95"/>
      <c r="N1181" s="124"/>
      <c r="O1181" s="86"/>
      <c r="P1181" s="95"/>
      <c r="Q1181" s="151"/>
      <c r="S1181" s="8"/>
    </row>
    <row r="1182" spans="1:19" s="1" customFormat="1" ht="19.5" hidden="1" customHeight="1" x14ac:dyDescent="0.3">
      <c r="A1182" s="18"/>
      <c r="B1182" s="75" t="s">
        <v>1197</v>
      </c>
      <c r="C1182" s="411">
        <v>45984.069444444445</v>
      </c>
      <c r="D1182" s="412"/>
      <c r="E1182" s="413"/>
      <c r="F1182" s="78" t="s">
        <v>654</v>
      </c>
      <c r="G1182" s="78">
        <v>27000</v>
      </c>
      <c r="H1182" s="57"/>
      <c r="I1182" s="73" t="s">
        <v>9</v>
      </c>
      <c r="J1182" s="53"/>
      <c r="K1182" s="75"/>
      <c r="L1182" s="54"/>
      <c r="M1182" s="75"/>
      <c r="N1182" s="145"/>
      <c r="O1182" s="73"/>
      <c r="P1182" s="75"/>
      <c r="Q1182" s="58"/>
      <c r="S1182" s="8"/>
    </row>
    <row r="1183" spans="1:19" s="1" customFormat="1" ht="19.5" hidden="1" customHeight="1" x14ac:dyDescent="0.3">
      <c r="A1183" s="18"/>
      <c r="B1183" s="75" t="s">
        <v>1201</v>
      </c>
      <c r="C1183" s="411">
        <v>45987.308333333334</v>
      </c>
      <c r="D1183" s="412"/>
      <c r="E1183" s="413"/>
      <c r="F1183" s="78" t="s">
        <v>654</v>
      </c>
      <c r="G1183" s="78">
        <v>26950</v>
      </c>
      <c r="H1183" s="57"/>
      <c r="I1183" s="73" t="s">
        <v>9</v>
      </c>
      <c r="J1183" s="53"/>
      <c r="K1183" s="75"/>
      <c r="L1183" s="54"/>
      <c r="M1183" s="75"/>
      <c r="N1183" s="145"/>
      <c r="O1183" s="73"/>
      <c r="P1183" s="75"/>
      <c r="Q1183" s="58"/>
      <c r="S1183" s="8"/>
    </row>
    <row r="1184" spans="1:19" s="1" customFormat="1" ht="19.5" hidden="1" customHeight="1" x14ac:dyDescent="0.3">
      <c r="A1184" s="18"/>
      <c r="B1184" s="95" t="s">
        <v>536</v>
      </c>
      <c r="C1184" s="452" t="s">
        <v>1211</v>
      </c>
      <c r="D1184" s="453"/>
      <c r="E1184" s="454"/>
      <c r="F1184" s="97" t="s">
        <v>429</v>
      </c>
      <c r="G1184" s="97">
        <v>8100</v>
      </c>
      <c r="H1184" s="152" t="s">
        <v>591</v>
      </c>
      <c r="I1184" s="86" t="s">
        <v>9</v>
      </c>
      <c r="J1184" s="52"/>
      <c r="K1184" s="95"/>
      <c r="L1184" s="51"/>
      <c r="M1184" s="95"/>
      <c r="N1184" s="124"/>
      <c r="O1184" s="86"/>
      <c r="P1184" s="95"/>
      <c r="Q1184" s="151"/>
      <c r="S1184" s="8"/>
    </row>
    <row r="1185" spans="1:19" s="1" customFormat="1" ht="19.5" hidden="1" customHeight="1" x14ac:dyDescent="0.3">
      <c r="A1185" s="18"/>
      <c r="B1185" s="95" t="s">
        <v>586</v>
      </c>
      <c r="C1185" s="452" t="s">
        <v>1212</v>
      </c>
      <c r="D1185" s="453"/>
      <c r="E1185" s="454"/>
      <c r="F1185" s="97" t="s">
        <v>429</v>
      </c>
      <c r="G1185" s="97">
        <v>7300</v>
      </c>
      <c r="H1185" s="152" t="s">
        <v>591</v>
      </c>
      <c r="I1185" s="86" t="s">
        <v>9</v>
      </c>
      <c r="J1185" s="52"/>
      <c r="K1185" s="95"/>
      <c r="L1185" s="51"/>
      <c r="M1185" s="95"/>
      <c r="N1185" s="124"/>
      <c r="O1185" s="86"/>
      <c r="P1185" s="95"/>
      <c r="Q1185" s="151"/>
      <c r="S1185" s="8"/>
    </row>
    <row r="1186" spans="1:19" s="1" customFormat="1" ht="19.5" hidden="1" customHeight="1" x14ac:dyDescent="0.3">
      <c r="A1186" s="18"/>
      <c r="B1186" s="75" t="s">
        <v>1120</v>
      </c>
      <c r="C1186" s="411">
        <v>45993.14166666667</v>
      </c>
      <c r="D1186" s="412"/>
      <c r="E1186" s="413"/>
      <c r="F1186" s="78" t="s">
        <v>654</v>
      </c>
      <c r="G1186" s="78">
        <v>27000</v>
      </c>
      <c r="H1186" s="57"/>
      <c r="I1186" s="73" t="s">
        <v>9</v>
      </c>
      <c r="J1186" s="53"/>
      <c r="K1186" s="75"/>
      <c r="L1186" s="54"/>
      <c r="M1186" s="75"/>
      <c r="N1186" s="145"/>
      <c r="O1186" s="73"/>
      <c r="P1186" s="75"/>
      <c r="Q1186" s="58"/>
      <c r="S1186" s="8"/>
    </row>
    <row r="1187" spans="1:19" s="1" customFormat="1" ht="19.5" hidden="1" customHeight="1" x14ac:dyDescent="0.3">
      <c r="A1187" s="18"/>
      <c r="B1187" s="95" t="s">
        <v>537</v>
      </c>
      <c r="C1187" s="452">
        <v>45996.791666666664</v>
      </c>
      <c r="D1187" s="453"/>
      <c r="E1187" s="454"/>
      <c r="F1187" s="97" t="s">
        <v>429</v>
      </c>
      <c r="G1187" s="96">
        <v>6000</v>
      </c>
      <c r="H1187" s="152" t="s">
        <v>147</v>
      </c>
      <c r="I1187" s="86" t="s">
        <v>9</v>
      </c>
      <c r="J1187" s="52"/>
      <c r="K1187" s="95"/>
      <c r="L1187" s="51"/>
      <c r="M1187" s="95"/>
      <c r="N1187" s="124"/>
      <c r="O1187" s="86"/>
      <c r="P1187" s="95"/>
      <c r="Q1187" s="151"/>
      <c r="S1187" s="8"/>
    </row>
    <row r="1188" spans="1:19" s="1" customFormat="1" ht="19.5" hidden="1" customHeight="1" x14ac:dyDescent="0.3">
      <c r="A1188" s="18"/>
      <c r="B1188" s="75" t="s">
        <v>574</v>
      </c>
      <c r="C1188" s="411">
        <v>46000.625</v>
      </c>
      <c r="D1188" s="412"/>
      <c r="E1188" s="413"/>
      <c r="F1188" s="78" t="s">
        <v>429</v>
      </c>
      <c r="G1188" s="78">
        <v>7500</v>
      </c>
      <c r="H1188" s="57" t="s">
        <v>591</v>
      </c>
      <c r="I1188" s="73" t="s">
        <v>9</v>
      </c>
      <c r="J1188" s="53"/>
      <c r="K1188" s="75"/>
      <c r="L1188" s="54"/>
      <c r="M1188" s="75"/>
      <c r="N1188" s="145"/>
      <c r="O1188" s="73"/>
      <c r="P1188" s="75"/>
      <c r="Q1188" s="58"/>
      <c r="S1188" s="8"/>
    </row>
    <row r="1189" spans="1:19" s="1" customFormat="1" ht="19.5" hidden="1" customHeight="1" x14ac:dyDescent="0.3">
      <c r="A1189" s="18"/>
      <c r="B1189" s="75" t="s">
        <v>1216</v>
      </c>
      <c r="C1189" s="411">
        <v>46002.5</v>
      </c>
      <c r="D1189" s="412"/>
      <c r="E1189" s="413"/>
      <c r="F1189" s="78" t="s">
        <v>654</v>
      </c>
      <c r="G1189" s="78">
        <v>26810</v>
      </c>
      <c r="H1189" s="57"/>
      <c r="I1189" s="73" t="s">
        <v>9</v>
      </c>
      <c r="J1189" s="53"/>
      <c r="K1189" s="75"/>
      <c r="L1189" s="54"/>
      <c r="M1189" s="75"/>
      <c r="N1189" s="145"/>
      <c r="O1189" s="73"/>
      <c r="P1189" s="75"/>
      <c r="Q1189" s="58"/>
      <c r="S1189" s="8"/>
    </row>
    <row r="1190" spans="1:19" s="1" customFormat="1" ht="19.5" hidden="1" customHeight="1" x14ac:dyDescent="0.3">
      <c r="A1190" s="18"/>
      <c r="B1190" s="75" t="s">
        <v>98</v>
      </c>
      <c r="C1190" s="411">
        <v>46006.024305555555</v>
      </c>
      <c r="D1190" s="412"/>
      <c r="E1190" s="413"/>
      <c r="F1190" s="78" t="s">
        <v>429</v>
      </c>
      <c r="G1190" s="78">
        <v>6600</v>
      </c>
      <c r="H1190" s="57" t="s">
        <v>582</v>
      </c>
      <c r="I1190" s="73" t="s">
        <v>9</v>
      </c>
      <c r="J1190" s="53"/>
      <c r="K1190" s="75"/>
      <c r="L1190" s="54"/>
      <c r="M1190" s="75"/>
      <c r="N1190" s="145"/>
      <c r="O1190" s="73"/>
      <c r="P1190" s="75"/>
      <c r="Q1190" s="58"/>
      <c r="S1190" s="8"/>
    </row>
    <row r="1191" spans="1:19" s="1" customFormat="1" ht="19.5" hidden="1" customHeight="1" x14ac:dyDescent="0.3">
      <c r="A1191" s="18"/>
      <c r="B1191" s="75" t="s">
        <v>537</v>
      </c>
      <c r="C1191" s="411" t="s">
        <v>1224</v>
      </c>
      <c r="D1191" s="412"/>
      <c r="E1191" s="413"/>
      <c r="F1191" s="78" t="s">
        <v>429</v>
      </c>
      <c r="G1191" s="78">
        <v>6000</v>
      </c>
      <c r="H1191" s="57" t="s">
        <v>147</v>
      </c>
      <c r="I1191" s="73" t="s">
        <v>9</v>
      </c>
      <c r="J1191" s="53"/>
      <c r="K1191" s="75"/>
      <c r="L1191" s="54"/>
      <c r="M1191" s="75"/>
      <c r="N1191" s="145"/>
      <c r="O1191" s="73"/>
      <c r="P1191" s="75"/>
      <c r="Q1191" s="58"/>
      <c r="S1191" s="8"/>
    </row>
    <row r="1192" spans="1:19" s="1" customFormat="1" ht="19.5" hidden="1" customHeight="1" x14ac:dyDescent="0.3">
      <c r="A1192" s="18"/>
      <c r="B1192" s="75" t="s">
        <v>536</v>
      </c>
      <c r="C1192" s="411">
        <v>46008.15625</v>
      </c>
      <c r="D1192" s="412"/>
      <c r="E1192" s="413"/>
      <c r="F1192" s="78" t="s">
        <v>429</v>
      </c>
      <c r="G1192" s="78">
        <v>8100</v>
      </c>
      <c r="H1192" s="57" t="s">
        <v>591</v>
      </c>
      <c r="I1192" s="73" t="s">
        <v>9</v>
      </c>
      <c r="J1192" s="53"/>
      <c r="K1192" s="75"/>
      <c r="L1192" s="54"/>
      <c r="M1192" s="75"/>
      <c r="N1192" s="145"/>
      <c r="O1192" s="73"/>
      <c r="P1192" s="75"/>
      <c r="Q1192" s="58"/>
      <c r="S1192" s="8"/>
    </row>
    <row r="1193" spans="1:19" s="1" customFormat="1" ht="19.5" hidden="1" customHeight="1" x14ac:dyDescent="0.3">
      <c r="A1193" s="18"/>
      <c r="B1193" s="95" t="s">
        <v>1120</v>
      </c>
      <c r="C1193" s="452" t="s">
        <v>1229</v>
      </c>
      <c r="D1193" s="453"/>
      <c r="E1193" s="454"/>
      <c r="F1193" s="97" t="s">
        <v>654</v>
      </c>
      <c r="G1193" s="96">
        <v>27000</v>
      </c>
      <c r="H1193" s="152"/>
      <c r="I1193" s="86" t="s">
        <v>9</v>
      </c>
      <c r="J1193" s="52"/>
      <c r="K1193" s="95"/>
      <c r="L1193" s="51"/>
      <c r="M1193" s="95"/>
      <c r="N1193" s="124"/>
      <c r="O1193" s="86"/>
      <c r="P1193" s="95"/>
      <c r="Q1193" s="151"/>
      <c r="S1193" s="8"/>
    </row>
    <row r="1194" spans="1:19" s="1" customFormat="1" ht="19.5" hidden="1" customHeight="1" x14ac:dyDescent="0.3">
      <c r="A1194" s="18"/>
      <c r="B1194" s="95" t="s">
        <v>574</v>
      </c>
      <c r="C1194" s="452">
        <v>46015.791666666664</v>
      </c>
      <c r="D1194" s="453"/>
      <c r="E1194" s="454"/>
      <c r="F1194" s="97" t="s">
        <v>429</v>
      </c>
      <c r="G1194" s="96">
        <v>7500</v>
      </c>
      <c r="H1194" s="152" t="s">
        <v>591</v>
      </c>
      <c r="I1194" s="86" t="s">
        <v>9</v>
      </c>
      <c r="J1194" s="52"/>
      <c r="K1194" s="95"/>
      <c r="L1194" s="51"/>
      <c r="M1194" s="95"/>
      <c r="N1194" s="124"/>
      <c r="O1194" s="86"/>
      <c r="P1194" s="95"/>
      <c r="Q1194" s="151"/>
      <c r="S1194" s="8"/>
    </row>
    <row r="1195" spans="1:19" s="1" customFormat="1" ht="19.5" hidden="1" customHeight="1" x14ac:dyDescent="0.3">
      <c r="A1195" s="18"/>
      <c r="B1195" s="95" t="s">
        <v>702</v>
      </c>
      <c r="C1195" s="452" t="s">
        <v>1232</v>
      </c>
      <c r="D1195" s="453"/>
      <c r="E1195" s="454"/>
      <c r="F1195" s="97" t="s">
        <v>429</v>
      </c>
      <c r="G1195" s="96">
        <v>6700</v>
      </c>
      <c r="H1195" s="152" t="s">
        <v>582</v>
      </c>
      <c r="I1195" s="86" t="s">
        <v>9</v>
      </c>
      <c r="J1195" s="52"/>
      <c r="K1195" s="95"/>
      <c r="L1195" s="51"/>
      <c r="M1195" s="95"/>
      <c r="N1195" s="124"/>
      <c r="O1195" s="86"/>
      <c r="P1195" s="95"/>
      <c r="Q1195" s="151"/>
      <c r="S1195" s="8"/>
    </row>
    <row r="1196" spans="1:19" s="1" customFormat="1" ht="19.5" hidden="1" customHeight="1" x14ac:dyDescent="0.3">
      <c r="A1196" s="18"/>
      <c r="B1196" s="95" t="s">
        <v>536</v>
      </c>
      <c r="C1196" s="452">
        <v>46017.645833333336</v>
      </c>
      <c r="D1196" s="453"/>
      <c r="E1196" s="454"/>
      <c r="F1196" s="97" t="s">
        <v>429</v>
      </c>
      <c r="G1196" s="96">
        <v>8100</v>
      </c>
      <c r="H1196" s="152" t="s">
        <v>591</v>
      </c>
      <c r="I1196" s="86" t="s">
        <v>9</v>
      </c>
      <c r="J1196" s="52"/>
      <c r="K1196" s="95"/>
      <c r="L1196" s="51"/>
      <c r="M1196" s="95"/>
      <c r="N1196" s="124"/>
      <c r="O1196" s="86"/>
      <c r="P1196" s="95"/>
      <c r="Q1196" s="151"/>
      <c r="S1196" s="8"/>
    </row>
    <row r="1197" spans="1:19" s="1" customFormat="1" ht="19.5" hidden="1" customHeight="1" x14ac:dyDescent="0.3">
      <c r="A1197" s="18"/>
      <c r="B1197" s="75" t="s">
        <v>1227</v>
      </c>
      <c r="C1197" s="411">
        <v>46018.711111111108</v>
      </c>
      <c r="D1197" s="412"/>
      <c r="E1197" s="413"/>
      <c r="F1197" s="78" t="s">
        <v>654</v>
      </c>
      <c r="G1197" s="78">
        <v>27000</v>
      </c>
      <c r="H1197" s="57"/>
      <c r="I1197" s="73" t="s">
        <v>9</v>
      </c>
      <c r="J1197" s="53"/>
      <c r="K1197" s="75"/>
      <c r="L1197" s="54"/>
      <c r="M1197" s="75"/>
      <c r="N1197" s="145"/>
      <c r="O1197" s="73"/>
      <c r="P1197" s="75"/>
      <c r="Q1197" s="58"/>
      <c r="S1197" s="8"/>
    </row>
    <row r="1198" spans="1:19" s="1" customFormat="1" ht="19.5" hidden="1" customHeight="1" x14ac:dyDescent="0.3">
      <c r="A1198" s="18"/>
      <c r="B1198" s="75" t="s">
        <v>586</v>
      </c>
      <c r="C1198" s="411">
        <v>46021.604166666664</v>
      </c>
      <c r="D1198" s="412"/>
      <c r="E1198" s="413"/>
      <c r="F1198" s="78" t="s">
        <v>429</v>
      </c>
      <c r="G1198" s="78">
        <v>7300</v>
      </c>
      <c r="H1198" s="57" t="s">
        <v>582</v>
      </c>
      <c r="I1198" s="73" t="s">
        <v>9</v>
      </c>
      <c r="J1198" s="53"/>
      <c r="K1198" s="75"/>
      <c r="L1198" s="54"/>
      <c r="M1198" s="75"/>
      <c r="N1198" s="145"/>
      <c r="O1198" s="73"/>
      <c r="P1198" s="75"/>
      <c r="Q1198" s="58"/>
      <c r="S1198" s="8"/>
    </row>
    <row r="1199" spans="1:19" s="1" customFormat="1" ht="19.5" hidden="1" customHeight="1" x14ac:dyDescent="0.3">
      <c r="A1199" s="18"/>
      <c r="B1199" s="95" t="s">
        <v>1167</v>
      </c>
      <c r="C1199" s="452">
        <v>46022.791666666664</v>
      </c>
      <c r="D1199" s="453"/>
      <c r="E1199" s="454"/>
      <c r="F1199" s="97" t="s">
        <v>429</v>
      </c>
      <c r="G1199" s="96">
        <v>5600</v>
      </c>
      <c r="H1199" s="152" t="s">
        <v>582</v>
      </c>
      <c r="I1199" s="86" t="s">
        <v>9</v>
      </c>
      <c r="J1199" s="52"/>
      <c r="K1199" s="95"/>
      <c r="L1199" s="51"/>
      <c r="M1199" s="95"/>
      <c r="N1199" s="124"/>
      <c r="O1199" s="86"/>
      <c r="P1199" s="95"/>
      <c r="Q1199" s="151"/>
      <c r="S1199" s="8"/>
    </row>
    <row r="1200" spans="1:19" s="1" customFormat="1" ht="19.5" hidden="1" customHeight="1" x14ac:dyDescent="0.3">
      <c r="A1200" s="18"/>
      <c r="B1200" s="95" t="s">
        <v>916</v>
      </c>
      <c r="C1200" s="452" t="s">
        <v>1254</v>
      </c>
      <c r="D1200" s="453"/>
      <c r="E1200" s="454"/>
      <c r="F1200" s="97" t="s">
        <v>654</v>
      </c>
      <c r="G1200" s="96">
        <v>25000</v>
      </c>
      <c r="H1200" s="152"/>
      <c r="I1200" s="86" t="s">
        <v>9</v>
      </c>
      <c r="J1200" s="52"/>
      <c r="K1200" s="95"/>
      <c r="L1200" s="51"/>
      <c r="M1200" s="95"/>
      <c r="N1200" s="124"/>
      <c r="O1200" s="86"/>
      <c r="P1200" s="95"/>
      <c r="Q1200" s="151"/>
      <c r="S1200" s="8"/>
    </row>
    <row r="1201" spans="1:19" s="1" customFormat="1" ht="19.5" hidden="1" customHeight="1" x14ac:dyDescent="0.3">
      <c r="A1201" s="18"/>
      <c r="B1201" s="75" t="s">
        <v>537</v>
      </c>
      <c r="C1201" s="411">
        <v>46026.618055555555</v>
      </c>
      <c r="D1201" s="412"/>
      <c r="E1201" s="413"/>
      <c r="F1201" s="78" t="s">
        <v>429</v>
      </c>
      <c r="G1201" s="78">
        <v>6000</v>
      </c>
      <c r="H1201" s="57" t="s">
        <v>147</v>
      </c>
      <c r="I1201" s="73" t="s">
        <v>9</v>
      </c>
      <c r="J1201" s="53"/>
      <c r="K1201" s="75"/>
      <c r="L1201" s="54"/>
      <c r="M1201" s="75"/>
      <c r="N1201" s="145"/>
      <c r="O1201" s="73"/>
      <c r="P1201" s="75"/>
      <c r="Q1201" s="58"/>
      <c r="S1201" s="8"/>
    </row>
    <row r="1202" spans="1:19" s="1" customFormat="1" ht="19.5" hidden="1" customHeight="1" x14ac:dyDescent="0.3">
      <c r="A1202" s="18"/>
      <c r="B1202" s="75" t="s">
        <v>574</v>
      </c>
      <c r="C1202" s="411">
        <v>46027.902777777781</v>
      </c>
      <c r="D1202" s="412"/>
      <c r="E1202" s="413"/>
      <c r="F1202" s="78" t="s">
        <v>429</v>
      </c>
      <c r="G1202" s="78">
        <v>7500</v>
      </c>
      <c r="H1202" s="57" t="s">
        <v>591</v>
      </c>
      <c r="I1202" s="73" t="s">
        <v>9</v>
      </c>
      <c r="J1202" s="53"/>
      <c r="K1202" s="75"/>
      <c r="L1202" s="54"/>
      <c r="M1202" s="75"/>
      <c r="N1202" s="145"/>
      <c r="O1202" s="73"/>
      <c r="P1202" s="75"/>
      <c r="Q1202" s="58"/>
      <c r="S1202" s="8"/>
    </row>
    <row r="1203" spans="1:19" s="1" customFormat="1" ht="19.5" hidden="1" customHeight="1" x14ac:dyDescent="0.3">
      <c r="A1203" s="18"/>
      <c r="B1203" s="95" t="s">
        <v>536</v>
      </c>
      <c r="C1203" s="452" t="s">
        <v>1265</v>
      </c>
      <c r="D1203" s="453"/>
      <c r="E1203" s="454"/>
      <c r="F1203" s="97" t="s">
        <v>429</v>
      </c>
      <c r="G1203" s="96">
        <v>8100</v>
      </c>
      <c r="H1203" s="152" t="s">
        <v>591</v>
      </c>
      <c r="I1203" s="86" t="s">
        <v>9</v>
      </c>
      <c r="J1203" s="52"/>
      <c r="K1203" s="95"/>
      <c r="L1203" s="51"/>
      <c r="M1203" s="95"/>
      <c r="N1203" s="124"/>
      <c r="O1203" s="86"/>
      <c r="P1203" s="95"/>
      <c r="Q1203" s="151"/>
      <c r="S1203" s="8"/>
    </row>
    <row r="1204" spans="1:19" s="1" customFormat="1" ht="19.5" hidden="1" customHeight="1" x14ac:dyDescent="0.3">
      <c r="A1204" s="18"/>
      <c r="B1204" s="95" t="s">
        <v>536</v>
      </c>
      <c r="C1204" s="452">
        <v>46032.291666666664</v>
      </c>
      <c r="D1204" s="453"/>
      <c r="E1204" s="454"/>
      <c r="F1204" s="97" t="s">
        <v>429</v>
      </c>
      <c r="G1204" s="96">
        <v>8100</v>
      </c>
      <c r="H1204" s="152" t="s">
        <v>591</v>
      </c>
      <c r="I1204" s="86"/>
      <c r="J1204" s="52"/>
      <c r="K1204" s="95"/>
      <c r="L1204" s="51"/>
      <c r="M1204" s="95"/>
      <c r="N1204" s="124"/>
      <c r="O1204" s="86"/>
      <c r="P1204" s="95"/>
      <c r="Q1204" s="151"/>
      <c r="S1204" s="8"/>
    </row>
    <row r="1205" spans="1:19" s="1" customFormat="1" ht="19.5" hidden="1" customHeight="1" x14ac:dyDescent="0.3">
      <c r="A1205" s="18"/>
      <c r="B1205" s="75" t="s">
        <v>1264</v>
      </c>
      <c r="C1205" s="411">
        <v>46035.561111111114</v>
      </c>
      <c r="D1205" s="412"/>
      <c r="E1205" s="413"/>
      <c r="F1205" s="78" t="s">
        <v>654</v>
      </c>
      <c r="G1205" s="78">
        <v>27500</v>
      </c>
      <c r="H1205" s="57"/>
      <c r="I1205" s="73" t="s">
        <v>9</v>
      </c>
      <c r="J1205" s="53"/>
      <c r="K1205" s="75"/>
      <c r="L1205" s="54"/>
      <c r="M1205" s="75"/>
      <c r="N1205" s="145"/>
      <c r="O1205" s="73"/>
      <c r="P1205" s="75"/>
      <c r="Q1205" s="58"/>
      <c r="S1205" s="8"/>
    </row>
    <row r="1206" spans="1:19" s="1" customFormat="1" ht="19.5" hidden="1" customHeight="1" x14ac:dyDescent="0.3">
      <c r="A1206" s="18"/>
      <c r="B1206" s="95" t="s">
        <v>532</v>
      </c>
      <c r="C1206" s="452" t="s">
        <v>1275</v>
      </c>
      <c r="D1206" s="453"/>
      <c r="E1206" s="454"/>
      <c r="F1206" s="97" t="s">
        <v>429</v>
      </c>
      <c r="G1206" s="96">
        <v>5000</v>
      </c>
      <c r="H1206" s="152" t="s">
        <v>573</v>
      </c>
      <c r="I1206" s="86" t="s">
        <v>9</v>
      </c>
      <c r="J1206" s="52"/>
      <c r="K1206" s="95"/>
      <c r="L1206" s="51"/>
      <c r="M1206" s="95"/>
      <c r="N1206" s="124"/>
      <c r="O1206" s="86"/>
      <c r="P1206" s="95"/>
      <c r="Q1206" s="151"/>
      <c r="S1206" s="8"/>
    </row>
    <row r="1207" spans="1:19" s="1" customFormat="1" hidden="1" x14ac:dyDescent="0.3">
      <c r="A1207" s="18"/>
      <c r="B1207" s="95" t="s">
        <v>586</v>
      </c>
      <c r="C1207" s="452" t="s">
        <v>1274</v>
      </c>
      <c r="D1207" s="453"/>
      <c r="E1207" s="454"/>
      <c r="F1207" s="97" t="s">
        <v>429</v>
      </c>
      <c r="G1207" s="96">
        <v>7300</v>
      </c>
      <c r="H1207" s="152" t="s">
        <v>581</v>
      </c>
      <c r="I1207" s="86" t="s">
        <v>9</v>
      </c>
      <c r="J1207" s="52"/>
      <c r="K1207" s="95"/>
      <c r="L1207" s="51"/>
      <c r="M1207" s="95"/>
      <c r="N1207" s="124"/>
      <c r="O1207" s="86"/>
      <c r="P1207" s="95"/>
      <c r="Q1207" s="151"/>
      <c r="S1207" s="8"/>
    </row>
    <row r="1208" spans="1:19" s="1" customFormat="1" ht="19.5" hidden="1" customHeight="1" x14ac:dyDescent="0.3">
      <c r="A1208" s="18"/>
      <c r="B1208" s="75" t="s">
        <v>536</v>
      </c>
      <c r="C1208" s="411">
        <v>46041.958333333336</v>
      </c>
      <c r="D1208" s="412"/>
      <c r="E1208" s="413"/>
      <c r="F1208" s="78" t="s">
        <v>429</v>
      </c>
      <c r="G1208" s="78">
        <v>8100</v>
      </c>
      <c r="H1208" s="57" t="s">
        <v>591</v>
      </c>
      <c r="I1208" s="73"/>
      <c r="J1208" s="53"/>
      <c r="K1208" s="75"/>
      <c r="L1208" s="54"/>
      <c r="M1208" s="75"/>
      <c r="N1208" s="145"/>
      <c r="O1208" s="73"/>
      <c r="P1208" s="75"/>
      <c r="Q1208" s="58"/>
      <c r="S1208" s="8"/>
    </row>
    <row r="1209" spans="1:19" s="1" customFormat="1" ht="19.5" hidden="1" customHeight="1" x14ac:dyDescent="0.3">
      <c r="A1209" s="18"/>
      <c r="B1209" s="95" t="s">
        <v>574</v>
      </c>
      <c r="C1209" s="452" t="s">
        <v>1279</v>
      </c>
      <c r="D1209" s="453"/>
      <c r="E1209" s="454"/>
      <c r="F1209" s="97" t="s">
        <v>429</v>
      </c>
      <c r="G1209" s="96">
        <v>7100</v>
      </c>
      <c r="H1209" s="152" t="s">
        <v>582</v>
      </c>
      <c r="I1209" s="86"/>
      <c r="J1209" s="52"/>
      <c r="K1209" s="95"/>
      <c r="L1209" s="51"/>
      <c r="M1209" s="95"/>
      <c r="N1209" s="124"/>
      <c r="O1209" s="86"/>
      <c r="P1209" s="95"/>
      <c r="Q1209" s="151"/>
      <c r="S1209" s="8"/>
    </row>
    <row r="1210" spans="1:19" s="1" customFormat="1" ht="19.5" hidden="1" customHeight="1" x14ac:dyDescent="0.3">
      <c r="A1210" s="18"/>
      <c r="B1210" s="75" t="s">
        <v>678</v>
      </c>
      <c r="C1210" s="411">
        <v>46044.439583333333</v>
      </c>
      <c r="D1210" s="412"/>
      <c r="E1210" s="413"/>
      <c r="F1210" s="78" t="s">
        <v>429</v>
      </c>
      <c r="G1210" s="78">
        <v>8100</v>
      </c>
      <c r="H1210" s="57" t="s">
        <v>1286</v>
      </c>
      <c r="I1210" s="73"/>
      <c r="J1210" s="53"/>
      <c r="K1210" s="75"/>
      <c r="L1210" s="54"/>
      <c r="M1210" s="75"/>
      <c r="N1210" s="145"/>
      <c r="O1210" s="73"/>
      <c r="P1210" s="75"/>
      <c r="Q1210" s="58"/>
      <c r="S1210" s="8"/>
    </row>
    <row r="1211" spans="1:19" s="1" customFormat="1" ht="19.5" hidden="1" customHeight="1" x14ac:dyDescent="0.3">
      <c r="A1211" s="18"/>
      <c r="B1211" s="75" t="s">
        <v>470</v>
      </c>
      <c r="C1211" s="411">
        <v>46045.6875</v>
      </c>
      <c r="D1211" s="412"/>
      <c r="E1211" s="413"/>
      <c r="F1211" s="78" t="s">
        <v>654</v>
      </c>
      <c r="G1211" s="78">
        <v>27500</v>
      </c>
      <c r="H1211" s="57"/>
      <c r="I1211" s="73" t="s">
        <v>9</v>
      </c>
      <c r="J1211" s="53"/>
      <c r="K1211" s="75"/>
      <c r="L1211" s="54"/>
      <c r="M1211" s="75"/>
      <c r="N1211" s="145"/>
      <c r="O1211" s="73"/>
      <c r="P1211" s="75"/>
      <c r="Q1211" s="58"/>
      <c r="S1211" s="8"/>
    </row>
    <row r="1212" spans="1:19" s="1" customFormat="1" ht="19.5" hidden="1" customHeight="1" x14ac:dyDescent="0.3">
      <c r="A1212" s="18"/>
      <c r="B1212" s="75" t="s">
        <v>1277</v>
      </c>
      <c r="C1212" s="411">
        <v>46052.373611111114</v>
      </c>
      <c r="D1212" s="412"/>
      <c r="E1212" s="413"/>
      <c r="F1212" s="78" t="s">
        <v>654</v>
      </c>
      <c r="G1212" s="78">
        <v>25730</v>
      </c>
      <c r="H1212" s="57"/>
      <c r="I1212" s="73" t="s">
        <v>9</v>
      </c>
      <c r="J1212" s="53"/>
      <c r="K1212" s="75"/>
      <c r="L1212" s="54"/>
      <c r="M1212" s="75"/>
      <c r="N1212" s="145"/>
      <c r="O1212" s="73"/>
      <c r="P1212" s="75"/>
      <c r="Q1212" s="58"/>
      <c r="S1212" s="8"/>
    </row>
    <row r="1213" spans="1:19" s="1" customFormat="1" ht="19.5" hidden="1" customHeight="1" x14ac:dyDescent="0.3">
      <c r="A1213" s="18"/>
      <c r="B1213" s="75" t="s">
        <v>940</v>
      </c>
      <c r="C1213" s="411">
        <v>46057.746527777781</v>
      </c>
      <c r="D1213" s="412"/>
      <c r="E1213" s="413"/>
      <c r="F1213" s="78" t="s">
        <v>654</v>
      </c>
      <c r="G1213" s="78">
        <v>25000</v>
      </c>
      <c r="H1213" s="57"/>
      <c r="I1213" s="73" t="s">
        <v>9</v>
      </c>
      <c r="J1213" s="53"/>
      <c r="K1213" s="75"/>
      <c r="L1213" s="54"/>
      <c r="M1213" s="75"/>
      <c r="N1213" s="145"/>
      <c r="O1213" s="73"/>
      <c r="P1213" s="75"/>
      <c r="Q1213" s="58"/>
      <c r="S1213" s="8"/>
    </row>
    <row r="1214" spans="1:19" s="341" customFormat="1" ht="19.5" hidden="1" customHeight="1" x14ac:dyDescent="0.3">
      <c r="A1214" s="339"/>
      <c r="B1214" s="85" t="s">
        <v>574</v>
      </c>
      <c r="C1214" s="452" t="s">
        <v>1310</v>
      </c>
      <c r="D1214" s="453"/>
      <c r="E1214" s="454"/>
      <c r="F1214" s="97" t="s">
        <v>429</v>
      </c>
      <c r="G1214" s="97">
        <v>7500</v>
      </c>
      <c r="H1214" s="239" t="s">
        <v>582</v>
      </c>
      <c r="I1214" s="69" t="s">
        <v>9</v>
      </c>
      <c r="J1214" s="240"/>
      <c r="K1214" s="85"/>
      <c r="L1214" s="241"/>
      <c r="M1214" s="85"/>
      <c r="N1214" s="242"/>
      <c r="O1214" s="69"/>
      <c r="P1214" s="85"/>
      <c r="Q1214" s="340"/>
      <c r="S1214" s="342"/>
    </row>
    <row r="1215" spans="1:19" s="1" customFormat="1" ht="19.5" hidden="1" customHeight="1" x14ac:dyDescent="0.3">
      <c r="A1215" s="18"/>
      <c r="B1215" s="95" t="s">
        <v>1299</v>
      </c>
      <c r="C1215" s="452" t="s">
        <v>1309</v>
      </c>
      <c r="D1215" s="453"/>
      <c r="E1215" s="454"/>
      <c r="F1215" s="97" t="s">
        <v>654</v>
      </c>
      <c r="G1215" s="96">
        <v>25000</v>
      </c>
      <c r="H1215" s="152"/>
      <c r="I1215" s="86" t="s">
        <v>9</v>
      </c>
      <c r="J1215" s="52"/>
      <c r="K1215" s="95"/>
      <c r="L1215" s="51"/>
      <c r="M1215" s="95"/>
      <c r="N1215" s="124"/>
      <c r="O1215" s="86"/>
      <c r="P1215" s="95"/>
      <c r="Q1215" s="151"/>
      <c r="S1215" s="8"/>
    </row>
    <row r="1216" spans="1:19" s="341" customFormat="1" ht="19.5" hidden="1" customHeight="1" x14ac:dyDescent="0.3">
      <c r="A1216" s="339"/>
      <c r="B1216" s="85" t="s">
        <v>933</v>
      </c>
      <c r="C1216" s="452">
        <v>46072.791666666664</v>
      </c>
      <c r="D1216" s="453"/>
      <c r="E1216" s="454"/>
      <c r="F1216" s="97" t="s">
        <v>429</v>
      </c>
      <c r="G1216" s="97">
        <v>4800</v>
      </c>
      <c r="H1216" s="239" t="s">
        <v>573</v>
      </c>
      <c r="I1216" s="69" t="s">
        <v>9</v>
      </c>
      <c r="J1216" s="240"/>
      <c r="K1216" s="85"/>
      <c r="L1216" s="241"/>
      <c r="M1216" s="85"/>
      <c r="N1216" s="242"/>
      <c r="O1216" s="69"/>
      <c r="P1216" s="85"/>
      <c r="Q1216" s="340"/>
      <c r="S1216" s="342"/>
    </row>
    <row r="1217" spans="1:19" s="1" customFormat="1" hidden="1" x14ac:dyDescent="0.3">
      <c r="A1217" s="18"/>
      <c r="B1217" s="75" t="s">
        <v>1300</v>
      </c>
      <c r="C1217" s="411">
        <v>46075.444444444445</v>
      </c>
      <c r="D1217" s="412"/>
      <c r="E1217" s="413"/>
      <c r="F1217" s="78" t="s">
        <v>654</v>
      </c>
      <c r="G1217" s="78">
        <v>25200</v>
      </c>
      <c r="H1217" s="57"/>
      <c r="I1217" s="73" t="s">
        <v>9</v>
      </c>
      <c r="J1217" s="53"/>
      <c r="K1217" s="75"/>
      <c r="L1217" s="54"/>
      <c r="M1217" s="75"/>
      <c r="N1217" s="145"/>
      <c r="O1217" s="73"/>
      <c r="P1217" s="75"/>
      <c r="Q1217" s="58"/>
      <c r="S1217" s="8"/>
    </row>
    <row r="1218" spans="1:19" s="1" customFormat="1" ht="19.5" hidden="1" customHeight="1" x14ac:dyDescent="0.3">
      <c r="A1218" s="18"/>
      <c r="B1218" s="75" t="s">
        <v>574</v>
      </c>
      <c r="C1218" s="411">
        <v>46078.5625</v>
      </c>
      <c r="D1218" s="412"/>
      <c r="E1218" s="413"/>
      <c r="F1218" s="78" t="s">
        <v>429</v>
      </c>
      <c r="G1218" s="78">
        <v>7500</v>
      </c>
      <c r="H1218" s="57"/>
      <c r="I1218" s="73" t="s">
        <v>9</v>
      </c>
      <c r="J1218" s="53"/>
      <c r="K1218" s="75"/>
      <c r="L1218" s="54"/>
      <c r="M1218" s="75"/>
      <c r="N1218" s="145"/>
      <c r="O1218" s="73"/>
      <c r="P1218" s="75"/>
      <c r="Q1218" s="58"/>
      <c r="S1218" s="8"/>
    </row>
    <row r="1219" spans="1:19" s="1" customFormat="1" ht="19.5" hidden="1" customHeight="1" x14ac:dyDescent="0.3">
      <c r="A1219" s="18"/>
      <c r="B1219" s="75" t="s">
        <v>1334</v>
      </c>
      <c r="C1219" s="411">
        <v>46081.058333333334</v>
      </c>
      <c r="D1219" s="412"/>
      <c r="E1219" s="413"/>
      <c r="F1219" s="78" t="s">
        <v>654</v>
      </c>
      <c r="G1219" s="78">
        <v>25000</v>
      </c>
      <c r="H1219" s="57"/>
      <c r="I1219" s="73" t="s">
        <v>9</v>
      </c>
      <c r="J1219" s="53"/>
      <c r="K1219" s="75"/>
      <c r="L1219" s="54"/>
      <c r="M1219" s="75"/>
      <c r="N1219" s="145"/>
      <c r="O1219" s="73"/>
      <c r="P1219" s="75"/>
      <c r="Q1219" s="58"/>
      <c r="S1219" s="8"/>
    </row>
    <row r="1220" spans="1:19" s="341" customFormat="1" ht="19.5" hidden="1" customHeight="1" x14ac:dyDescent="0.3">
      <c r="A1220" s="339"/>
      <c r="B1220" s="75" t="s">
        <v>537</v>
      </c>
      <c r="C1220" s="411">
        <v>46087.288194444445</v>
      </c>
      <c r="D1220" s="412"/>
      <c r="E1220" s="413"/>
      <c r="F1220" s="78" t="s">
        <v>429</v>
      </c>
      <c r="G1220" s="78">
        <v>6100</v>
      </c>
      <c r="H1220" s="57" t="s">
        <v>573</v>
      </c>
      <c r="I1220" s="73" t="s">
        <v>9</v>
      </c>
      <c r="J1220" s="53"/>
      <c r="K1220" s="75"/>
      <c r="L1220" s="54"/>
      <c r="M1220" s="75"/>
      <c r="N1220" s="145"/>
      <c r="O1220" s="73"/>
      <c r="P1220" s="75"/>
      <c r="Q1220" s="58"/>
      <c r="S1220" s="342"/>
    </row>
    <row r="1221" spans="1:19" s="341" customFormat="1" ht="19.5" hidden="1" customHeight="1" x14ac:dyDescent="0.3">
      <c r="A1221" s="339"/>
      <c r="B1221" s="85" t="s">
        <v>1167</v>
      </c>
      <c r="C1221" s="452" t="s">
        <v>1348</v>
      </c>
      <c r="D1221" s="453"/>
      <c r="E1221" s="454"/>
      <c r="F1221" s="97" t="s">
        <v>429</v>
      </c>
      <c r="G1221" s="97">
        <v>6050</v>
      </c>
      <c r="H1221" s="239" t="s">
        <v>582</v>
      </c>
      <c r="I1221" s="69" t="s">
        <v>9</v>
      </c>
      <c r="J1221" s="240"/>
      <c r="K1221" s="85"/>
      <c r="L1221" s="241"/>
      <c r="M1221" s="85"/>
      <c r="N1221" s="242"/>
      <c r="O1221" s="69"/>
      <c r="P1221" s="85"/>
      <c r="Q1221" s="340"/>
      <c r="S1221" s="342"/>
    </row>
    <row r="1222" spans="1:19" s="341" customFormat="1" ht="19.5" hidden="1" customHeight="1" x14ac:dyDescent="0.3">
      <c r="A1222" s="339"/>
      <c r="B1222" s="75" t="s">
        <v>1352</v>
      </c>
      <c r="C1222" s="411">
        <v>46089.09375</v>
      </c>
      <c r="D1222" s="412"/>
      <c r="E1222" s="413"/>
      <c r="F1222" s="78" t="s">
        <v>654</v>
      </c>
      <c r="G1222" s="78">
        <v>20000</v>
      </c>
      <c r="H1222" s="57"/>
      <c r="I1222" s="73" t="s">
        <v>9</v>
      </c>
      <c r="J1222" s="53"/>
      <c r="K1222" s="75"/>
      <c r="L1222" s="54"/>
      <c r="M1222" s="75"/>
      <c r="N1222" s="145"/>
      <c r="O1222" s="73"/>
      <c r="P1222" s="75"/>
      <c r="Q1222" s="58"/>
      <c r="S1222" s="342"/>
    </row>
    <row r="1223" spans="1:19" s="341" customFormat="1" ht="19.5" hidden="1" customHeight="1" x14ac:dyDescent="0.3">
      <c r="A1223" s="339"/>
      <c r="B1223" s="75" t="s">
        <v>1300</v>
      </c>
      <c r="C1223" s="411">
        <v>46093.625</v>
      </c>
      <c r="D1223" s="412"/>
      <c r="E1223" s="413"/>
      <c r="F1223" s="78" t="s">
        <v>654</v>
      </c>
      <c r="G1223" s="78">
        <v>25700</v>
      </c>
      <c r="H1223" s="57"/>
      <c r="I1223" s="73" t="s">
        <v>9</v>
      </c>
      <c r="J1223" s="53"/>
      <c r="K1223" s="75"/>
      <c r="L1223" s="54"/>
      <c r="M1223" s="75"/>
      <c r="N1223" s="145"/>
      <c r="O1223" s="73"/>
      <c r="P1223" s="75"/>
      <c r="Q1223" s="58"/>
      <c r="S1223" s="342"/>
    </row>
    <row r="1224" spans="1:19" s="341" customFormat="1" ht="19.5" hidden="1" customHeight="1" x14ac:dyDescent="0.3">
      <c r="A1224" s="339"/>
      <c r="B1224" s="75" t="s">
        <v>1374</v>
      </c>
      <c r="C1224" s="411" t="s">
        <v>1360</v>
      </c>
      <c r="D1224" s="412"/>
      <c r="E1224" s="413"/>
      <c r="F1224" s="78" t="s">
        <v>429</v>
      </c>
      <c r="G1224" s="78">
        <v>6700</v>
      </c>
      <c r="H1224" s="57" t="s">
        <v>582</v>
      </c>
      <c r="I1224" s="73" t="s">
        <v>9</v>
      </c>
      <c r="J1224" s="53"/>
      <c r="K1224" s="75"/>
      <c r="L1224" s="54"/>
      <c r="M1224" s="75"/>
      <c r="N1224" s="145"/>
      <c r="O1224" s="73"/>
      <c r="P1224" s="75"/>
      <c r="Q1224" s="58"/>
      <c r="S1224" s="342"/>
    </row>
    <row r="1225" spans="1:19" s="341" customFormat="1" ht="19.5" hidden="1" customHeight="1" x14ac:dyDescent="0.3">
      <c r="A1225" s="339"/>
      <c r="B1225" s="75" t="s">
        <v>1356</v>
      </c>
      <c r="C1225" s="411">
        <v>46097.027777777781</v>
      </c>
      <c r="D1225" s="412"/>
      <c r="E1225" s="413"/>
      <c r="F1225" s="78" t="s">
        <v>654</v>
      </c>
      <c r="G1225" s="78">
        <v>27002</v>
      </c>
      <c r="H1225" s="57"/>
      <c r="I1225" s="73" t="s">
        <v>9</v>
      </c>
      <c r="J1225" s="53"/>
      <c r="K1225" s="75"/>
      <c r="L1225" s="54"/>
      <c r="M1225" s="75"/>
      <c r="N1225" s="145"/>
      <c r="O1225" s="73"/>
      <c r="P1225" s="75"/>
      <c r="Q1225" s="58"/>
      <c r="S1225" s="342"/>
    </row>
    <row r="1226" spans="1:19" s="341" customFormat="1" ht="19.5" hidden="1" customHeight="1" x14ac:dyDescent="0.3">
      <c r="A1226" s="339"/>
      <c r="B1226" s="75" t="s">
        <v>1380</v>
      </c>
      <c r="C1226" s="411">
        <v>46122.458333333336</v>
      </c>
      <c r="D1226" s="412"/>
      <c r="E1226" s="413"/>
      <c r="F1226" s="78" t="s">
        <v>429</v>
      </c>
      <c r="G1226" s="78">
        <v>26000</v>
      </c>
      <c r="H1226" s="57"/>
      <c r="I1226" s="73" t="s">
        <v>9</v>
      </c>
      <c r="J1226" s="53"/>
      <c r="K1226" s="75"/>
      <c r="L1226" s="54"/>
      <c r="M1226" s="75"/>
      <c r="N1226" s="145"/>
      <c r="O1226" s="73"/>
      <c r="P1226" s="75"/>
      <c r="Q1226" s="58"/>
      <c r="S1226" s="342"/>
    </row>
    <row r="1227" spans="1:19" s="1" customFormat="1" ht="19.5" hidden="1" customHeight="1" x14ac:dyDescent="0.3">
      <c r="A1227" s="18"/>
      <c r="B1227" s="85" t="s">
        <v>574</v>
      </c>
      <c r="C1227" s="395">
        <v>46126</v>
      </c>
      <c r="D1227" s="396"/>
      <c r="E1227" s="397"/>
      <c r="F1227" s="96" t="s">
        <v>429</v>
      </c>
      <c r="G1227" s="97">
        <v>7500</v>
      </c>
      <c r="H1227" s="239" t="s">
        <v>591</v>
      </c>
      <c r="I1227" s="69" t="s">
        <v>9</v>
      </c>
      <c r="J1227" s="52"/>
      <c r="K1227" s="95"/>
      <c r="L1227" s="51"/>
      <c r="M1227" s="95"/>
      <c r="N1227" s="124"/>
      <c r="O1227" s="86"/>
      <c r="P1227" s="95"/>
      <c r="Q1227" s="151"/>
      <c r="S1227" s="8"/>
    </row>
    <row r="1228" spans="1:19" s="1" customFormat="1" ht="19.5" hidden="1" customHeight="1" x14ac:dyDescent="0.3">
      <c r="A1228" s="18"/>
      <c r="B1228" s="75" t="s">
        <v>312</v>
      </c>
      <c r="C1228" s="411">
        <v>46128.541666666664</v>
      </c>
      <c r="D1228" s="412"/>
      <c r="E1228" s="413"/>
      <c r="F1228" s="78" t="s">
        <v>429</v>
      </c>
      <c r="G1228" s="78">
        <v>27850</v>
      </c>
      <c r="H1228" s="57"/>
      <c r="I1228" s="73" t="s">
        <v>9</v>
      </c>
      <c r="J1228" s="53"/>
      <c r="K1228" s="75"/>
      <c r="L1228" s="54"/>
      <c r="M1228" s="75"/>
      <c r="N1228" s="145"/>
      <c r="O1228" s="73"/>
      <c r="P1228" s="75"/>
      <c r="Q1228" s="58"/>
      <c r="S1228" s="8"/>
    </row>
    <row r="1229" spans="1:19" s="1" customFormat="1" ht="19.5" customHeight="1" x14ac:dyDescent="0.3">
      <c r="A1229" s="18"/>
      <c r="B1229" s="75" t="s">
        <v>1120</v>
      </c>
      <c r="C1229" s="411">
        <v>46134.98333333333</v>
      </c>
      <c r="D1229" s="412"/>
      <c r="E1229" s="413"/>
      <c r="F1229" s="78" t="s">
        <v>429</v>
      </c>
      <c r="G1229" s="78">
        <v>27000</v>
      </c>
      <c r="H1229" s="63"/>
      <c r="I1229" s="63" t="s">
        <v>9</v>
      </c>
      <c r="J1229" s="53"/>
      <c r="K1229" s="75"/>
      <c r="L1229" s="54"/>
      <c r="M1229" s="75"/>
      <c r="N1229" s="145"/>
      <c r="O1229" s="73"/>
      <c r="P1229" s="75"/>
      <c r="Q1229" s="58"/>
      <c r="S1229" s="8"/>
    </row>
    <row r="1230" spans="1:19" s="1" customFormat="1" ht="19.5" customHeight="1" x14ac:dyDescent="0.3">
      <c r="A1230" s="18"/>
      <c r="B1230" s="95" t="s">
        <v>1094</v>
      </c>
      <c r="C1230" s="395">
        <v>46138.791666666664</v>
      </c>
      <c r="D1230" s="396"/>
      <c r="E1230" s="397"/>
      <c r="F1230" s="96" t="s">
        <v>429</v>
      </c>
      <c r="G1230" s="96">
        <v>4800</v>
      </c>
      <c r="H1230" s="152"/>
      <c r="I1230" s="100" t="s">
        <v>9</v>
      </c>
      <c r="J1230" s="52"/>
      <c r="K1230" s="95"/>
      <c r="L1230" s="51"/>
      <c r="M1230" s="95"/>
      <c r="N1230" s="124"/>
      <c r="O1230" s="86"/>
      <c r="P1230" s="95"/>
      <c r="Q1230" s="151"/>
      <c r="S1230" s="8"/>
    </row>
    <row r="1231" spans="1:19" s="1" customFormat="1" ht="19.5" customHeight="1" x14ac:dyDescent="0.3">
      <c r="A1231" s="18"/>
      <c r="B1231" s="95" t="s">
        <v>702</v>
      </c>
      <c r="C1231" s="395">
        <v>46140.791666666664</v>
      </c>
      <c r="D1231" s="396"/>
      <c r="E1231" s="397"/>
      <c r="F1231" s="96" t="s">
        <v>429</v>
      </c>
      <c r="G1231" s="96">
        <v>6700</v>
      </c>
      <c r="H1231" s="152" t="s">
        <v>582</v>
      </c>
      <c r="I1231" s="100" t="s">
        <v>9</v>
      </c>
      <c r="J1231" s="52"/>
      <c r="K1231" s="95"/>
      <c r="L1231" s="51"/>
      <c r="M1231" s="95"/>
      <c r="N1231" s="124"/>
      <c r="O1231" s="86"/>
      <c r="P1231" s="95"/>
      <c r="Q1231" s="151"/>
      <c r="S1231" s="8"/>
    </row>
    <row r="1232" spans="1:19" s="1" customFormat="1" ht="19.5" customHeight="1" x14ac:dyDescent="0.3">
      <c r="A1232" s="18"/>
      <c r="B1232" s="95" t="s">
        <v>536</v>
      </c>
      <c r="C1232" s="395" t="s">
        <v>1395</v>
      </c>
      <c r="D1232" s="396"/>
      <c r="E1232" s="397"/>
      <c r="F1232" s="96" t="s">
        <v>429</v>
      </c>
      <c r="G1232" s="96">
        <v>8100</v>
      </c>
      <c r="H1232" s="152" t="s">
        <v>591</v>
      </c>
      <c r="I1232" s="100" t="s">
        <v>9</v>
      </c>
      <c r="J1232" s="52"/>
      <c r="K1232" s="95"/>
      <c r="L1232" s="51"/>
      <c r="M1232" s="95"/>
      <c r="N1232" s="124"/>
      <c r="O1232" s="86"/>
      <c r="P1232" s="95"/>
      <c r="Q1232" s="151"/>
      <c r="S1232" s="8"/>
    </row>
    <row r="1233" spans="1:19" s="1" customFormat="1" ht="19.5" customHeight="1" x14ac:dyDescent="0.3">
      <c r="A1233" s="18"/>
      <c r="B1233" s="95"/>
      <c r="C1233" s="395"/>
      <c r="D1233" s="396"/>
      <c r="E1233" s="397"/>
      <c r="F1233" s="96"/>
      <c r="G1233" s="96"/>
      <c r="H1233" s="152"/>
      <c r="I1233" s="100"/>
      <c r="J1233" s="52"/>
      <c r="K1233" s="95"/>
      <c r="L1233" s="51"/>
      <c r="M1233" s="95"/>
      <c r="N1233" s="124"/>
      <c r="O1233" s="86"/>
      <c r="P1233" s="95"/>
      <c r="Q1233" s="151"/>
      <c r="S1233" s="8"/>
    </row>
    <row r="1234" spans="1:19" ht="70.900000000000006" customHeight="1" x14ac:dyDescent="0.3">
      <c r="B1234" s="508" t="s">
        <v>1306</v>
      </c>
      <c r="C1234" s="509"/>
      <c r="D1234" s="509"/>
      <c r="E1234" s="509"/>
      <c r="F1234" s="509"/>
      <c r="G1234" s="509"/>
      <c r="H1234" s="509"/>
      <c r="I1234" s="509"/>
      <c r="J1234" s="509"/>
      <c r="K1234" s="509"/>
      <c r="L1234" s="509"/>
      <c r="M1234" s="509"/>
      <c r="N1234" s="509"/>
      <c r="O1234" s="509"/>
      <c r="P1234" s="509"/>
      <c r="Q1234" s="510"/>
    </row>
    <row r="1236" spans="1:19" x14ac:dyDescent="0.3">
      <c r="C1236" s="255"/>
      <c r="D1236" s="222"/>
    </row>
    <row r="1237" spans="1:19" x14ac:dyDescent="0.3">
      <c r="C1237" s="255"/>
      <c r="D1237" s="222"/>
    </row>
    <row r="1238" spans="1:19" x14ac:dyDescent="0.3">
      <c r="G1238" s="61"/>
    </row>
    <row r="1272" spans="4:4" x14ac:dyDescent="0.3">
      <c r="D1272" s="56" t="s">
        <v>27</v>
      </c>
    </row>
  </sheetData>
  <mergeCells count="2138">
    <mergeCell ref="C490:E490"/>
    <mergeCell ref="M742:M743"/>
    <mergeCell ref="H658:H661"/>
    <mergeCell ref="M658:M661"/>
    <mergeCell ref="C899:E899"/>
    <mergeCell ref="C947:E947"/>
    <mergeCell ref="C1212:E1212"/>
    <mergeCell ref="C934:E934"/>
    <mergeCell ref="C935:E935"/>
    <mergeCell ref="C924:E924"/>
    <mergeCell ref="C931:E931"/>
    <mergeCell ref="C955:E955"/>
    <mergeCell ref="M858:M860"/>
    <mergeCell ref="M627:M628"/>
    <mergeCell ref="M833:M834"/>
    <mergeCell ref="C925:E925"/>
    <mergeCell ref="C926:E926"/>
    <mergeCell ref="C932:E932"/>
    <mergeCell ref="C942:E942"/>
    <mergeCell ref="C910:E910"/>
    <mergeCell ref="C1157:E1157"/>
    <mergeCell ref="C897:E897"/>
    <mergeCell ref="C945:E945"/>
    <mergeCell ref="C943:E943"/>
    <mergeCell ref="C944:E944"/>
    <mergeCell ref="H725:H726"/>
    <mergeCell ref="C740:E740"/>
    <mergeCell ref="L408:L409"/>
    <mergeCell ref="H408:H409"/>
    <mergeCell ref="F408:F409"/>
    <mergeCell ref="E408:E409"/>
    <mergeCell ref="B408:B409"/>
    <mergeCell ref="C408:C409"/>
    <mergeCell ref="D408:D409"/>
    <mergeCell ref="C456:E459"/>
    <mergeCell ref="C583:E583"/>
    <mergeCell ref="C674:E675"/>
    <mergeCell ref="H674:H675"/>
    <mergeCell ref="C669:E670"/>
    <mergeCell ref="H669:H670"/>
    <mergeCell ref="C532:E532"/>
    <mergeCell ref="C667:E667"/>
    <mergeCell ref="C687:E687"/>
    <mergeCell ref="L627:L628"/>
    <mergeCell ref="C533:E533"/>
    <mergeCell ref="C500:E500"/>
    <mergeCell ref="C496:E496"/>
    <mergeCell ref="C493:E493"/>
    <mergeCell ref="C658:E661"/>
    <mergeCell ref="C585:E585"/>
    <mergeCell ref="C584:E584"/>
    <mergeCell ref="C462:E462"/>
    <mergeCell ref="C570:E570"/>
    <mergeCell ref="C571:E572"/>
    <mergeCell ref="C463:E463"/>
    <mergeCell ref="C494:E494"/>
    <mergeCell ref="C495:E495"/>
    <mergeCell ref="C491:E491"/>
    <mergeCell ref="C492:E492"/>
    <mergeCell ref="M408:M409"/>
    <mergeCell ref="Q408:Q409"/>
    <mergeCell ref="N408:N409"/>
    <mergeCell ref="O408:O409"/>
    <mergeCell ref="P408:P409"/>
    <mergeCell ref="C966:E966"/>
    <mergeCell ref="C1227:E1227"/>
    <mergeCell ref="C1048:E1048"/>
    <mergeCell ref="C1049:E1049"/>
    <mergeCell ref="C1119:E1119"/>
    <mergeCell ref="M829:M831"/>
    <mergeCell ref="G830:G831"/>
    <mergeCell ref="C1209:E1209"/>
    <mergeCell ref="C1211:E1211"/>
    <mergeCell ref="C1214:E1214"/>
    <mergeCell ref="C1221:E1221"/>
    <mergeCell ref="C1213:E1213"/>
    <mergeCell ref="C1206:E1206"/>
    <mergeCell ref="C1201:E1201"/>
    <mergeCell ref="C1202:E1202"/>
    <mergeCell ref="C915:E915"/>
    <mergeCell ref="C1210:E1210"/>
    <mergeCell ref="C1203:E1203"/>
    <mergeCell ref="C1199:E1199"/>
    <mergeCell ref="C898:E898"/>
    <mergeCell ref="C923:E923"/>
    <mergeCell ref="C773:E774"/>
    <mergeCell ref="C754:E755"/>
    <mergeCell ref="H750:H751"/>
    <mergeCell ref="C929:E929"/>
    <mergeCell ref="C933:E933"/>
    <mergeCell ref="C930:E930"/>
    <mergeCell ref="M401:M402"/>
    <mergeCell ref="F398:F400"/>
    <mergeCell ref="H398:H400"/>
    <mergeCell ref="M854:M855"/>
    <mergeCell ref="C1223:E1223"/>
    <mergeCell ref="B852:B853"/>
    <mergeCell ref="C852:E853"/>
    <mergeCell ref="F852:F853"/>
    <mergeCell ref="H852:H853"/>
    <mergeCell ref="L852:L853"/>
    <mergeCell ref="M852:M853"/>
    <mergeCell ref="B856:B857"/>
    <mergeCell ref="M845:M847"/>
    <mergeCell ref="L845:L847"/>
    <mergeCell ref="F845:F846"/>
    <mergeCell ref="M840:M841"/>
    <mergeCell ref="B848:B849"/>
    <mergeCell ref="B843:B844"/>
    <mergeCell ref="C854:E855"/>
    <mergeCell ref="B854:B855"/>
    <mergeCell ref="B845:B847"/>
    <mergeCell ref="H845:H847"/>
    <mergeCell ref="C1219:E1219"/>
    <mergeCell ref="M825:M826"/>
    <mergeCell ref="C1027:E1027"/>
    <mergeCell ref="C1020:E1020"/>
    <mergeCell ref="C992:E992"/>
    <mergeCell ref="C1001:E1001"/>
    <mergeCell ref="C990:E990"/>
    <mergeCell ref="C1011:E1011"/>
    <mergeCell ref="C1000:E1000"/>
    <mergeCell ref="C1016:E1016"/>
    <mergeCell ref="C762:E762"/>
    <mergeCell ref="C856:E857"/>
    <mergeCell ref="H856:H857"/>
    <mergeCell ref="C885:E885"/>
    <mergeCell ref="C858:E860"/>
    <mergeCell ref="H858:H860"/>
    <mergeCell ref="C941:E941"/>
    <mergeCell ref="C917:E917"/>
    <mergeCell ref="C921:E921"/>
    <mergeCell ref="C922:E922"/>
    <mergeCell ref="C761:E761"/>
    <mergeCell ref="C757:E757"/>
    <mergeCell ref="H861:H863"/>
    <mergeCell ref="C861:E863"/>
    <mergeCell ref="C875:E875"/>
    <mergeCell ref="C876:E876"/>
    <mergeCell ref="C879:E879"/>
    <mergeCell ref="C905:E905"/>
    <mergeCell ref="C877:E877"/>
    <mergeCell ref="C883:E883"/>
    <mergeCell ref="C878:E878"/>
    <mergeCell ref="C908:E908"/>
    <mergeCell ref="C894:E894"/>
    <mergeCell ref="C895:E895"/>
    <mergeCell ref="C896:E896"/>
    <mergeCell ref="C1205:E1205"/>
    <mergeCell ref="C1200:E1200"/>
    <mergeCell ref="C1198:E1198"/>
    <mergeCell ref="C958:E958"/>
    <mergeCell ref="C959:E959"/>
    <mergeCell ref="C948:E948"/>
    <mergeCell ref="C949:E949"/>
    <mergeCell ref="C950:E950"/>
    <mergeCell ref="C951:E951"/>
    <mergeCell ref="C994:E994"/>
    <mergeCell ref="C1158:E1158"/>
    <mergeCell ref="C1159:E1159"/>
    <mergeCell ref="C946:E946"/>
    <mergeCell ref="C967:E967"/>
    <mergeCell ref="C968:E968"/>
    <mergeCell ref="C1025:E1025"/>
    <mergeCell ref="C989:E989"/>
    <mergeCell ref="C978:E978"/>
    <mergeCell ref="B1007:H1007"/>
    <mergeCell ref="C1034:E1034"/>
    <mergeCell ref="C1035:E1035"/>
    <mergeCell ref="C1038:E1038"/>
    <mergeCell ref="C1002:E1002"/>
    <mergeCell ref="D279:D280"/>
    <mergeCell ref="I394:I395"/>
    <mergeCell ref="L840:L841"/>
    <mergeCell ref="C1220:E1220"/>
    <mergeCell ref="H825:H826"/>
    <mergeCell ref="C827:E827"/>
    <mergeCell ref="C914:E914"/>
    <mergeCell ref="C788:E788"/>
    <mergeCell ref="C928:E928"/>
    <mergeCell ref="C498:E498"/>
    <mergeCell ref="C487:E487"/>
    <mergeCell ref="C442:E442"/>
    <mergeCell ref="C443:E443"/>
    <mergeCell ref="I806:I807"/>
    <mergeCell ref="I819:I820"/>
    <mergeCell ref="H446:H447"/>
    <mergeCell ref="B581:H581"/>
    <mergeCell ref="C582:E582"/>
    <mergeCell ref="C1218:E1218"/>
    <mergeCell ref="C1197:E1197"/>
    <mergeCell ref="C1174:E1174"/>
    <mergeCell ref="C1173:E1173"/>
    <mergeCell ref="C1180:E1180"/>
    <mergeCell ref="C911:E911"/>
    <mergeCell ref="C916:E916"/>
    <mergeCell ref="C1196:E1196"/>
    <mergeCell ref="C912:E912"/>
    <mergeCell ref="C913:E913"/>
    <mergeCell ref="C918:E918"/>
    <mergeCell ref="C919:E919"/>
    <mergeCell ref="C920:E920"/>
    <mergeCell ref="C927:E927"/>
    <mergeCell ref="B703:B704"/>
    <mergeCell ref="H748:H749"/>
    <mergeCell ref="C690:E690"/>
    <mergeCell ref="C685:E685"/>
    <mergeCell ref="B707:B709"/>
    <mergeCell ref="C707:E709"/>
    <mergeCell ref="F707:F709"/>
    <mergeCell ref="H707:H709"/>
    <mergeCell ref="F733:F734"/>
    <mergeCell ref="H733:H734"/>
    <mergeCell ref="B733:B734"/>
    <mergeCell ref="C733:E734"/>
    <mergeCell ref="L698:L700"/>
    <mergeCell ref="B406:B407"/>
    <mergeCell ref="H406:H407"/>
    <mergeCell ref="C497:E497"/>
    <mergeCell ref="F705:F706"/>
    <mergeCell ref="H705:H706"/>
    <mergeCell ref="C717:E717"/>
    <mergeCell ref="C718:E718"/>
    <mergeCell ref="C703:E704"/>
    <mergeCell ref="F703:F704"/>
    <mergeCell ref="H703:H704"/>
    <mergeCell ref="B658:B661"/>
    <mergeCell ref="C418:E419"/>
    <mergeCell ref="C745:E746"/>
    <mergeCell ref="F745:F746"/>
    <mergeCell ref="G745:G746"/>
    <mergeCell ref="H745:H746"/>
    <mergeCell ref="C735:E735"/>
    <mergeCell ref="C656:E656"/>
    <mergeCell ref="C657:E657"/>
    <mergeCell ref="M83:M84"/>
    <mergeCell ref="B95:B96"/>
    <mergeCell ref="H456:H459"/>
    <mergeCell ref="M456:M459"/>
    <mergeCell ref="C460:E460"/>
    <mergeCell ref="C461:E461"/>
    <mergeCell ref="M133:M134"/>
    <mergeCell ref="C488:E488"/>
    <mergeCell ref="L145:L147"/>
    <mergeCell ref="E394:E395"/>
    <mergeCell ref="M418:M419"/>
    <mergeCell ref="M427:M428"/>
    <mergeCell ref="M145:M147"/>
    <mergeCell ref="M99:M100"/>
    <mergeCell ref="L127:L128"/>
    <mergeCell ref="L135:L136"/>
    <mergeCell ref="L406:L407"/>
    <mergeCell ref="M220:M221"/>
    <mergeCell ref="C222:C223"/>
    <mergeCell ref="D222:D223"/>
    <mergeCell ref="E222:E223"/>
    <mergeCell ref="F222:F223"/>
    <mergeCell ref="H222:H223"/>
    <mergeCell ref="M222:M223"/>
    <mergeCell ref="C220:C221"/>
    <mergeCell ref="D220:D221"/>
    <mergeCell ref="E220:E221"/>
    <mergeCell ref="F220:F221"/>
    <mergeCell ref="H220:H221"/>
    <mergeCell ref="F401:F402"/>
    <mergeCell ref="F406:F407"/>
    <mergeCell ref="E251:E252"/>
    <mergeCell ref="M102:M104"/>
    <mergeCell ref="M97:M98"/>
    <mergeCell ref="B99:B100"/>
    <mergeCell ref="C99:C100"/>
    <mergeCell ref="D99:D100"/>
    <mergeCell ref="C668:E668"/>
    <mergeCell ref="M446:M447"/>
    <mergeCell ref="C489:E489"/>
    <mergeCell ref="H627:H628"/>
    <mergeCell ref="B518:B519"/>
    <mergeCell ref="C501:E501"/>
    <mergeCell ref="C502:E502"/>
    <mergeCell ref="C701:E701"/>
    <mergeCell ref="C702:E702"/>
    <mergeCell ref="M105:M107"/>
    <mergeCell ref="M108:M109"/>
    <mergeCell ref="C201:C202"/>
    <mergeCell ref="D201:D202"/>
    <mergeCell ref="E201:E202"/>
    <mergeCell ref="F201:F202"/>
    <mergeCell ref="F251:F252"/>
    <mergeCell ref="E312:E313"/>
    <mergeCell ref="D396:D397"/>
    <mergeCell ref="E396:E397"/>
    <mergeCell ref="H396:H397"/>
    <mergeCell ref="D227:D228"/>
    <mergeCell ref="E227:E228"/>
    <mergeCell ref="E302:E303"/>
    <mergeCell ref="M396:M397"/>
    <mergeCell ref="C401:C402"/>
    <mergeCell ref="D401:D402"/>
    <mergeCell ref="E401:E402"/>
    <mergeCell ref="M110:M111"/>
    <mergeCell ref="D110:D111"/>
    <mergeCell ref="E110:E111"/>
    <mergeCell ref="F110:F111"/>
    <mergeCell ref="L178:L180"/>
    <mergeCell ref="F216:F217"/>
    <mergeCell ref="H216:H217"/>
    <mergeCell ref="L225:L226"/>
    <mergeCell ref="C135:C136"/>
    <mergeCell ref="D131:D132"/>
    <mergeCell ref="E131:E132"/>
    <mergeCell ref="F131:F132"/>
    <mergeCell ref="H131:H132"/>
    <mergeCell ref="L131:L132"/>
    <mergeCell ref="H122:H123"/>
    <mergeCell ref="C234:C236"/>
    <mergeCell ref="M784:M785"/>
    <mergeCell ref="M707:M709"/>
    <mergeCell ref="C721:E721"/>
    <mergeCell ref="C722:E722"/>
    <mergeCell ref="C723:E723"/>
    <mergeCell ref="C724:E724"/>
    <mergeCell ref="C720:E720"/>
    <mergeCell ref="C714:E714"/>
    <mergeCell ref="C728:E728"/>
    <mergeCell ref="C729:E729"/>
    <mergeCell ref="C730:E730"/>
    <mergeCell ref="C731:E731"/>
    <mergeCell ref="C732:E732"/>
    <mergeCell ref="C719:E719"/>
    <mergeCell ref="C715:E716"/>
    <mergeCell ref="M715:M716"/>
    <mergeCell ref="M112:M113"/>
    <mergeCell ref="L401:L402"/>
    <mergeCell ref="C396:C397"/>
    <mergeCell ref="D137:D138"/>
    <mergeCell ref="E137:E138"/>
    <mergeCell ref="H139:H141"/>
    <mergeCell ref="L154:L155"/>
    <mergeCell ref="C289:C290"/>
    <mergeCell ref="D225:D226"/>
    <mergeCell ref="E225:E226"/>
    <mergeCell ref="F225:F226"/>
    <mergeCell ref="H225:H226"/>
    <mergeCell ref="L237:L238"/>
    <mergeCell ref="C240:C241"/>
    <mergeCell ref="D240:D241"/>
    <mergeCell ref="E240:E241"/>
    <mergeCell ref="C237:C238"/>
    <mergeCell ref="D237:D238"/>
    <mergeCell ref="H401:H402"/>
    <mergeCell ref="H394:H395"/>
    <mergeCell ref="M394:M395"/>
    <mergeCell ref="C398:C400"/>
    <mergeCell ref="E237:E238"/>
    <mergeCell ref="D394:D395"/>
    <mergeCell ref="D398:D400"/>
    <mergeCell ref="D289:D290"/>
    <mergeCell ref="E289:E290"/>
    <mergeCell ref="F289:F290"/>
    <mergeCell ref="H289:H290"/>
    <mergeCell ref="C287:C288"/>
    <mergeCell ref="C394:C395"/>
    <mergeCell ref="D385:D386"/>
    <mergeCell ref="M296:M297"/>
    <mergeCell ref="B319:B320"/>
    <mergeCell ref="C319:C320"/>
    <mergeCell ref="D319:D320"/>
    <mergeCell ref="E319:E320"/>
    <mergeCell ref="C446:E447"/>
    <mergeCell ref="M114:M115"/>
    <mergeCell ref="M117:M119"/>
    <mergeCell ref="L129:L130"/>
    <mergeCell ref="B131:B132"/>
    <mergeCell ref="C131:C132"/>
    <mergeCell ref="B385:B386"/>
    <mergeCell ref="C385:C386"/>
    <mergeCell ref="E127:E128"/>
    <mergeCell ref="F127:F128"/>
    <mergeCell ref="H127:H128"/>
    <mergeCell ref="H383:H384"/>
    <mergeCell ref="F137:F138"/>
    <mergeCell ref="H137:H138"/>
    <mergeCell ref="I406:I407"/>
    <mergeCell ref="C406:C407"/>
    <mergeCell ref="D406:D407"/>
    <mergeCell ref="E406:E407"/>
    <mergeCell ref="M406:M407"/>
    <mergeCell ref="H418:H419"/>
    <mergeCell ref="B401:B402"/>
    <mergeCell ref="B240:B241"/>
    <mergeCell ref="B237:B238"/>
    <mergeCell ref="B234:B236"/>
    <mergeCell ref="B287:B288"/>
    <mergeCell ref="E385:E386"/>
    <mergeCell ref="E398:E400"/>
    <mergeCell ref="B456:B459"/>
    <mergeCell ref="F149:F150"/>
    <mergeCell ref="D309:D310"/>
    <mergeCell ref="E309:E310"/>
    <mergeCell ref="F383:F384"/>
    <mergeCell ref="C383:C384"/>
    <mergeCell ref="D383:D384"/>
    <mergeCell ref="E383:E384"/>
    <mergeCell ref="L220:L221"/>
    <mergeCell ref="H203:H204"/>
    <mergeCell ref="L137:L138"/>
    <mergeCell ref="C312:C313"/>
    <mergeCell ref="D312:D313"/>
    <mergeCell ref="I349:I350"/>
    <mergeCell ref="L361:L362"/>
    <mergeCell ref="B394:B395"/>
    <mergeCell ref="C417:E417"/>
    <mergeCell ref="B418:B419"/>
    <mergeCell ref="E379:E380"/>
    <mergeCell ref="L379:L380"/>
    <mergeCell ref="B398:B400"/>
    <mergeCell ref="B383:B384"/>
    <mergeCell ref="B396:B397"/>
    <mergeCell ref="F396:F397"/>
    <mergeCell ref="F312:F313"/>
    <mergeCell ref="H336:H338"/>
    <mergeCell ref="B227:B228"/>
    <mergeCell ref="C227:C228"/>
    <mergeCell ref="L142:L144"/>
    <mergeCell ref="B139:B141"/>
    <mergeCell ref="C139:C141"/>
    <mergeCell ref="H251:H252"/>
    <mergeCell ref="D139:D141"/>
    <mergeCell ref="E139:E141"/>
    <mergeCell ref="F139:F141"/>
    <mergeCell ref="B201:B202"/>
    <mergeCell ref="H201:H202"/>
    <mergeCell ref="F142:F144"/>
    <mergeCell ref="H142:H144"/>
    <mergeCell ref="F227:F228"/>
    <mergeCell ref="H227:H228"/>
    <mergeCell ref="L227:L228"/>
    <mergeCell ref="B225:B226"/>
    <mergeCell ref="C225:C226"/>
    <mergeCell ref="B149:B150"/>
    <mergeCell ref="C149:C150"/>
    <mergeCell ref="D149:D150"/>
    <mergeCell ref="E142:E144"/>
    <mergeCell ref="B222:B223"/>
    <mergeCell ref="B220:B221"/>
    <mergeCell ref="E218:E219"/>
    <mergeCell ref="F218:F219"/>
    <mergeCell ref="H218:H219"/>
    <mergeCell ref="E203:E204"/>
    <mergeCell ref="F203:F204"/>
    <mergeCell ref="B156:B158"/>
    <mergeCell ref="C156:C158"/>
    <mergeCell ref="D156:D158"/>
    <mergeCell ref="E156:E158"/>
    <mergeCell ref="F156:F157"/>
    <mergeCell ref="H156:H157"/>
    <mergeCell ref="L156:L158"/>
    <mergeCell ref="E149:E150"/>
    <mergeCell ref="B133:B134"/>
    <mergeCell ref="C133:C134"/>
    <mergeCell ref="E129:E130"/>
    <mergeCell ref="F129:F130"/>
    <mergeCell ref="H129:H130"/>
    <mergeCell ref="L124:L126"/>
    <mergeCell ref="B127:B128"/>
    <mergeCell ref="C127:C128"/>
    <mergeCell ref="H110:H111"/>
    <mergeCell ref="E108:E109"/>
    <mergeCell ref="F108:F109"/>
    <mergeCell ref="G108:G109"/>
    <mergeCell ref="H108:H109"/>
    <mergeCell ref="L108:L109"/>
    <mergeCell ref="H149:H150"/>
    <mergeCell ref="L149:L150"/>
    <mergeCell ref="B108:B109"/>
    <mergeCell ref="C108:C109"/>
    <mergeCell ref="D108:D109"/>
    <mergeCell ref="B117:B119"/>
    <mergeCell ref="C117:C119"/>
    <mergeCell ref="D117:D119"/>
    <mergeCell ref="E117:E119"/>
    <mergeCell ref="F117:F119"/>
    <mergeCell ref="H117:H119"/>
    <mergeCell ref="D135:D136"/>
    <mergeCell ref="E135:E136"/>
    <mergeCell ref="F135:F136"/>
    <mergeCell ref="B135:B136"/>
    <mergeCell ref="B137:B138"/>
    <mergeCell ref="C137:C138"/>
    <mergeCell ref="H135:H136"/>
    <mergeCell ref="B129:B130"/>
    <mergeCell ref="B79:B80"/>
    <mergeCell ref="C112:C113"/>
    <mergeCell ref="D112:D113"/>
    <mergeCell ref="E112:E113"/>
    <mergeCell ref="F112:F113"/>
    <mergeCell ref="D105:D107"/>
    <mergeCell ref="M149:M150"/>
    <mergeCell ref="B145:B147"/>
    <mergeCell ref="C145:C147"/>
    <mergeCell ref="D145:D147"/>
    <mergeCell ref="E145:E147"/>
    <mergeCell ref="F145:F147"/>
    <mergeCell ref="H145:H147"/>
    <mergeCell ref="L139:L141"/>
    <mergeCell ref="B142:B144"/>
    <mergeCell ref="C142:C144"/>
    <mergeCell ref="D142:D144"/>
    <mergeCell ref="M131:M132"/>
    <mergeCell ref="H105:H107"/>
    <mergeCell ref="L122:L123"/>
    <mergeCell ref="B124:B126"/>
    <mergeCell ref="D124:D126"/>
    <mergeCell ref="E124:E126"/>
    <mergeCell ref="F124:F126"/>
    <mergeCell ref="H124:H126"/>
    <mergeCell ref="B122:B123"/>
    <mergeCell ref="C122:C123"/>
    <mergeCell ref="D114:D115"/>
    <mergeCell ref="E114:E115"/>
    <mergeCell ref="F114:F115"/>
    <mergeCell ref="D122:D123"/>
    <mergeCell ref="E122:E123"/>
    <mergeCell ref="F122:F123"/>
    <mergeCell ref="G122:G123"/>
    <mergeCell ref="L114:L115"/>
    <mergeCell ref="L105:L107"/>
    <mergeCell ref="B83:B84"/>
    <mergeCell ref="L83:L84"/>
    <mergeCell ref="B97:B98"/>
    <mergeCell ref="C97:C98"/>
    <mergeCell ref="D97:D98"/>
    <mergeCell ref="E97:E98"/>
    <mergeCell ref="F97:F98"/>
    <mergeCell ref="L112:L113"/>
    <mergeCell ref="L97:L98"/>
    <mergeCell ref="C102:C104"/>
    <mergeCell ref="C95:C96"/>
    <mergeCell ref="D95:D96"/>
    <mergeCell ref="F95:F96"/>
    <mergeCell ref="H95:H96"/>
    <mergeCell ref="L95:L96"/>
    <mergeCell ref="B102:B104"/>
    <mergeCell ref="E102:E104"/>
    <mergeCell ref="F102:F104"/>
    <mergeCell ref="G102:G104"/>
    <mergeCell ref="L99:L100"/>
    <mergeCell ref="D102:D104"/>
    <mergeCell ref="H97:H98"/>
    <mergeCell ref="E99:E100"/>
    <mergeCell ref="B112:B113"/>
    <mergeCell ref="B91:B93"/>
    <mergeCell ref="C91:C93"/>
    <mergeCell ref="L117:L119"/>
    <mergeCell ref="B114:B115"/>
    <mergeCell ref="C114:C115"/>
    <mergeCell ref="H114:H115"/>
    <mergeCell ref="B105:B107"/>
    <mergeCell ref="C105:C107"/>
    <mergeCell ref="L110:L111"/>
    <mergeCell ref="F99:F100"/>
    <mergeCell ref="H99:H100"/>
    <mergeCell ref="F73:F75"/>
    <mergeCell ref="B76:B77"/>
    <mergeCell ref="B110:B111"/>
    <mergeCell ref="C110:C111"/>
    <mergeCell ref="E105:E107"/>
    <mergeCell ref="F105:F107"/>
    <mergeCell ref="E76:E77"/>
    <mergeCell ref="F76:F77"/>
    <mergeCell ref="D91:D93"/>
    <mergeCell ref="E91:E93"/>
    <mergeCell ref="F91:F93"/>
    <mergeCell ref="G91:G93"/>
    <mergeCell ref="H91:H93"/>
    <mergeCell ref="L91:L93"/>
    <mergeCell ref="H102:H104"/>
    <mergeCell ref="L102:L104"/>
    <mergeCell ref="D133:D134"/>
    <mergeCell ref="E133:E134"/>
    <mergeCell ref="F133:F134"/>
    <mergeCell ref="H133:H134"/>
    <mergeCell ref="D127:D128"/>
    <mergeCell ref="B37:B38"/>
    <mergeCell ref="C37:C38"/>
    <mergeCell ref="D37:D38"/>
    <mergeCell ref="E37:E38"/>
    <mergeCell ref="F37:F38"/>
    <mergeCell ref="B69:B70"/>
    <mergeCell ref="C129:C130"/>
    <mergeCell ref="D129:D130"/>
    <mergeCell ref="L73:L75"/>
    <mergeCell ref="L60:L61"/>
    <mergeCell ref="L133:L134"/>
    <mergeCell ref="M37:M38"/>
    <mergeCell ref="C83:C84"/>
    <mergeCell ref="D83:D84"/>
    <mergeCell ref="E83:E84"/>
    <mergeCell ref="F83:F84"/>
    <mergeCell ref="C76:C77"/>
    <mergeCell ref="B43:B45"/>
    <mergeCell ref="E95:E96"/>
    <mergeCell ref="E47:E48"/>
    <mergeCell ref="F47:F48"/>
    <mergeCell ref="H37:H38"/>
    <mergeCell ref="H73:H75"/>
    <mergeCell ref="B56:B58"/>
    <mergeCell ref="B50:B52"/>
    <mergeCell ref="B66:B67"/>
    <mergeCell ref="D47:D48"/>
    <mergeCell ref="N37:N38"/>
    <mergeCell ref="C892:E892"/>
    <mergeCell ref="C893:E893"/>
    <mergeCell ref="C882:E882"/>
    <mergeCell ref="C791:E791"/>
    <mergeCell ref="G83:G84"/>
    <mergeCell ref="L76:L77"/>
    <mergeCell ref="M76:M77"/>
    <mergeCell ref="C69:C70"/>
    <mergeCell ref="D69:D70"/>
    <mergeCell ref="E69:E70"/>
    <mergeCell ref="F69:F70"/>
    <mergeCell ref="H69:H70"/>
    <mergeCell ref="C79:C80"/>
    <mergeCell ref="D79:D80"/>
    <mergeCell ref="E79:E80"/>
    <mergeCell ref="F79:F80"/>
    <mergeCell ref="H79:H80"/>
    <mergeCell ref="L79:L80"/>
    <mergeCell ref="M79:M80"/>
    <mergeCell ref="H76:H77"/>
    <mergeCell ref="H83:H84"/>
    <mergeCell ref="H112:H113"/>
    <mergeCell ref="L86:L87"/>
    <mergeCell ref="M86:M87"/>
    <mergeCell ref="D86:D87"/>
    <mergeCell ref="E86:E87"/>
    <mergeCell ref="F86:F87"/>
    <mergeCell ref="G86:G87"/>
    <mergeCell ref="M91:M93"/>
    <mergeCell ref="L88:L90"/>
    <mergeCell ref="M73:M75"/>
    <mergeCell ref="Q47:Q48"/>
    <mergeCell ref="Q83:Q84"/>
    <mergeCell ref="N83:N84"/>
    <mergeCell ref="D76:D77"/>
    <mergeCell ref="O83:O84"/>
    <mergeCell ref="M88:M90"/>
    <mergeCell ref="C43:C45"/>
    <mergeCell ref="D43:D45"/>
    <mergeCell ref="E43:E45"/>
    <mergeCell ref="F43:F45"/>
    <mergeCell ref="H43:H45"/>
    <mergeCell ref="D66:D67"/>
    <mergeCell ref="E66:E67"/>
    <mergeCell ref="F66:F67"/>
    <mergeCell ref="H66:H67"/>
    <mergeCell ref="L66:L67"/>
    <mergeCell ref="Q66:Q67"/>
    <mergeCell ref="L69:L70"/>
    <mergeCell ref="D56:D58"/>
    <mergeCell ref="E56:E58"/>
    <mergeCell ref="F56:F58"/>
    <mergeCell ref="H56:H58"/>
    <mergeCell ref="C47:C48"/>
    <mergeCell ref="D60:D61"/>
    <mergeCell ref="Q62:Q63"/>
    <mergeCell ref="C66:C67"/>
    <mergeCell ref="M60:M61"/>
    <mergeCell ref="M62:M63"/>
    <mergeCell ref="C56:C58"/>
    <mergeCell ref="H47:H48"/>
    <mergeCell ref="F60:F61"/>
    <mergeCell ref="H60:H61"/>
    <mergeCell ref="Q35:Q36"/>
    <mergeCell ref="C786:E786"/>
    <mergeCell ref="C777:E777"/>
    <mergeCell ref="Q43:Q45"/>
    <mergeCell ref="Q60:Q61"/>
    <mergeCell ref="L62:L63"/>
    <mergeCell ref="Q50:Q52"/>
    <mergeCell ref="L56:L58"/>
    <mergeCell ref="M56:M58"/>
    <mergeCell ref="Q56:Q58"/>
    <mergeCell ref="C50:C52"/>
    <mergeCell ref="D50:D52"/>
    <mergeCell ref="E50:E52"/>
    <mergeCell ref="Q69:Q70"/>
    <mergeCell ref="C73:C75"/>
    <mergeCell ref="D73:D75"/>
    <mergeCell ref="E73:E75"/>
    <mergeCell ref="C783:E783"/>
    <mergeCell ref="I43:I44"/>
    <mergeCell ref="C420:E420"/>
    <mergeCell ref="C421:E421"/>
    <mergeCell ref="H440:H441"/>
    <mergeCell ref="C464:E464"/>
    <mergeCell ref="C499:E499"/>
    <mergeCell ref="C764:E764"/>
    <mergeCell ref="C768:E768"/>
    <mergeCell ref="E60:E61"/>
    <mergeCell ref="N122:N123"/>
    <mergeCell ref="O122:O123"/>
    <mergeCell ref="C124:C126"/>
    <mergeCell ref="Q154:Q155"/>
    <mergeCell ref="M162:M163"/>
    <mergeCell ref="H13:H14"/>
    <mergeCell ref="E35:E36"/>
    <mergeCell ref="F35:F36"/>
    <mergeCell ref="H35:H36"/>
    <mergeCell ref="F50:F52"/>
    <mergeCell ref="H50:H52"/>
    <mergeCell ref="H86:H87"/>
    <mergeCell ref="B88:B90"/>
    <mergeCell ref="C88:C90"/>
    <mergeCell ref="D88:D90"/>
    <mergeCell ref="E88:E90"/>
    <mergeCell ref="F88:F90"/>
    <mergeCell ref="G88:G90"/>
    <mergeCell ref="H88:H90"/>
    <mergeCell ref="B86:B87"/>
    <mergeCell ref="C86:C87"/>
    <mergeCell ref="C27:C28"/>
    <mergeCell ref="F27:F28"/>
    <mergeCell ref="H27:H28"/>
    <mergeCell ref="B35:B36"/>
    <mergeCell ref="C35:C36"/>
    <mergeCell ref="B73:B75"/>
    <mergeCell ref="D35:D36"/>
    <mergeCell ref="B47:B48"/>
    <mergeCell ref="B62:B63"/>
    <mergeCell ref="C62:C63"/>
    <mergeCell ref="D62:D63"/>
    <mergeCell ref="E62:E63"/>
    <mergeCell ref="F62:F63"/>
    <mergeCell ref="H62:H63"/>
    <mergeCell ref="B60:B61"/>
    <mergeCell ref="C60:C61"/>
    <mergeCell ref="L13:L14"/>
    <mergeCell ref="M13:M14"/>
    <mergeCell ref="Q13:Q14"/>
    <mergeCell ref="B11:B12"/>
    <mergeCell ref="C11:C12"/>
    <mergeCell ref="D11:D12"/>
    <mergeCell ref="F11:F12"/>
    <mergeCell ref="H11:H12"/>
    <mergeCell ref="M11:M12"/>
    <mergeCell ref="Q19:Q20"/>
    <mergeCell ref="Q29:Q31"/>
    <mergeCell ref="B33:B34"/>
    <mergeCell ref="C33:C34"/>
    <mergeCell ref="F33:F34"/>
    <mergeCell ref="H33:H34"/>
    <mergeCell ref="Q33:Q34"/>
    <mergeCell ref="B29:B31"/>
    <mergeCell ref="C29:C31"/>
    <mergeCell ref="F29:F31"/>
    <mergeCell ref="H29:H31"/>
    <mergeCell ref="D33:D34"/>
    <mergeCell ref="E33:E34"/>
    <mergeCell ref="H19:H20"/>
    <mergeCell ref="Q27:Q28"/>
    <mergeCell ref="N29:N31"/>
    <mergeCell ref="O29:O31"/>
    <mergeCell ref="B27:B28"/>
    <mergeCell ref="N27:N28"/>
    <mergeCell ref="B13:B14"/>
    <mergeCell ref="C13:C14"/>
    <mergeCell ref="D13:D14"/>
    <mergeCell ref="F13:F14"/>
    <mergeCell ref="A2:Q2"/>
    <mergeCell ref="A3:Q3"/>
    <mergeCell ref="B8:B9"/>
    <mergeCell ref="C8:C9"/>
    <mergeCell ref="D8:D9"/>
    <mergeCell ref="F8:F9"/>
    <mergeCell ref="H8:H9"/>
    <mergeCell ref="L8:L9"/>
    <mergeCell ref="M8:M9"/>
    <mergeCell ref="Q8:Q9"/>
    <mergeCell ref="Q22:Q23"/>
    <mergeCell ref="B24:B25"/>
    <mergeCell ref="C24:C25"/>
    <mergeCell ref="F24:F25"/>
    <mergeCell ref="L24:L25"/>
    <mergeCell ref="M24:M25"/>
    <mergeCell ref="Q24:Q25"/>
    <mergeCell ref="B22:B23"/>
    <mergeCell ref="C22:C23"/>
    <mergeCell ref="F22:F23"/>
    <mergeCell ref="H22:H23"/>
    <mergeCell ref="I22:I23"/>
    <mergeCell ref="M22:M23"/>
    <mergeCell ref="B16:B17"/>
    <mergeCell ref="C16:C17"/>
    <mergeCell ref="F16:F17"/>
    <mergeCell ref="H16:H17"/>
    <mergeCell ref="Q16:Q17"/>
    <mergeCell ref="B19:B20"/>
    <mergeCell ref="C19:C20"/>
    <mergeCell ref="F19:F20"/>
    <mergeCell ref="Q11:Q12"/>
    <mergeCell ref="M156:M158"/>
    <mergeCell ref="L152:L153"/>
    <mergeCell ref="M152:M153"/>
    <mergeCell ref="Q152:Q153"/>
    <mergeCell ref="B154:B155"/>
    <mergeCell ref="C154:C155"/>
    <mergeCell ref="D154:D155"/>
    <mergeCell ref="E154:E155"/>
    <mergeCell ref="F154:F155"/>
    <mergeCell ref="G154:G155"/>
    <mergeCell ref="H154:H155"/>
    <mergeCell ref="B152:B153"/>
    <mergeCell ref="C152:C153"/>
    <mergeCell ref="D152:D153"/>
    <mergeCell ref="E152:E153"/>
    <mergeCell ref="F152:F153"/>
    <mergeCell ref="H152:H153"/>
    <mergeCell ref="N164:O164"/>
    <mergeCell ref="B166:B167"/>
    <mergeCell ref="C166:C167"/>
    <mergeCell ref="D166:D167"/>
    <mergeCell ref="E166:E167"/>
    <mergeCell ref="F166:F167"/>
    <mergeCell ref="H166:H167"/>
    <mergeCell ref="L166:L167"/>
    <mergeCell ref="M166:M167"/>
    <mergeCell ref="L159:L160"/>
    <mergeCell ref="B162:B163"/>
    <mergeCell ref="C162:C163"/>
    <mergeCell ref="D162:D163"/>
    <mergeCell ref="E162:E163"/>
    <mergeCell ref="F162:F163"/>
    <mergeCell ref="H162:H163"/>
    <mergeCell ref="L162:L163"/>
    <mergeCell ref="B159:B160"/>
    <mergeCell ref="C159:C160"/>
    <mergeCell ref="D159:D160"/>
    <mergeCell ref="E159:E160"/>
    <mergeCell ref="F159:F160"/>
    <mergeCell ref="H159:H160"/>
    <mergeCell ref="Q178:Q180"/>
    <mergeCell ref="B181:B183"/>
    <mergeCell ref="C181:C183"/>
    <mergeCell ref="D181:D183"/>
    <mergeCell ref="E181:E183"/>
    <mergeCell ref="F181:F183"/>
    <mergeCell ref="H181:H183"/>
    <mergeCell ref="L181:L183"/>
    <mergeCell ref="Q181:Q183"/>
    <mergeCell ref="B178:B180"/>
    <mergeCell ref="C178:C180"/>
    <mergeCell ref="D178:D180"/>
    <mergeCell ref="E178:E180"/>
    <mergeCell ref="F178:F180"/>
    <mergeCell ref="H178:H180"/>
    <mergeCell ref="L168:L169"/>
    <mergeCell ref="M168:M169"/>
    <mergeCell ref="B173:B174"/>
    <mergeCell ref="C173:C174"/>
    <mergeCell ref="D173:D174"/>
    <mergeCell ref="E173:E174"/>
    <mergeCell ref="F173:F174"/>
    <mergeCell ref="H173:H174"/>
    <mergeCell ref="L173:L174"/>
    <mergeCell ref="B168:B169"/>
    <mergeCell ref="C168:C169"/>
    <mergeCell ref="D168:D169"/>
    <mergeCell ref="E168:E169"/>
    <mergeCell ref="F168:F169"/>
    <mergeCell ref="H168:H169"/>
    <mergeCell ref="M188:M189"/>
    <mergeCell ref="B191:B192"/>
    <mergeCell ref="C191:C192"/>
    <mergeCell ref="D191:D192"/>
    <mergeCell ref="E191:E192"/>
    <mergeCell ref="F191:F192"/>
    <mergeCell ref="H191:H192"/>
    <mergeCell ref="B188:B189"/>
    <mergeCell ref="C188:C189"/>
    <mergeCell ref="D188:D189"/>
    <mergeCell ref="E188:E189"/>
    <mergeCell ref="F188:F189"/>
    <mergeCell ref="H188:H189"/>
    <mergeCell ref="B184:B185"/>
    <mergeCell ref="C184:C185"/>
    <mergeCell ref="D184:D185"/>
    <mergeCell ref="E184:E185"/>
    <mergeCell ref="F184:F185"/>
    <mergeCell ref="H184:H185"/>
    <mergeCell ref="Q194:Q195"/>
    <mergeCell ref="B198:B200"/>
    <mergeCell ref="C198:C200"/>
    <mergeCell ref="D198:D200"/>
    <mergeCell ref="E198:E200"/>
    <mergeCell ref="F198:F200"/>
    <mergeCell ref="H198:H200"/>
    <mergeCell ref="L198:L200"/>
    <mergeCell ref="M198:M200"/>
    <mergeCell ref="B194:B195"/>
    <mergeCell ref="C194:C195"/>
    <mergeCell ref="D194:D195"/>
    <mergeCell ref="E194:E195"/>
    <mergeCell ref="F194:F195"/>
    <mergeCell ref="H194:H195"/>
    <mergeCell ref="B207:B208"/>
    <mergeCell ref="C207:C208"/>
    <mergeCell ref="D207:D208"/>
    <mergeCell ref="H207:H208"/>
    <mergeCell ref="M207:M208"/>
    <mergeCell ref="Q207:Q208"/>
    <mergeCell ref="M203:M204"/>
    <mergeCell ref="B205:B206"/>
    <mergeCell ref="C205:C206"/>
    <mergeCell ref="D205:D206"/>
    <mergeCell ref="E205:E206"/>
    <mergeCell ref="F205:F206"/>
    <mergeCell ref="H205:H206"/>
    <mergeCell ref="M205:M206"/>
    <mergeCell ref="B203:B204"/>
    <mergeCell ref="C203:C204"/>
    <mergeCell ref="D203:D204"/>
    <mergeCell ref="Q209:Q211"/>
    <mergeCell ref="B214:B215"/>
    <mergeCell ref="C214:C215"/>
    <mergeCell ref="D214:D215"/>
    <mergeCell ref="E214:E215"/>
    <mergeCell ref="F214:F215"/>
    <mergeCell ref="H214:H215"/>
    <mergeCell ref="M214:M215"/>
    <mergeCell ref="B209:B211"/>
    <mergeCell ref="C209:C211"/>
    <mergeCell ref="D209:D211"/>
    <mergeCell ref="E209:E211"/>
    <mergeCell ref="F209:F211"/>
    <mergeCell ref="H209:H211"/>
    <mergeCell ref="D218:D219"/>
    <mergeCell ref="M216:M217"/>
    <mergeCell ref="B218:B219"/>
    <mergeCell ref="C218:C219"/>
    <mergeCell ref="M218:M219"/>
    <mergeCell ref="E216:E217"/>
    <mergeCell ref="C216:C217"/>
    <mergeCell ref="D216:D217"/>
    <mergeCell ref="B216:B217"/>
    <mergeCell ref="B232:B233"/>
    <mergeCell ref="C232:C233"/>
    <mergeCell ref="D232:D233"/>
    <mergeCell ref="E232:E233"/>
    <mergeCell ref="F232:F233"/>
    <mergeCell ref="H232:H233"/>
    <mergeCell ref="M242:M243"/>
    <mergeCell ref="B248:B249"/>
    <mergeCell ref="C248:C249"/>
    <mergeCell ref="D248:D249"/>
    <mergeCell ref="E248:E249"/>
    <mergeCell ref="F248:F249"/>
    <mergeCell ref="H248:H249"/>
    <mergeCell ref="L248:L249"/>
    <mergeCell ref="M248:M249"/>
    <mergeCell ref="M240:M241"/>
    <mergeCell ref="F237:F238"/>
    <mergeCell ref="H237:H238"/>
    <mergeCell ref="L232:L233"/>
    <mergeCell ref="D234:D236"/>
    <mergeCell ref="E234:E236"/>
    <mergeCell ref="F234:F236"/>
    <mergeCell ref="H234:H236"/>
    <mergeCell ref="L234:L236"/>
    <mergeCell ref="Q240:Q241"/>
    <mergeCell ref="B242:B243"/>
    <mergeCell ref="C242:C243"/>
    <mergeCell ref="D242:D243"/>
    <mergeCell ref="E242:E243"/>
    <mergeCell ref="F242:F243"/>
    <mergeCell ref="G242:G243"/>
    <mergeCell ref="H242:H243"/>
    <mergeCell ref="L242:L243"/>
    <mergeCell ref="F240:F241"/>
    <mergeCell ref="H240:H241"/>
    <mergeCell ref="L240:L241"/>
    <mergeCell ref="N253:N255"/>
    <mergeCell ref="O253:O255"/>
    <mergeCell ref="B257:B258"/>
    <mergeCell ref="C257:C258"/>
    <mergeCell ref="D257:D258"/>
    <mergeCell ref="E257:E258"/>
    <mergeCell ref="F257:F258"/>
    <mergeCell ref="H257:H258"/>
    <mergeCell ref="L251:L252"/>
    <mergeCell ref="M251:M252"/>
    <mergeCell ref="B253:B255"/>
    <mergeCell ref="C253:C255"/>
    <mergeCell ref="D253:D255"/>
    <mergeCell ref="E253:E255"/>
    <mergeCell ref="H253:H254"/>
    <mergeCell ref="L253:L254"/>
    <mergeCell ref="M253:M255"/>
    <mergeCell ref="B251:B252"/>
    <mergeCell ref="C251:C252"/>
    <mergeCell ref="D251:D252"/>
    <mergeCell ref="L262:L263"/>
    <mergeCell ref="M262:M263"/>
    <mergeCell ref="B267:B268"/>
    <mergeCell ref="C267:C268"/>
    <mergeCell ref="D267:D268"/>
    <mergeCell ref="E267:E268"/>
    <mergeCell ref="F267:F268"/>
    <mergeCell ref="H267:H268"/>
    <mergeCell ref="L267:L268"/>
    <mergeCell ref="M267:M268"/>
    <mergeCell ref="B262:B263"/>
    <mergeCell ref="C262:C263"/>
    <mergeCell ref="D262:D263"/>
    <mergeCell ref="E262:E263"/>
    <mergeCell ref="F262:F263"/>
    <mergeCell ref="H262:H263"/>
    <mergeCell ref="B259:B260"/>
    <mergeCell ref="C259:C260"/>
    <mergeCell ref="D259:D260"/>
    <mergeCell ref="E259:E260"/>
    <mergeCell ref="F259:F260"/>
    <mergeCell ref="H259:H260"/>
    <mergeCell ref="M272:M274"/>
    <mergeCell ref="B275:B276"/>
    <mergeCell ref="C275:C276"/>
    <mergeCell ref="D275:D276"/>
    <mergeCell ref="E275:E276"/>
    <mergeCell ref="F275:F276"/>
    <mergeCell ref="B272:B274"/>
    <mergeCell ref="C272:C274"/>
    <mergeCell ref="D272:D274"/>
    <mergeCell ref="E272:E274"/>
    <mergeCell ref="F272:F274"/>
    <mergeCell ref="H272:H274"/>
    <mergeCell ref="O267:O268"/>
    <mergeCell ref="B269:B270"/>
    <mergeCell ref="C269:C270"/>
    <mergeCell ref="D269:D270"/>
    <mergeCell ref="E269:E270"/>
    <mergeCell ref="F269:F270"/>
    <mergeCell ref="H269:H270"/>
    <mergeCell ref="L269:L270"/>
    <mergeCell ref="E279:E280"/>
    <mergeCell ref="F279:F280"/>
    <mergeCell ref="B281:B282"/>
    <mergeCell ref="C281:C282"/>
    <mergeCell ref="D281:D282"/>
    <mergeCell ref="E281:E282"/>
    <mergeCell ref="F281:F282"/>
    <mergeCell ref="F302:F303"/>
    <mergeCell ref="H302:H303"/>
    <mergeCell ref="L296:L297"/>
    <mergeCell ref="B302:B303"/>
    <mergeCell ref="C302:C303"/>
    <mergeCell ref="D302:D303"/>
    <mergeCell ref="B300:B301"/>
    <mergeCell ref="C300:C301"/>
    <mergeCell ref="D300:D301"/>
    <mergeCell ref="E300:E301"/>
    <mergeCell ref="F300:F301"/>
    <mergeCell ref="H300:H301"/>
    <mergeCell ref="B296:B297"/>
    <mergeCell ref="C296:C297"/>
    <mergeCell ref="D296:D297"/>
    <mergeCell ref="E296:E297"/>
    <mergeCell ref="F296:F297"/>
    <mergeCell ref="H296:H297"/>
    <mergeCell ref="B289:B290"/>
    <mergeCell ref="D287:D288"/>
    <mergeCell ref="E287:E288"/>
    <mergeCell ref="F287:F288"/>
    <mergeCell ref="H287:H288"/>
    <mergeCell ref="B279:B280"/>
    <mergeCell ref="C279:C280"/>
    <mergeCell ref="B304:B305"/>
    <mergeCell ref="C304:C305"/>
    <mergeCell ref="D304:D305"/>
    <mergeCell ref="E304:E305"/>
    <mergeCell ref="F304:F305"/>
    <mergeCell ref="H304:H305"/>
    <mergeCell ref="N326:N327"/>
    <mergeCell ref="B328:B329"/>
    <mergeCell ref="C328:C329"/>
    <mergeCell ref="D328:D329"/>
    <mergeCell ref="E328:E329"/>
    <mergeCell ref="F328:F329"/>
    <mergeCell ref="G328:G329"/>
    <mergeCell ref="H328:H329"/>
    <mergeCell ref="B326:B327"/>
    <mergeCell ref="C326:C327"/>
    <mergeCell ref="D326:D327"/>
    <mergeCell ref="E326:E327"/>
    <mergeCell ref="H326:H327"/>
    <mergeCell ref="M326:M327"/>
    <mergeCell ref="B324:B325"/>
    <mergeCell ref="C324:C325"/>
    <mergeCell ref="D324:D325"/>
    <mergeCell ref="E324:E325"/>
    <mergeCell ref="F324:F325"/>
    <mergeCell ref="H324:H325"/>
    <mergeCell ref="F319:F320"/>
    <mergeCell ref="H319:H320"/>
    <mergeCell ref="B309:B310"/>
    <mergeCell ref="C309:C310"/>
    <mergeCell ref="B312:B313"/>
    <mergeCell ref="F309:F310"/>
    <mergeCell ref="B341:B342"/>
    <mergeCell ref="C341:C342"/>
    <mergeCell ref="D341:D342"/>
    <mergeCell ref="E341:E342"/>
    <mergeCell ref="F341:F342"/>
    <mergeCell ref="G341:G342"/>
    <mergeCell ref="H341:H342"/>
    <mergeCell ref="B336:B338"/>
    <mergeCell ref="C336:C338"/>
    <mergeCell ref="D336:D338"/>
    <mergeCell ref="E336:E338"/>
    <mergeCell ref="F336:F338"/>
    <mergeCell ref="G336:G338"/>
    <mergeCell ref="H331:H332"/>
    <mergeCell ref="M331:M332"/>
    <mergeCell ref="B333:B334"/>
    <mergeCell ref="C333:C334"/>
    <mergeCell ref="D333:D334"/>
    <mergeCell ref="E333:E334"/>
    <mergeCell ref="F333:F334"/>
    <mergeCell ref="M333:M334"/>
    <mergeCell ref="B331:B332"/>
    <mergeCell ref="C331:C332"/>
    <mergeCell ref="D331:D332"/>
    <mergeCell ref="E331:E332"/>
    <mergeCell ref="F331:F332"/>
    <mergeCell ref="G331:G332"/>
    <mergeCell ref="Q349:Q350"/>
    <mergeCell ref="B352:B353"/>
    <mergeCell ref="C352:C353"/>
    <mergeCell ref="D352:D353"/>
    <mergeCell ref="E352:E353"/>
    <mergeCell ref="F352:F353"/>
    <mergeCell ref="H352:H353"/>
    <mergeCell ref="B348:B350"/>
    <mergeCell ref="C348:C350"/>
    <mergeCell ref="D348:D350"/>
    <mergeCell ref="E348:E350"/>
    <mergeCell ref="F348:F350"/>
    <mergeCell ref="H348:H350"/>
    <mergeCell ref="B346:B347"/>
    <mergeCell ref="C346:C347"/>
    <mergeCell ref="D346:D347"/>
    <mergeCell ref="E346:E347"/>
    <mergeCell ref="F346:F347"/>
    <mergeCell ref="H346:H347"/>
    <mergeCell ref="M348:M350"/>
    <mergeCell ref="Q357:Q358"/>
    <mergeCell ref="B359:B360"/>
    <mergeCell ref="C359:C360"/>
    <mergeCell ref="D359:D360"/>
    <mergeCell ref="E359:E360"/>
    <mergeCell ref="H359:H360"/>
    <mergeCell ref="M359:M360"/>
    <mergeCell ref="Q359:Q360"/>
    <mergeCell ref="M355:M356"/>
    <mergeCell ref="B357:B358"/>
    <mergeCell ref="C357:C358"/>
    <mergeCell ref="D357:D358"/>
    <mergeCell ref="E357:E358"/>
    <mergeCell ref="F357:F358"/>
    <mergeCell ref="H357:H358"/>
    <mergeCell ref="M357:M358"/>
    <mergeCell ref="B355:B356"/>
    <mergeCell ref="C355:C356"/>
    <mergeCell ref="D355:D356"/>
    <mergeCell ref="E355:E356"/>
    <mergeCell ref="F355:F356"/>
    <mergeCell ref="H355:H356"/>
    <mergeCell ref="B363:B364"/>
    <mergeCell ref="C363:C364"/>
    <mergeCell ref="D363:D364"/>
    <mergeCell ref="E363:E364"/>
    <mergeCell ref="H363:H364"/>
    <mergeCell ref="M363:M364"/>
    <mergeCell ref="B361:B362"/>
    <mergeCell ref="C361:C362"/>
    <mergeCell ref="D361:D362"/>
    <mergeCell ref="E361:E362"/>
    <mergeCell ref="F361:F362"/>
    <mergeCell ref="H361:H362"/>
    <mergeCell ref="F370:F371"/>
    <mergeCell ref="H370:H371"/>
    <mergeCell ref="Q370:Q371"/>
    <mergeCell ref="C370:C371"/>
    <mergeCell ref="D370:D371"/>
    <mergeCell ref="B370:B371"/>
    <mergeCell ref="E370:E371"/>
    <mergeCell ref="Q363:Q364"/>
    <mergeCell ref="M361:M362"/>
    <mergeCell ref="P418:P419"/>
    <mergeCell ref="Q372:Q373"/>
    <mergeCell ref="B372:B373"/>
    <mergeCell ref="L372:L373"/>
    <mergeCell ref="C372:C373"/>
    <mergeCell ref="D372:D373"/>
    <mergeCell ref="E372:E373"/>
    <mergeCell ref="N379:N380"/>
    <mergeCell ref="O379:O380"/>
    <mergeCell ref="P379:P380"/>
    <mergeCell ref="H379:H380"/>
    <mergeCell ref="B381:B382"/>
    <mergeCell ref="F381:F382"/>
    <mergeCell ref="C381:C382"/>
    <mergeCell ref="D381:D382"/>
    <mergeCell ref="E381:E382"/>
    <mergeCell ref="H381:H382"/>
    <mergeCell ref="M379:M380"/>
    <mergeCell ref="M383:M384"/>
    <mergeCell ref="L383:L384"/>
    <mergeCell ref="N383:N384"/>
    <mergeCell ref="O383:O384"/>
    <mergeCell ref="P383:P384"/>
    <mergeCell ref="Q383:Q384"/>
    <mergeCell ref="F385:F386"/>
    <mergeCell ref="H385:H386"/>
    <mergeCell ref="M372:M373"/>
    <mergeCell ref="F372:F373"/>
    <mergeCell ref="H372:H373"/>
    <mergeCell ref="B379:B380"/>
    <mergeCell ref="C379:C380"/>
    <mergeCell ref="D379:D380"/>
    <mergeCell ref="P427:P428"/>
    <mergeCell ref="C435:E435"/>
    <mergeCell ref="P444:P445"/>
    <mergeCell ref="P422:P423"/>
    <mergeCell ref="Q422:Q423"/>
    <mergeCell ref="B424:B425"/>
    <mergeCell ref="C424:E425"/>
    <mergeCell ref="H424:H425"/>
    <mergeCell ref="M424:M425"/>
    <mergeCell ref="P424:P425"/>
    <mergeCell ref="B422:B423"/>
    <mergeCell ref="C422:E423"/>
    <mergeCell ref="F422:F423"/>
    <mergeCell ref="H422:H423"/>
    <mergeCell ref="P440:P441"/>
    <mergeCell ref="C436:E436"/>
    <mergeCell ref="C437:E437"/>
    <mergeCell ref="C438:E438"/>
    <mergeCell ref="C439:E439"/>
    <mergeCell ref="B440:B441"/>
    <mergeCell ref="C440:E441"/>
    <mergeCell ref="H444:H445"/>
    <mergeCell ref="B444:B445"/>
    <mergeCell ref="C444:E445"/>
    <mergeCell ref="B427:B428"/>
    <mergeCell ref="C427:E428"/>
    <mergeCell ref="C426:E426"/>
    <mergeCell ref="M440:M441"/>
    <mergeCell ref="M444:M445"/>
    <mergeCell ref="P456:P459"/>
    <mergeCell ref="P451:P452"/>
    <mergeCell ref="Q451:Q452"/>
    <mergeCell ref="B453:B454"/>
    <mergeCell ref="C453:E454"/>
    <mergeCell ref="H453:H454"/>
    <mergeCell ref="M453:M454"/>
    <mergeCell ref="P453:P454"/>
    <mergeCell ref="Q446:Q447"/>
    <mergeCell ref="Q427:Q428"/>
    <mergeCell ref="C429:E429"/>
    <mergeCell ref="C430:E430"/>
    <mergeCell ref="C431:E431"/>
    <mergeCell ref="C432:E432"/>
    <mergeCell ref="B433:B434"/>
    <mergeCell ref="C433:E434"/>
    <mergeCell ref="H433:H434"/>
    <mergeCell ref="M433:M434"/>
    <mergeCell ref="P433:P434"/>
    <mergeCell ref="C449:E449"/>
    <mergeCell ref="C450:E450"/>
    <mergeCell ref="B451:B452"/>
    <mergeCell ref="C451:E452"/>
    <mergeCell ref="F451:F452"/>
    <mergeCell ref="B446:B447"/>
    <mergeCell ref="Q456:Q459"/>
    <mergeCell ref="N457:N459"/>
    <mergeCell ref="C448:E448"/>
    <mergeCell ref="C455:E455"/>
    <mergeCell ref="H451:H452"/>
    <mergeCell ref="P446:P447"/>
    <mergeCell ref="H427:H428"/>
    <mergeCell ref="Q476:Q477"/>
    <mergeCell ref="C478:E478"/>
    <mergeCell ref="B479:B480"/>
    <mergeCell ref="C479:E480"/>
    <mergeCell ref="H479:H480"/>
    <mergeCell ref="M479:M480"/>
    <mergeCell ref="P479:P480"/>
    <mergeCell ref="M471:M472"/>
    <mergeCell ref="P471:P472"/>
    <mergeCell ref="B473:B475"/>
    <mergeCell ref="C473:E475"/>
    <mergeCell ref="H473:H475"/>
    <mergeCell ref="M473:M475"/>
    <mergeCell ref="P473:P475"/>
    <mergeCell ref="C468:E468"/>
    <mergeCell ref="C469:E469"/>
    <mergeCell ref="C470:E470"/>
    <mergeCell ref="B471:B472"/>
    <mergeCell ref="C471:E472"/>
    <mergeCell ref="H471:H472"/>
    <mergeCell ref="P483:P484"/>
    <mergeCell ref="B485:B486"/>
    <mergeCell ref="C485:E486"/>
    <mergeCell ref="H485:H486"/>
    <mergeCell ref="L485:L486"/>
    <mergeCell ref="M485:M486"/>
    <mergeCell ref="P485:P486"/>
    <mergeCell ref="C481:E481"/>
    <mergeCell ref="C482:E482"/>
    <mergeCell ref="B483:B484"/>
    <mergeCell ref="C483:E484"/>
    <mergeCell ref="H483:H484"/>
    <mergeCell ref="L483:L484"/>
    <mergeCell ref="B476:B477"/>
    <mergeCell ref="C476:E477"/>
    <mergeCell ref="H476:H477"/>
    <mergeCell ref="P465:P467"/>
    <mergeCell ref="M483:M484"/>
    <mergeCell ref="B465:B467"/>
    <mergeCell ref="C465:E467"/>
    <mergeCell ref="H465:H467"/>
    <mergeCell ref="M465:M467"/>
    <mergeCell ref="Q513:Q514"/>
    <mergeCell ref="C510:E510"/>
    <mergeCell ref="B511:B512"/>
    <mergeCell ref="C511:E512"/>
    <mergeCell ref="H511:H512"/>
    <mergeCell ref="M511:M512"/>
    <mergeCell ref="P511:P512"/>
    <mergeCell ref="C507:E507"/>
    <mergeCell ref="B508:B509"/>
    <mergeCell ref="C508:E509"/>
    <mergeCell ref="H508:H509"/>
    <mergeCell ref="M508:M509"/>
    <mergeCell ref="P508:P509"/>
    <mergeCell ref="M503:M504"/>
    <mergeCell ref="P503:P504"/>
    <mergeCell ref="Q503:Q504"/>
    <mergeCell ref="B505:B506"/>
    <mergeCell ref="C505:E506"/>
    <mergeCell ref="M505:M506"/>
    <mergeCell ref="P505:P506"/>
    <mergeCell ref="B503:B504"/>
    <mergeCell ref="C503:E504"/>
    <mergeCell ref="P518:P519"/>
    <mergeCell ref="C520:E520"/>
    <mergeCell ref="B515:B516"/>
    <mergeCell ref="C515:E516"/>
    <mergeCell ref="H515:H516"/>
    <mergeCell ref="M515:M516"/>
    <mergeCell ref="P515:P516"/>
    <mergeCell ref="C517:E517"/>
    <mergeCell ref="B513:B514"/>
    <mergeCell ref="C513:E514"/>
    <mergeCell ref="H513:H514"/>
    <mergeCell ref="M513:M514"/>
    <mergeCell ref="P513:P514"/>
    <mergeCell ref="M528:M529"/>
    <mergeCell ref="P528:P529"/>
    <mergeCell ref="C530:E530"/>
    <mergeCell ref="C531:E531"/>
    <mergeCell ref="C525:E525"/>
    <mergeCell ref="C526:E526"/>
    <mergeCell ref="C527:E527"/>
    <mergeCell ref="B528:B529"/>
    <mergeCell ref="C528:E529"/>
    <mergeCell ref="H528:H529"/>
    <mergeCell ref="C521:E521"/>
    <mergeCell ref="B522:B524"/>
    <mergeCell ref="C522:E524"/>
    <mergeCell ref="H522:H524"/>
    <mergeCell ref="M522:M524"/>
    <mergeCell ref="P522:P524"/>
    <mergeCell ref="H518:H519"/>
    <mergeCell ref="C518:E519"/>
    <mergeCell ref="M518:M519"/>
    <mergeCell ref="P542:P543"/>
    <mergeCell ref="C544:E544"/>
    <mergeCell ref="C545:E545"/>
    <mergeCell ref="C546:E546"/>
    <mergeCell ref="B547:B548"/>
    <mergeCell ref="C547:E548"/>
    <mergeCell ref="H547:H548"/>
    <mergeCell ref="L547:L548"/>
    <mergeCell ref="M547:M548"/>
    <mergeCell ref="P547:P548"/>
    <mergeCell ref="C541:E541"/>
    <mergeCell ref="B542:B543"/>
    <mergeCell ref="C542:E543"/>
    <mergeCell ref="H542:H543"/>
    <mergeCell ref="L542:L543"/>
    <mergeCell ref="M542:M543"/>
    <mergeCell ref="P534:P535"/>
    <mergeCell ref="C536:E536"/>
    <mergeCell ref="C537:E537"/>
    <mergeCell ref="C538:E538"/>
    <mergeCell ref="C539:E539"/>
    <mergeCell ref="C540:E540"/>
    <mergeCell ref="B534:B535"/>
    <mergeCell ref="C534:E535"/>
    <mergeCell ref="H534:H535"/>
    <mergeCell ref="L534:L535"/>
    <mergeCell ref="M534:M535"/>
    <mergeCell ref="N534:N535"/>
    <mergeCell ref="Q558:Q559"/>
    <mergeCell ref="C554:E554"/>
    <mergeCell ref="B555:B556"/>
    <mergeCell ref="C555:E556"/>
    <mergeCell ref="H555:H556"/>
    <mergeCell ref="L555:L556"/>
    <mergeCell ref="M555:M556"/>
    <mergeCell ref="P550:P551"/>
    <mergeCell ref="B552:B553"/>
    <mergeCell ref="C552:E553"/>
    <mergeCell ref="H552:H553"/>
    <mergeCell ref="P552:P553"/>
    <mergeCell ref="Q552:Q553"/>
    <mergeCell ref="C549:E549"/>
    <mergeCell ref="B550:B551"/>
    <mergeCell ref="C550:E551"/>
    <mergeCell ref="H550:H551"/>
    <mergeCell ref="L550:L551"/>
    <mergeCell ref="M550:M551"/>
    <mergeCell ref="P561:P563"/>
    <mergeCell ref="B564:B565"/>
    <mergeCell ref="C564:E565"/>
    <mergeCell ref="H564:H565"/>
    <mergeCell ref="L564:L565"/>
    <mergeCell ref="M564:M565"/>
    <mergeCell ref="P564:P565"/>
    <mergeCell ref="C560:E560"/>
    <mergeCell ref="B561:B563"/>
    <mergeCell ref="C561:E563"/>
    <mergeCell ref="F561:F563"/>
    <mergeCell ref="H561:H563"/>
    <mergeCell ref="M561:M563"/>
    <mergeCell ref="P555:P556"/>
    <mergeCell ref="C557:E557"/>
    <mergeCell ref="B558:B559"/>
    <mergeCell ref="C558:E559"/>
    <mergeCell ref="H558:H559"/>
    <mergeCell ref="P571:P572"/>
    <mergeCell ref="B568:B569"/>
    <mergeCell ref="C568:E569"/>
    <mergeCell ref="H568:H569"/>
    <mergeCell ref="M568:M569"/>
    <mergeCell ref="P568:P569"/>
    <mergeCell ref="Q568:Q569"/>
    <mergeCell ref="Q564:Q565"/>
    <mergeCell ref="B566:B567"/>
    <mergeCell ref="C566:E567"/>
    <mergeCell ref="H566:H567"/>
    <mergeCell ref="M566:M567"/>
    <mergeCell ref="P566:P567"/>
    <mergeCell ref="Q566:Q567"/>
    <mergeCell ref="C580:E580"/>
    <mergeCell ref="Q573:Q574"/>
    <mergeCell ref="C575:E575"/>
    <mergeCell ref="C576:E576"/>
    <mergeCell ref="C577:E577"/>
    <mergeCell ref="C578:E578"/>
    <mergeCell ref="C579:E579"/>
    <mergeCell ref="B573:B574"/>
    <mergeCell ref="C573:E574"/>
    <mergeCell ref="H573:H574"/>
    <mergeCell ref="L573:L574"/>
    <mergeCell ref="M573:M574"/>
    <mergeCell ref="P573:P574"/>
    <mergeCell ref="B571:B572"/>
    <mergeCell ref="H571:H572"/>
    <mergeCell ref="M571:M572"/>
    <mergeCell ref="Q595:Q596"/>
    <mergeCell ref="C597:E597"/>
    <mergeCell ref="C598:E598"/>
    <mergeCell ref="C599:E599"/>
    <mergeCell ref="C600:E600"/>
    <mergeCell ref="B601:B602"/>
    <mergeCell ref="C601:E602"/>
    <mergeCell ref="H601:H602"/>
    <mergeCell ref="M601:M602"/>
    <mergeCell ref="P589:P591"/>
    <mergeCell ref="C592:E592"/>
    <mergeCell ref="C593:E593"/>
    <mergeCell ref="C594:E594"/>
    <mergeCell ref="B595:B596"/>
    <mergeCell ref="C595:E596"/>
    <mergeCell ref="F595:F596"/>
    <mergeCell ref="C586:E586"/>
    <mergeCell ref="C587:E587"/>
    <mergeCell ref="B588:H588"/>
    <mergeCell ref="B589:B591"/>
    <mergeCell ref="C589:E591"/>
    <mergeCell ref="M589:M591"/>
    <mergeCell ref="P610:P611"/>
    <mergeCell ref="B612:B613"/>
    <mergeCell ref="C612:E613"/>
    <mergeCell ref="H612:H613"/>
    <mergeCell ref="L612:L613"/>
    <mergeCell ref="M612:M613"/>
    <mergeCell ref="P612:P613"/>
    <mergeCell ref="C606:E606"/>
    <mergeCell ref="C607:E607"/>
    <mergeCell ref="C608:E608"/>
    <mergeCell ref="C609:E609"/>
    <mergeCell ref="B610:B611"/>
    <mergeCell ref="C610:E611"/>
    <mergeCell ref="B603:B604"/>
    <mergeCell ref="C603:E604"/>
    <mergeCell ref="L603:L604"/>
    <mergeCell ref="M603:M604"/>
    <mergeCell ref="P603:P604"/>
    <mergeCell ref="C605:E605"/>
    <mergeCell ref="M610:M611"/>
    <mergeCell ref="P618:P619"/>
    <mergeCell ref="B620:B621"/>
    <mergeCell ref="C620:E621"/>
    <mergeCell ref="H620:H621"/>
    <mergeCell ref="M620:M621"/>
    <mergeCell ref="N620:N621"/>
    <mergeCell ref="P620:P621"/>
    <mergeCell ref="C617:E617"/>
    <mergeCell ref="B618:B619"/>
    <mergeCell ref="C618:E619"/>
    <mergeCell ref="H618:H619"/>
    <mergeCell ref="M618:M619"/>
    <mergeCell ref="N618:N619"/>
    <mergeCell ref="B614:B615"/>
    <mergeCell ref="C614:E615"/>
    <mergeCell ref="H614:H615"/>
    <mergeCell ref="M614:M615"/>
    <mergeCell ref="P614:P615"/>
    <mergeCell ref="C616:E616"/>
    <mergeCell ref="P627:P628"/>
    <mergeCell ref="C629:E629"/>
    <mergeCell ref="B630:B631"/>
    <mergeCell ref="C630:E631"/>
    <mergeCell ref="H630:H631"/>
    <mergeCell ref="M630:M631"/>
    <mergeCell ref="P630:P631"/>
    <mergeCell ref="C622:E622"/>
    <mergeCell ref="C623:E623"/>
    <mergeCell ref="C624:E624"/>
    <mergeCell ref="C625:E625"/>
    <mergeCell ref="C626:E626"/>
    <mergeCell ref="B627:B628"/>
    <mergeCell ref="C627:E628"/>
    <mergeCell ref="P641:P643"/>
    <mergeCell ref="M636:M637"/>
    <mergeCell ref="P636:P637"/>
    <mergeCell ref="C638:E638"/>
    <mergeCell ref="B639:B640"/>
    <mergeCell ref="C639:E640"/>
    <mergeCell ref="F639:F640"/>
    <mergeCell ref="H639:H640"/>
    <mergeCell ref="C634:E634"/>
    <mergeCell ref="C635:E635"/>
    <mergeCell ref="B636:B637"/>
    <mergeCell ref="C636:E637"/>
    <mergeCell ref="H636:H637"/>
    <mergeCell ref="L636:L637"/>
    <mergeCell ref="B632:B633"/>
    <mergeCell ref="C632:E633"/>
    <mergeCell ref="H632:H633"/>
    <mergeCell ref="L632:L633"/>
    <mergeCell ref="P632:P633"/>
    <mergeCell ref="C650:E650"/>
    <mergeCell ref="C651:E651"/>
    <mergeCell ref="C652:E652"/>
    <mergeCell ref="C653:E653"/>
    <mergeCell ref="B654:B655"/>
    <mergeCell ref="C654:E655"/>
    <mergeCell ref="C644:E644"/>
    <mergeCell ref="C645:E645"/>
    <mergeCell ref="C646:E646"/>
    <mergeCell ref="C647:E647"/>
    <mergeCell ref="C648:E648"/>
    <mergeCell ref="C649:E649"/>
    <mergeCell ref="B641:B643"/>
    <mergeCell ref="C641:E643"/>
    <mergeCell ref="H641:H643"/>
    <mergeCell ref="L641:L643"/>
    <mergeCell ref="M641:M643"/>
    <mergeCell ref="M632:M633"/>
    <mergeCell ref="F654:F655"/>
    <mergeCell ref="H654:H655"/>
    <mergeCell ref="P654:P655"/>
    <mergeCell ref="B705:B706"/>
    <mergeCell ref="C691:E691"/>
    <mergeCell ref="C692:E692"/>
    <mergeCell ref="C693:E693"/>
    <mergeCell ref="C694:E694"/>
    <mergeCell ref="C695:E695"/>
    <mergeCell ref="C688:E688"/>
    <mergeCell ref="C689:E689"/>
    <mergeCell ref="P658:P661"/>
    <mergeCell ref="F660:F661"/>
    <mergeCell ref="O680:O681"/>
    <mergeCell ref="C662:E662"/>
    <mergeCell ref="C663:E663"/>
    <mergeCell ref="C664:E664"/>
    <mergeCell ref="C665:E665"/>
    <mergeCell ref="C686:E686"/>
    <mergeCell ref="B676:B677"/>
    <mergeCell ref="C676:E677"/>
    <mergeCell ref="F676:F677"/>
    <mergeCell ref="C666:E666"/>
    <mergeCell ref="M674:M675"/>
    <mergeCell ref="H676:H677"/>
    <mergeCell ref="C678:E678"/>
    <mergeCell ref="C671:E671"/>
    <mergeCell ref="C672:E672"/>
    <mergeCell ref="C673:E673"/>
    <mergeCell ref="B674:B675"/>
    <mergeCell ref="M669:M670"/>
    <mergeCell ref="B669:B670"/>
    <mergeCell ref="C684:E684"/>
    <mergeCell ref="M705:M706"/>
    <mergeCell ref="C705:E706"/>
    <mergeCell ref="P680:P681"/>
    <mergeCell ref="Q680:Q681"/>
    <mergeCell ref="B682:B683"/>
    <mergeCell ref="C682:E683"/>
    <mergeCell ref="F682:F683"/>
    <mergeCell ref="H682:H683"/>
    <mergeCell ref="C679:E679"/>
    <mergeCell ref="B680:B681"/>
    <mergeCell ref="C680:E681"/>
    <mergeCell ref="F680:F681"/>
    <mergeCell ref="H680:H681"/>
    <mergeCell ref="M680:M681"/>
    <mergeCell ref="M698:M700"/>
    <mergeCell ref="N698:N700"/>
    <mergeCell ref="O698:O700"/>
    <mergeCell ref="P698:P700"/>
    <mergeCell ref="Q698:Q700"/>
    <mergeCell ref="C696:E696"/>
    <mergeCell ref="C697:E697"/>
    <mergeCell ref="B698:B700"/>
    <mergeCell ref="C698:E700"/>
    <mergeCell ref="F698:F700"/>
    <mergeCell ref="H698:H700"/>
    <mergeCell ref="Q707:Q709"/>
    <mergeCell ref="C710:E710"/>
    <mergeCell ref="C711:E711"/>
    <mergeCell ref="B712:B713"/>
    <mergeCell ref="C712:E713"/>
    <mergeCell ref="F712:F713"/>
    <mergeCell ref="H712:H713"/>
    <mergeCell ref="M712:M713"/>
    <mergeCell ref="C753:E753"/>
    <mergeCell ref="C744:E744"/>
    <mergeCell ref="C756:E756"/>
    <mergeCell ref="C758:E758"/>
    <mergeCell ref="B750:B751"/>
    <mergeCell ref="C750:E751"/>
    <mergeCell ref="M754:M755"/>
    <mergeCell ref="C741:E741"/>
    <mergeCell ref="P748:P749"/>
    <mergeCell ref="C748:E749"/>
    <mergeCell ref="F748:F749"/>
    <mergeCell ref="F725:F726"/>
    <mergeCell ref="C725:E726"/>
    <mergeCell ref="C752:E752"/>
    <mergeCell ref="Q733:Q734"/>
    <mergeCell ref="C739:E739"/>
    <mergeCell ref="B715:B716"/>
    <mergeCell ref="B736:B738"/>
    <mergeCell ref="C736:E738"/>
    <mergeCell ref="F736:F737"/>
    <mergeCell ref="H736:H738"/>
    <mergeCell ref="B742:B743"/>
    <mergeCell ref="C742:E743"/>
    <mergeCell ref="B748:B749"/>
    <mergeCell ref="Q725:Q726"/>
    <mergeCell ref="C727:E727"/>
    <mergeCell ref="M823:M824"/>
    <mergeCell ref="L823:L824"/>
    <mergeCell ref="C797:E797"/>
    <mergeCell ref="F823:F824"/>
    <mergeCell ref="F754:F755"/>
    <mergeCell ref="H754:H755"/>
    <mergeCell ref="B808:B809"/>
    <mergeCell ref="C819:E820"/>
    <mergeCell ref="F773:F774"/>
    <mergeCell ref="H773:H774"/>
    <mergeCell ref="C800:E800"/>
    <mergeCell ref="N845:N846"/>
    <mergeCell ref="C765:E765"/>
    <mergeCell ref="C770:E770"/>
    <mergeCell ref="C771:E771"/>
    <mergeCell ref="C810:E811"/>
    <mergeCell ref="F810:F811"/>
    <mergeCell ref="C782:E782"/>
    <mergeCell ref="C803:E803"/>
    <mergeCell ref="F840:F841"/>
    <mergeCell ref="H829:H831"/>
    <mergeCell ref="C816:E817"/>
    <mergeCell ref="H816:H817"/>
    <mergeCell ref="B810:B811"/>
    <mergeCell ref="F775:F776"/>
    <mergeCell ref="B780:B781"/>
    <mergeCell ref="B829:B831"/>
    <mergeCell ref="F830:F831"/>
    <mergeCell ref="B825:B826"/>
    <mergeCell ref="C825:E826"/>
    <mergeCell ref="C767:E767"/>
    <mergeCell ref="C806:E807"/>
    <mergeCell ref="B773:B774"/>
    <mergeCell ref="H795:H796"/>
    <mergeCell ref="H775:H776"/>
    <mergeCell ref="B823:B824"/>
    <mergeCell ref="C790:E790"/>
    <mergeCell ref="B806:B807"/>
    <mergeCell ref="C778:E779"/>
    <mergeCell ref="F778:F779"/>
    <mergeCell ref="B778:B779"/>
    <mergeCell ref="M775:M776"/>
    <mergeCell ref="O845:O846"/>
    <mergeCell ref="C850:E851"/>
    <mergeCell ref="N852:N853"/>
    <mergeCell ref="O852:O853"/>
    <mergeCell ref="C784:E785"/>
    <mergeCell ref="C829:E831"/>
    <mergeCell ref="H833:H834"/>
    <mergeCell ref="H843:H844"/>
    <mergeCell ref="C838:E838"/>
    <mergeCell ref="C839:E839"/>
    <mergeCell ref="P852:P853"/>
    <mergeCell ref="Q852:Q853"/>
    <mergeCell ref="I854:I855"/>
    <mergeCell ref="H854:H855"/>
    <mergeCell ref="B821:B822"/>
    <mergeCell ref="B775:B776"/>
    <mergeCell ref="B835:B837"/>
    <mergeCell ref="N780:N781"/>
    <mergeCell ref="O780:O781"/>
    <mergeCell ref="B804:B805"/>
    <mergeCell ref="C792:E792"/>
    <mergeCell ref="C808:E809"/>
    <mergeCell ref="C821:E822"/>
    <mergeCell ref="H821:H822"/>
    <mergeCell ref="M816:M817"/>
    <mergeCell ref="H784:H785"/>
    <mergeCell ref="I821:I822"/>
    <mergeCell ref="C832:E832"/>
    <mergeCell ref="H840:H841"/>
    <mergeCell ref="G840:G841"/>
    <mergeCell ref="H819:H820"/>
    <mergeCell ref="C815:E815"/>
    <mergeCell ref="C840:E841"/>
    <mergeCell ref="C835:E837"/>
    <mergeCell ref="F835:F836"/>
    <mergeCell ref="G835:G836"/>
    <mergeCell ref="H835:H837"/>
    <mergeCell ref="B816:B817"/>
    <mergeCell ref="C828:E828"/>
    <mergeCell ref="C818:E818"/>
    <mergeCell ref="B840:B841"/>
    <mergeCell ref="B819:B820"/>
    <mergeCell ref="B850:B851"/>
    <mergeCell ref="B798:B799"/>
    <mergeCell ref="B795:B796"/>
    <mergeCell ref="C795:E796"/>
    <mergeCell ref="F795:F796"/>
    <mergeCell ref="F1097:F1098"/>
    <mergeCell ref="C1028:E1028"/>
    <mergeCell ref="C886:E886"/>
    <mergeCell ref="C887:E887"/>
    <mergeCell ref="C888:E888"/>
    <mergeCell ref="C889:E889"/>
    <mergeCell ref="C890:E890"/>
    <mergeCell ref="C833:E834"/>
    <mergeCell ref="C880:E880"/>
    <mergeCell ref="C881:E881"/>
    <mergeCell ref="C891:E891"/>
    <mergeCell ref="C900:E900"/>
    <mergeCell ref="C901:E901"/>
    <mergeCell ref="C902:E902"/>
    <mergeCell ref="C903:E903"/>
    <mergeCell ref="C904:E904"/>
    <mergeCell ref="C909:E909"/>
    <mergeCell ref="B833:B834"/>
    <mergeCell ref="C956:E956"/>
    <mergeCell ref="C1003:E1003"/>
    <mergeCell ref="C1109:E1109"/>
    <mergeCell ref="C1185:E1185"/>
    <mergeCell ref="C1169:E1169"/>
    <mergeCell ref="C1017:E1017"/>
    <mergeCell ref="C1009:E1009"/>
    <mergeCell ref="C1012:E1012"/>
    <mergeCell ref="C999:E999"/>
    <mergeCell ref="Q1130:Q1132"/>
    <mergeCell ref="L1120:L1122"/>
    <mergeCell ref="Q1120:Q1122"/>
    <mergeCell ref="C1065:E1065"/>
    <mergeCell ref="C965:E965"/>
    <mergeCell ref="C995:E995"/>
    <mergeCell ref="C982:E982"/>
    <mergeCell ref="C983:E983"/>
    <mergeCell ref="C972:E972"/>
    <mergeCell ref="C973:E973"/>
    <mergeCell ref="C984:E984"/>
    <mergeCell ref="C985:E985"/>
    <mergeCell ref="C986:E986"/>
    <mergeCell ref="C979:E979"/>
    <mergeCell ref="C980:E980"/>
    <mergeCell ref="C981:E981"/>
    <mergeCell ref="B1120:B1122"/>
    <mergeCell ref="C1085:E1085"/>
    <mergeCell ref="C1083:E1083"/>
    <mergeCell ref="C1018:E1018"/>
    <mergeCell ref="C1079:E1079"/>
    <mergeCell ref="B1130:B1132"/>
    <mergeCell ref="F1130:F1132"/>
    <mergeCell ref="H1130:H1132"/>
    <mergeCell ref="M1130:M1132"/>
    <mergeCell ref="H1097:H1098"/>
    <mergeCell ref="M1097:M1098"/>
    <mergeCell ref="P1120:P1122"/>
    <mergeCell ref="O1097:O1098"/>
    <mergeCell ref="N1120:N1122"/>
    <mergeCell ref="O1120:O1122"/>
    <mergeCell ref="C1106:E1106"/>
    <mergeCell ref="C1193:E1193"/>
    <mergeCell ref="B1097:B1098"/>
    <mergeCell ref="P1097:P1098"/>
    <mergeCell ref="C1115:E1115"/>
    <mergeCell ref="C1116:E1116"/>
    <mergeCell ref="C1117:E1117"/>
    <mergeCell ref="C1032:E1032"/>
    <mergeCell ref="C1033:E1033"/>
    <mergeCell ref="C1029:E1029"/>
    <mergeCell ref="C1178:E1178"/>
    <mergeCell ref="C1165:E1165"/>
    <mergeCell ref="C1097:E1098"/>
    <mergeCell ref="C1183:E1183"/>
    <mergeCell ref="C1067:E1067"/>
    <mergeCell ref="C1143:E1143"/>
    <mergeCell ref="C1042:E1042"/>
    <mergeCell ref="C1225:E1225"/>
    <mergeCell ref="C1228:E1228"/>
    <mergeCell ref="Q1097:Q1098"/>
    <mergeCell ref="C1194:E1194"/>
    <mergeCell ref="C1163:E1163"/>
    <mergeCell ref="C1164:E1164"/>
    <mergeCell ref="C1167:E1167"/>
    <mergeCell ref="C1056:E1056"/>
    <mergeCell ref="C1057:E1057"/>
    <mergeCell ref="C1058:E1058"/>
    <mergeCell ref="C1059:E1059"/>
    <mergeCell ref="C1060:E1060"/>
    <mergeCell ref="C1061:E1061"/>
    <mergeCell ref="C1062:E1062"/>
    <mergeCell ref="C1086:E1086"/>
    <mergeCell ref="C1087:E1087"/>
    <mergeCell ref="C1088:E1088"/>
    <mergeCell ref="C1089:E1089"/>
    <mergeCell ref="C1090:E1090"/>
    <mergeCell ref="C1187:E1187"/>
    <mergeCell ref="C1188:E1188"/>
    <mergeCell ref="C1186:E1186"/>
    <mergeCell ref="C1184:E1184"/>
    <mergeCell ref="C1130:E1132"/>
    <mergeCell ref="C1123:E1123"/>
    <mergeCell ref="C1134:E1134"/>
    <mergeCell ref="C1118:E1118"/>
    <mergeCell ref="C1076:E1076"/>
    <mergeCell ref="C1125:E1125"/>
    <mergeCell ref="C1126:E1126"/>
    <mergeCell ref="C1127:E1127"/>
    <mergeCell ref="C1195:E1195"/>
    <mergeCell ref="B1234:Q1234"/>
    <mergeCell ref="C1217:E1217"/>
    <mergeCell ref="C1215:E1215"/>
    <mergeCell ref="C1207:E1207"/>
    <mergeCell ref="C1208:E1208"/>
    <mergeCell ref="C1039:E1039"/>
    <mergeCell ref="C1084:E1084"/>
    <mergeCell ref="C1050:E1050"/>
    <mergeCell ref="C1051:E1051"/>
    <mergeCell ref="C1052:E1052"/>
    <mergeCell ref="C1053:E1053"/>
    <mergeCell ref="C1080:E1080"/>
    <mergeCell ref="C1071:E1071"/>
    <mergeCell ref="C1072:E1072"/>
    <mergeCell ref="C1073:E1073"/>
    <mergeCell ref="C1040:E1040"/>
    <mergeCell ref="C1047:E1047"/>
    <mergeCell ref="C1190:E1190"/>
    <mergeCell ref="C1192:E1192"/>
    <mergeCell ref="C1189:E1189"/>
    <mergeCell ref="C1162:E1162"/>
    <mergeCell ref="C1133:E1133"/>
    <mergeCell ref="C1182:E1182"/>
    <mergeCell ref="C1222:E1222"/>
    <mergeCell ref="C1168:E1168"/>
    <mergeCell ref="C1128:E1128"/>
    <mergeCell ref="C1107:E1107"/>
    <mergeCell ref="C1108:E1108"/>
    <mergeCell ref="C1103:E1103"/>
    <mergeCell ref="C1111:E1111"/>
    <mergeCell ref="C1110:E1110"/>
    <mergeCell ref="C1095:E1095"/>
    <mergeCell ref="C1216:E1216"/>
    <mergeCell ref="C1148:E1148"/>
    <mergeCell ref="C1149:E1149"/>
    <mergeCell ref="C1153:E1153"/>
    <mergeCell ref="C1138:E1138"/>
    <mergeCell ref="C1150:E1150"/>
    <mergeCell ref="C1151:E1151"/>
    <mergeCell ref="C1074:E1074"/>
    <mergeCell ref="C1120:E1122"/>
    <mergeCell ref="C1104:E1104"/>
    <mergeCell ref="C1129:E1129"/>
    <mergeCell ref="C1139:E1139"/>
    <mergeCell ref="C1141:E1141"/>
    <mergeCell ref="C1113:E1113"/>
    <mergeCell ref="C1114:E1114"/>
    <mergeCell ref="C1082:E1082"/>
    <mergeCell ref="C1177:E1177"/>
    <mergeCell ref="C1075:E1075"/>
    <mergeCell ref="C1099:E1099"/>
    <mergeCell ref="C1105:E1105"/>
    <mergeCell ref="C1100:E1100"/>
    <mergeCell ref="C1101:E1101"/>
    <mergeCell ref="C1077:E1077"/>
    <mergeCell ref="C1102:E1102"/>
    <mergeCell ref="C1078:E1078"/>
    <mergeCell ref="C1124:E1124"/>
    <mergeCell ref="C1176:E1176"/>
    <mergeCell ref="C1166:E1166"/>
    <mergeCell ref="C1179:E1179"/>
    <mergeCell ref="C1154:E1154"/>
    <mergeCell ref="C1144:E1144"/>
    <mergeCell ref="C1175:E1175"/>
    <mergeCell ref="C1171:E1171"/>
    <mergeCell ref="C1160:E1160"/>
    <mergeCell ref="C1161:E1161"/>
    <mergeCell ref="C1137:E1137"/>
    <mergeCell ref="C1046:E1046"/>
    <mergeCell ref="C1043:E1043"/>
    <mergeCell ref="C1063:E1063"/>
    <mergeCell ref="C1156:E1156"/>
    <mergeCell ref="C848:E849"/>
    <mergeCell ref="H848:H849"/>
    <mergeCell ref="I848:I849"/>
    <mergeCell ref="M848:M849"/>
    <mergeCell ref="C843:E844"/>
    <mergeCell ref="I843:I844"/>
    <mergeCell ref="M843:M844"/>
    <mergeCell ref="C987:E987"/>
    <mergeCell ref="H850:H851"/>
    <mergeCell ref="I850:I851"/>
    <mergeCell ref="C1091:E1091"/>
    <mergeCell ref="C1081:E1081"/>
    <mergeCell ref="C936:E936"/>
    <mergeCell ref="C937:E937"/>
    <mergeCell ref="C938:E938"/>
    <mergeCell ref="C939:E939"/>
    <mergeCell ref="C952:E952"/>
    <mergeCell ref="C953:E953"/>
    <mergeCell ref="C845:E847"/>
    <mergeCell ref="C884:E884"/>
    <mergeCell ref="C1030:E1030"/>
    <mergeCell ref="C1031:E1031"/>
    <mergeCell ref="C906:E906"/>
    <mergeCell ref="C907:E907"/>
    <mergeCell ref="C1068:E1068"/>
    <mergeCell ref="C1069:E1069"/>
    <mergeCell ref="C1019:E1019"/>
    <mergeCell ref="C1064:E1064"/>
    <mergeCell ref="C1045:E1045"/>
    <mergeCell ref="C1021:E1021"/>
    <mergeCell ref="C961:E961"/>
    <mergeCell ref="C976:E976"/>
    <mergeCell ref="C1008:E1008"/>
    <mergeCell ref="C963:E963"/>
    <mergeCell ref="C964:E964"/>
    <mergeCell ref="B403:B405"/>
    <mergeCell ref="I403:I404"/>
    <mergeCell ref="C403:C405"/>
    <mergeCell ref="D403:D405"/>
    <mergeCell ref="E403:E405"/>
    <mergeCell ref="F403:F405"/>
    <mergeCell ref="C977:E977"/>
    <mergeCell ref="C970:E970"/>
    <mergeCell ref="C971:E971"/>
    <mergeCell ref="C993:E993"/>
    <mergeCell ref="C997:E997"/>
    <mergeCell ref="B754:B755"/>
    <mergeCell ref="C763:E763"/>
    <mergeCell ref="B872:C872"/>
    <mergeCell ref="C873:E873"/>
    <mergeCell ref="C874:E874"/>
    <mergeCell ref="B858:B860"/>
    <mergeCell ref="C804:E805"/>
    <mergeCell ref="B784:B785"/>
    <mergeCell ref="B861:B863"/>
    <mergeCell ref="C801:E801"/>
    <mergeCell ref="C1170:E1170"/>
    <mergeCell ref="C1172:E1172"/>
    <mergeCell ref="C1142:E1142"/>
    <mergeCell ref="C1145:E1145"/>
    <mergeCell ref="C1146:E1146"/>
    <mergeCell ref="C1147:E1147"/>
    <mergeCell ref="C1155:E1155"/>
    <mergeCell ref="C1135:E1135"/>
    <mergeCell ref="C1136:E1136"/>
    <mergeCell ref="C1152:E1152"/>
    <mergeCell ref="C1140:E1140"/>
    <mergeCell ref="C957:E957"/>
    <mergeCell ref="C954:E954"/>
    <mergeCell ref="C1013:E1013"/>
    <mergeCell ref="C759:E759"/>
    <mergeCell ref="C760:E760"/>
    <mergeCell ref="C960:E960"/>
    <mergeCell ref="C940:E940"/>
    <mergeCell ref="C1036:E1036"/>
    <mergeCell ref="C1037:E1037"/>
    <mergeCell ref="C1026:E1026"/>
    <mergeCell ref="C1092:E1092"/>
    <mergeCell ref="C1093:E1093"/>
    <mergeCell ref="C1094:E1094"/>
    <mergeCell ref="C1070:E1070"/>
    <mergeCell ref="C991:E991"/>
    <mergeCell ref="C1096:E1096"/>
    <mergeCell ref="C996:E996"/>
    <mergeCell ref="C988:E988"/>
    <mergeCell ref="C1004:E1004"/>
    <mergeCell ref="C1023:E1023"/>
    <mergeCell ref="C1024:E1024"/>
    <mergeCell ref="H808:H809"/>
    <mergeCell ref="H810:H811"/>
    <mergeCell ref="C747:E747"/>
    <mergeCell ref="H778:H779"/>
    <mergeCell ref="H793:H794"/>
    <mergeCell ref="F780:F781"/>
    <mergeCell ref="C772:E772"/>
    <mergeCell ref="C793:E794"/>
    <mergeCell ref="C780:E781"/>
    <mergeCell ref="P410:P411"/>
    <mergeCell ref="Q410:Q411"/>
    <mergeCell ref="M403:M405"/>
    <mergeCell ref="H403:H405"/>
    <mergeCell ref="M835:M837"/>
    <mergeCell ref="C1066:E1066"/>
    <mergeCell ref="F1120:F1122"/>
    <mergeCell ref="H1120:H1122"/>
    <mergeCell ref="M1120:M1122"/>
    <mergeCell ref="M819:M820"/>
    <mergeCell ref="C1022:E1022"/>
    <mergeCell ref="C1041:E1041"/>
    <mergeCell ref="C969:E969"/>
    <mergeCell ref="C962:E962"/>
    <mergeCell ref="C974:E974"/>
    <mergeCell ref="C975:E975"/>
    <mergeCell ref="C998:E998"/>
    <mergeCell ref="C1010:E1010"/>
    <mergeCell ref="C1014:E1014"/>
    <mergeCell ref="C1015:E1015"/>
    <mergeCell ref="C1054:E1054"/>
    <mergeCell ref="C1055:E1055"/>
    <mergeCell ref="C1044:E1044"/>
    <mergeCell ref="G410:G411"/>
    <mergeCell ref="H410:H411"/>
    <mergeCell ref="L410:L411"/>
    <mergeCell ref="M410:M411"/>
    <mergeCell ref="M856:M857"/>
    <mergeCell ref="B725:B726"/>
    <mergeCell ref="I748:I749"/>
    <mergeCell ref="L748:L749"/>
    <mergeCell ref="M748:M749"/>
    <mergeCell ref="C1181:E1181"/>
    <mergeCell ref="C1204:E1204"/>
    <mergeCell ref="N406:N407"/>
    <mergeCell ref="O406:O407"/>
    <mergeCell ref="P406:P407"/>
    <mergeCell ref="Q406:Q407"/>
    <mergeCell ref="C789:E789"/>
    <mergeCell ref="C814:E814"/>
    <mergeCell ref="C813:E813"/>
    <mergeCell ref="C798:E799"/>
    <mergeCell ref="F798:F799"/>
    <mergeCell ref="C766:E766"/>
    <mergeCell ref="C775:E776"/>
    <mergeCell ref="C812:E812"/>
    <mergeCell ref="G780:G781"/>
    <mergeCell ref="H780:H781"/>
    <mergeCell ref="C787:E787"/>
    <mergeCell ref="F806:F807"/>
    <mergeCell ref="C802:E802"/>
    <mergeCell ref="M793:M794"/>
    <mergeCell ref="L793:L794"/>
    <mergeCell ref="L808:L809"/>
    <mergeCell ref="M808:M809"/>
    <mergeCell ref="C1230:E1230"/>
    <mergeCell ref="C1231:E1231"/>
    <mergeCell ref="C1232:E1232"/>
    <mergeCell ref="C1233:E1233"/>
    <mergeCell ref="C864:E864"/>
    <mergeCell ref="C867:E867"/>
    <mergeCell ref="C868:E868"/>
    <mergeCell ref="B865:B866"/>
    <mergeCell ref="C865:E866"/>
    <mergeCell ref="M865:M866"/>
    <mergeCell ref="H865:H866"/>
    <mergeCell ref="C1229:E1229"/>
    <mergeCell ref="M861:M863"/>
    <mergeCell ref="N410:O411"/>
    <mergeCell ref="C823:E824"/>
    <mergeCell ref="G823:G824"/>
    <mergeCell ref="H823:H824"/>
    <mergeCell ref="B793:B794"/>
    <mergeCell ref="C842:E842"/>
    <mergeCell ref="C1226:E1226"/>
    <mergeCell ref="N748:N749"/>
    <mergeCell ref="O748:O749"/>
    <mergeCell ref="B745:B746"/>
    <mergeCell ref="C1191:E1191"/>
    <mergeCell ref="C1224:E1224"/>
    <mergeCell ref="C1005:E1005"/>
    <mergeCell ref="C1006:E1006"/>
    <mergeCell ref="B410:B411"/>
    <mergeCell ref="C410:C411"/>
    <mergeCell ref="D410:D411"/>
    <mergeCell ref="E410:E411"/>
    <mergeCell ref="F410:F411"/>
  </mergeCells>
  <phoneticPr fontId="4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5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BZ18"/>
  <sheetViews>
    <sheetView showGridLines="0" zoomScaleNormal="100" workbookViewId="0">
      <selection activeCell="BP8" sqref="A1:BP8"/>
    </sheetView>
  </sheetViews>
  <sheetFormatPr defaultRowHeight="16.5" x14ac:dyDescent="0.3"/>
  <cols>
    <col min="1" max="1" width="1.375" customWidth="1"/>
    <col min="3" max="3" width="15.25" customWidth="1"/>
    <col min="4" max="4" width="0" hidden="1" customWidth="1"/>
    <col min="5" max="5" width="13.5" hidden="1" customWidth="1"/>
    <col min="6" max="6" width="15.625" hidden="1" customWidth="1"/>
    <col min="7" max="7" width="11.375" hidden="1" customWidth="1"/>
    <col min="8" max="8" width="11.5" hidden="1" customWidth="1"/>
    <col min="9" max="10" width="10.25" hidden="1" customWidth="1"/>
    <col min="11" max="11" width="13.875" hidden="1" customWidth="1"/>
    <col min="12" max="14" width="10.25" hidden="1" customWidth="1"/>
    <col min="15" max="15" width="10.5" hidden="1" customWidth="1"/>
    <col min="16" max="20" width="10.25" hidden="1" customWidth="1"/>
    <col min="21" max="22" width="11.375" hidden="1" customWidth="1"/>
    <col min="23" max="24" width="11.75" hidden="1" customWidth="1"/>
    <col min="25" max="31" width="10.25" hidden="1" customWidth="1"/>
    <col min="32" max="33" width="11.375" hidden="1" customWidth="1"/>
    <col min="34" max="43" width="10.25" hidden="1" customWidth="1"/>
    <col min="44" max="44" width="10.5" hidden="1" customWidth="1"/>
    <col min="45" max="51" width="10.25" hidden="1" customWidth="1"/>
    <col min="52" max="58" width="15" hidden="1" customWidth="1"/>
    <col min="59" max="62" width="10.25" bestFit="1" customWidth="1"/>
    <col min="63" max="63" width="10.5" customWidth="1"/>
    <col min="64" max="68" width="10.25" bestFit="1" customWidth="1"/>
    <col min="69" max="77" width="10.25" customWidth="1"/>
    <col min="78" max="78" width="9.875" bestFit="1" customWidth="1"/>
  </cols>
  <sheetData>
    <row r="1" spans="2:78" ht="8.25" customHeight="1" x14ac:dyDescent="0.3">
      <c r="C1" t="s">
        <v>27</v>
      </c>
      <c r="BG1" s="305"/>
    </row>
    <row r="2" spans="2:78" s="226" customFormat="1" x14ac:dyDescent="0.3">
      <c r="B2" s="112" t="s">
        <v>461</v>
      </c>
      <c r="C2" s="114" t="s">
        <v>943</v>
      </c>
      <c r="D2" s="114" t="s">
        <v>474</v>
      </c>
      <c r="E2" s="114" t="s">
        <v>475</v>
      </c>
      <c r="F2" s="114" t="s">
        <v>425</v>
      </c>
      <c r="G2" s="114" t="s">
        <v>490</v>
      </c>
      <c r="H2" s="115" t="s">
        <v>530</v>
      </c>
      <c r="I2" s="116">
        <v>45623</v>
      </c>
      <c r="J2" s="116">
        <v>45624</v>
      </c>
      <c r="K2" s="116">
        <v>45625</v>
      </c>
      <c r="L2" s="116">
        <v>45626</v>
      </c>
      <c r="M2" s="116">
        <v>45627</v>
      </c>
      <c r="N2" s="116">
        <v>45628</v>
      </c>
      <c r="O2" s="116">
        <v>45629</v>
      </c>
      <c r="P2" s="116">
        <v>45630</v>
      </c>
      <c r="Q2" s="116">
        <v>45631</v>
      </c>
      <c r="R2" s="116">
        <v>45632</v>
      </c>
      <c r="S2" s="116">
        <v>45633</v>
      </c>
      <c r="T2" s="116">
        <v>45634</v>
      </c>
      <c r="U2" s="116">
        <v>45635</v>
      </c>
      <c r="V2" s="116">
        <v>45636</v>
      </c>
      <c r="W2" s="116">
        <v>45637</v>
      </c>
      <c r="X2" s="116">
        <v>45638</v>
      </c>
      <c r="Y2" s="116">
        <v>45639</v>
      </c>
      <c r="Z2" s="116">
        <v>45640</v>
      </c>
      <c r="AA2" s="116">
        <v>45641</v>
      </c>
      <c r="AB2" s="116">
        <v>45642</v>
      </c>
      <c r="AC2" s="116">
        <v>45643</v>
      </c>
      <c r="AD2" s="116">
        <v>45644</v>
      </c>
      <c r="AE2" s="116">
        <v>45645</v>
      </c>
      <c r="AF2" s="116">
        <v>45646</v>
      </c>
      <c r="AG2" s="116">
        <v>45647</v>
      </c>
      <c r="AH2" s="116">
        <v>45648</v>
      </c>
      <c r="AI2" s="116">
        <v>45649</v>
      </c>
      <c r="AJ2" s="116">
        <v>45650</v>
      </c>
      <c r="AK2" s="116">
        <v>45651</v>
      </c>
      <c r="AL2" s="116">
        <v>45652</v>
      </c>
      <c r="AM2" s="116">
        <v>45653</v>
      </c>
      <c r="AN2" s="116">
        <v>45654</v>
      </c>
      <c r="AO2" s="116">
        <v>45655</v>
      </c>
      <c r="AP2" s="116">
        <v>45656</v>
      </c>
      <c r="AQ2" s="116">
        <v>45657</v>
      </c>
      <c r="AR2" s="116">
        <v>45658</v>
      </c>
      <c r="AS2" s="116">
        <v>45659</v>
      </c>
      <c r="AT2" s="116">
        <v>45660</v>
      </c>
      <c r="AU2" s="116">
        <v>45661</v>
      </c>
      <c r="AV2" s="116">
        <v>45662</v>
      </c>
      <c r="AW2" s="116">
        <v>45663</v>
      </c>
      <c r="AX2" s="116">
        <v>45664</v>
      </c>
      <c r="AY2" s="116">
        <v>45665</v>
      </c>
      <c r="AZ2" s="116">
        <v>45701</v>
      </c>
      <c r="BA2" s="116">
        <v>45702</v>
      </c>
      <c r="BB2" s="116">
        <v>45703</v>
      </c>
      <c r="BC2" s="116">
        <v>45704</v>
      </c>
      <c r="BD2" s="116">
        <v>45705</v>
      </c>
      <c r="BE2" s="116">
        <v>45771</v>
      </c>
      <c r="BF2" s="116">
        <v>45772</v>
      </c>
      <c r="BG2" s="116">
        <v>46136</v>
      </c>
      <c r="BH2" s="116">
        <f t="shared" ref="BH2:BQ2" si="0">+BG2+1</f>
        <v>46137</v>
      </c>
      <c r="BI2" s="116">
        <f t="shared" si="0"/>
        <v>46138</v>
      </c>
      <c r="BJ2" s="116">
        <f t="shared" si="0"/>
        <v>46139</v>
      </c>
      <c r="BK2" s="116">
        <f t="shared" si="0"/>
        <v>46140</v>
      </c>
      <c r="BL2" s="116">
        <f t="shared" si="0"/>
        <v>46141</v>
      </c>
      <c r="BM2" s="116">
        <f t="shared" si="0"/>
        <v>46142</v>
      </c>
      <c r="BN2" s="116">
        <f t="shared" si="0"/>
        <v>46143</v>
      </c>
      <c r="BO2" s="116">
        <f t="shared" si="0"/>
        <v>46144</v>
      </c>
      <c r="BP2" s="116">
        <f t="shared" si="0"/>
        <v>46145</v>
      </c>
      <c r="BQ2" s="116">
        <f t="shared" si="0"/>
        <v>46146</v>
      </c>
      <c r="BR2" s="116">
        <f t="shared" ref="BR2" si="1">+BQ2+1</f>
        <v>46147</v>
      </c>
      <c r="BS2" s="116">
        <f t="shared" ref="BS2" si="2">+BR2+1</f>
        <v>46148</v>
      </c>
      <c r="BT2" s="116">
        <f t="shared" ref="BT2" si="3">+BS2+1</f>
        <v>46149</v>
      </c>
      <c r="BU2" s="116">
        <f t="shared" ref="BU2:BV2" si="4">+BT2+1</f>
        <v>46150</v>
      </c>
      <c r="BV2" s="116">
        <f t="shared" si="4"/>
        <v>46151</v>
      </c>
      <c r="BW2" s="116">
        <f t="shared" ref="BW2" si="5">+BV2+1</f>
        <v>46152</v>
      </c>
      <c r="BX2" s="116">
        <f t="shared" ref="BX2:BY2" si="6">+BW2+1</f>
        <v>46153</v>
      </c>
      <c r="BY2" s="116">
        <f t="shared" si="6"/>
        <v>46154</v>
      </c>
      <c r="BZ2" s="226" t="s">
        <v>1245</v>
      </c>
    </row>
    <row r="3" spans="2:78" ht="22.5" customHeight="1" x14ac:dyDescent="0.3">
      <c r="B3" s="218" t="s">
        <v>885</v>
      </c>
      <c r="C3" s="353" t="s">
        <v>748</v>
      </c>
      <c r="D3" s="133"/>
      <c r="E3" s="134"/>
      <c r="F3" s="135"/>
      <c r="G3" s="136"/>
      <c r="H3" s="133"/>
      <c r="I3" s="133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65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216" t="s">
        <v>811</v>
      </c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351"/>
      <c r="BT3" s="107"/>
      <c r="BU3" s="107"/>
      <c r="BV3" s="107"/>
      <c r="BW3" s="107"/>
      <c r="BX3" s="107"/>
      <c r="BY3" s="107"/>
      <c r="BZ3" s="349">
        <v>46083</v>
      </c>
    </row>
    <row r="4" spans="2:78" ht="16.5" hidden="1" customHeight="1" x14ac:dyDescent="0.3">
      <c r="B4" s="699" t="s">
        <v>886</v>
      </c>
      <c r="C4" s="101" t="s">
        <v>642</v>
      </c>
      <c r="D4" s="310"/>
      <c r="E4" s="311"/>
      <c r="F4" s="312"/>
      <c r="G4" s="313"/>
      <c r="H4" s="310"/>
      <c r="I4" s="310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216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350"/>
    </row>
    <row r="5" spans="2:78" ht="22.5" customHeight="1" x14ac:dyDescent="0.3">
      <c r="B5" s="700"/>
      <c r="C5" s="101" t="s">
        <v>13</v>
      </c>
      <c r="D5" s="127"/>
      <c r="E5" s="129"/>
      <c r="F5" s="128"/>
      <c r="G5" s="130"/>
      <c r="H5" s="131"/>
      <c r="I5" s="131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277"/>
      <c r="BI5" s="107"/>
      <c r="BJ5" s="277"/>
      <c r="BK5" s="107"/>
      <c r="BL5" s="107"/>
      <c r="BM5" s="107"/>
      <c r="BN5" s="107"/>
      <c r="BO5" s="107"/>
      <c r="BP5" s="107"/>
      <c r="BQ5" s="107"/>
      <c r="BR5" s="107"/>
      <c r="BS5" s="107"/>
      <c r="BT5" s="107"/>
      <c r="BU5" s="107"/>
      <c r="BV5" s="107"/>
      <c r="BW5" s="107"/>
      <c r="BX5" s="107"/>
      <c r="BY5" s="107"/>
      <c r="BZ5" s="349">
        <v>46070</v>
      </c>
    </row>
    <row r="6" spans="2:78" ht="22.5" customHeight="1" x14ac:dyDescent="0.3">
      <c r="B6" s="700"/>
      <c r="C6" s="223" t="s">
        <v>94</v>
      </c>
      <c r="D6" s="138"/>
      <c r="E6" s="139"/>
      <c r="F6" s="140"/>
      <c r="G6" s="141"/>
      <c r="H6" s="142"/>
      <c r="I6" s="142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27"/>
      <c r="U6" s="12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/>
      <c r="BU6" s="107"/>
      <c r="BV6" s="107"/>
      <c r="BW6" s="107"/>
      <c r="BX6" s="107"/>
      <c r="BY6" s="107"/>
      <c r="BZ6" s="349">
        <v>46083</v>
      </c>
    </row>
    <row r="7" spans="2:78" ht="22.5" customHeight="1" x14ac:dyDescent="0.3">
      <c r="B7" s="701"/>
      <c r="C7" s="276" t="s">
        <v>710</v>
      </c>
      <c r="D7" s="127"/>
      <c r="E7" s="127"/>
      <c r="F7" s="140"/>
      <c r="G7" s="131"/>
      <c r="H7" s="131"/>
      <c r="I7" s="131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350"/>
    </row>
    <row r="8" spans="2:78" x14ac:dyDescent="0.3">
      <c r="B8" s="269" t="s">
        <v>1047</v>
      </c>
      <c r="BG8" s="113"/>
      <c r="BH8" s="113"/>
      <c r="BI8" s="281"/>
      <c r="BJ8" s="281"/>
      <c r="BK8" s="113"/>
      <c r="BL8" s="279"/>
      <c r="BM8" s="282"/>
      <c r="BO8" s="283"/>
      <c r="BP8" s="279"/>
      <c r="BQ8" s="279"/>
      <c r="BR8" s="279"/>
      <c r="BS8" s="279"/>
      <c r="BT8" s="279"/>
      <c r="BU8" s="279"/>
      <c r="BV8" s="279"/>
      <c r="BW8" s="279"/>
      <c r="BX8" s="279"/>
      <c r="BZ8" s="350"/>
    </row>
    <row r="9" spans="2:78" x14ac:dyDescent="0.3">
      <c r="B9" s="224"/>
      <c r="BG9" s="113"/>
      <c r="BH9" s="113"/>
      <c r="BI9" s="281"/>
      <c r="BJ9" s="281"/>
      <c r="BK9" s="113"/>
      <c r="BL9" s="279"/>
      <c r="BM9" s="282"/>
      <c r="BO9" s="283"/>
      <c r="BP9" s="279"/>
      <c r="BQ9" s="279"/>
      <c r="BR9" s="279"/>
      <c r="BS9" s="279"/>
      <c r="BT9" s="279"/>
      <c r="BU9" s="279"/>
      <c r="BV9" s="279"/>
      <c r="BW9" s="279"/>
      <c r="BX9" s="279"/>
      <c r="BZ9" s="350"/>
    </row>
    <row r="10" spans="2:78" x14ac:dyDescent="0.3">
      <c r="BZ10" s="350"/>
    </row>
    <row r="11" spans="2:78" x14ac:dyDescent="0.3">
      <c r="BZ11" s="350"/>
    </row>
    <row r="12" spans="2:78" x14ac:dyDescent="0.3">
      <c r="R12" t="s">
        <v>27</v>
      </c>
      <c r="BZ12" s="350"/>
    </row>
    <row r="17" spans="61:71" x14ac:dyDescent="0.3">
      <c r="BJ17" s="227"/>
    </row>
    <row r="18" spans="61:71" x14ac:dyDescent="0.3">
      <c r="BI18" s="225"/>
      <c r="BJ18" s="225"/>
      <c r="BS18" t="s">
        <v>1180</v>
      </c>
    </row>
  </sheetData>
  <mergeCells count="1">
    <mergeCell ref="B4:B7"/>
  </mergeCells>
  <phoneticPr fontId="4" type="noConversion"/>
  <conditionalFormatting sqref="A2:K2 BZ2:XDA2">
    <cfRule type="expression" dxfId="8" priority="3">
      <formula>COUNTIF($BZ$3:$BZ$13,BG2&gt;0)</formula>
    </cfRule>
  </conditionalFormatting>
  <conditionalFormatting sqref="L2:P2">
    <cfRule type="expression" dxfId="7" priority="20">
      <formula>COUNTIF($BZ$3:$BZ$13,#REF!&gt;0)</formula>
    </cfRule>
  </conditionalFormatting>
  <conditionalFormatting sqref="Q2:BY2">
    <cfRule type="expression" dxfId="6" priority="55">
      <formula>COUNTIF($BZ$3:$BZ$13,BZ2&gt;0)</formula>
    </cfRule>
  </conditionalFormatting>
  <conditionalFormatting sqref="BG2:BY2">
    <cfRule type="expression" dxfId="5" priority="2">
      <formula>OR(WEEKDAY(BG2,2)=6, WEEKDAY(BG2,2)=7)</formula>
    </cfRule>
  </conditionalFormatting>
  <conditionalFormatting sqref="XDB2:XFD2">
    <cfRule type="expression" dxfId="4" priority="4">
      <formula>COUNTIF($BZ$3:$BZ$13,A2&gt;0)</formula>
    </cfRule>
  </conditionalFormatting>
  <pageMargins left="0.7" right="0.7" top="0.75" bottom="0.75" header="0.3" footer="0.3"/>
  <pageSetup paperSize="9" scale="8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D34" sqref="D34"/>
    </sheetView>
  </sheetViews>
  <sheetFormatPr defaultRowHeight="16.5" x14ac:dyDescent="0.3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Sheet2</vt:lpstr>
      <vt:lpstr>반출입스케줄</vt:lpstr>
      <vt:lpstr>Time table (2)</vt:lpstr>
      <vt:lpstr>Sheet1</vt:lpstr>
      <vt:lpstr>'Time table (2)'!Print_Area</vt:lpstr>
      <vt:lpstr>반출입스케줄!Print_Area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조용근(Jo Yong Geun)_대리_광양CTS섹션</cp:lastModifiedBy>
  <cp:lastPrinted>2026-04-24T07:06:45Z</cp:lastPrinted>
  <dcterms:created xsi:type="dcterms:W3CDTF">2015-07-28T02:11:21Z</dcterms:created>
  <dcterms:modified xsi:type="dcterms:W3CDTF">2026-04-24T07:06:59Z</dcterms:modified>
</cp:coreProperties>
</file>